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NGANDA\Downloads\KADEA_TELCO\"/>
    </mc:Choice>
  </mc:AlternateContent>
  <xr:revisionPtr revIDLastSave="0" documentId="13_ncr:1_{6647487A-4565-46F1-9130-77BF777CD1D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CD_moyenne" sheetId="16" r:id="rId1"/>
    <sheet name="TCD_sous_catégorisation" sheetId="21" r:id="rId2"/>
    <sheet name="TCD_somme_totale" sheetId="22" r:id="rId3"/>
    <sheet name="LOG_REGISTRE_Master" sheetId="5" r:id="rId4"/>
    <sheet name="client_Master" sheetId="2" r:id="rId5"/>
    <sheet name="Logs_Reseau_Master" sheetId="3" r:id="rId6"/>
    <sheet name="Registre_Maintenance_Master" sheetId="4" r:id="rId7"/>
    <sheet name="LOG_REGISTRE" sheetId="1" r:id="rId8"/>
  </sheets>
  <definedNames>
    <definedName name="_xlcn.WorksheetConnection_MASTER_KADEA_TELCO.xlsxLogs_Reseau_Part561" hidden="1">Logs_Reseau_Part56[]</definedName>
    <definedName name="DonnéesExternes_1" localSheetId="4" hidden="1">client_Master!$A$1:$K$674</definedName>
    <definedName name="DonnéesExternes_1" localSheetId="7" hidden="1">LOG_REGISTRE!$A$1:$F$1069</definedName>
    <definedName name="DonnéesExternes_1" localSheetId="3" hidden="1">LOG_REGISTRE_Master!$B$1:$F$479</definedName>
    <definedName name="DonnéesExternes_1" localSheetId="5" hidden="1">Logs_Reseau_Master!$A$1:$F$1069</definedName>
    <definedName name="DonnéesExternes_1" localSheetId="6" hidden="1">Registre_Maintenance_Master!$A$1:$G$418</definedName>
    <definedName name="Segment_Province_RDC">#N/A</definedName>
  </definedNames>
  <calcPr calcId="191029"/>
  <pivotCaches>
    <pivotCache cacheId="1" r:id="rId9"/>
    <pivotCache cacheId="16" r:id="rId10"/>
  </pivotCaches>
  <extLs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ogs_Reseau_Part56" name="Logs_Reseau_Part56" connection="WorksheetConnection_MASTER_KADEA_TELCO.xlsx!Logs_Reseau_Part5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 l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I283" i="2"/>
  <c r="I268" i="2"/>
  <c r="I425" i="2"/>
  <c r="I622" i="2"/>
  <c r="I23" i="2"/>
  <c r="I110" i="2"/>
  <c r="I183" i="2"/>
  <c r="I95" i="2"/>
  <c r="I19" i="2"/>
  <c r="I171" i="2"/>
  <c r="I528" i="2"/>
  <c r="I186" i="2"/>
  <c r="I434" i="2"/>
  <c r="I362" i="2"/>
  <c r="I120" i="2"/>
  <c r="I423" i="2"/>
  <c r="I580" i="2"/>
  <c r="I27" i="2"/>
  <c r="I664" i="2"/>
  <c r="I481" i="2"/>
  <c r="I322" i="2"/>
  <c r="I522" i="2"/>
  <c r="I12" i="2"/>
  <c r="I39" i="2"/>
  <c r="I584" i="2"/>
  <c r="I610" i="2"/>
  <c r="I54" i="2"/>
  <c r="I206" i="2"/>
  <c r="I395" i="2"/>
  <c r="I197" i="2"/>
  <c r="I614" i="2"/>
  <c r="I654" i="2"/>
  <c r="I258" i="2"/>
  <c r="I663" i="2"/>
  <c r="I229" i="2"/>
  <c r="I433" i="2"/>
  <c r="I598" i="2"/>
  <c r="I60" i="2"/>
  <c r="I250" i="2"/>
  <c r="I648" i="2"/>
  <c r="I565" i="2"/>
  <c r="I482" i="2"/>
  <c r="I570" i="2"/>
  <c r="I96" i="2"/>
  <c r="I155" i="2"/>
  <c r="I73" i="2"/>
  <c r="I377" i="2"/>
  <c r="I489" i="2"/>
  <c r="I338" i="2"/>
  <c r="I639" i="2"/>
  <c r="I82" i="2"/>
  <c r="I347" i="2"/>
  <c r="I441" i="2"/>
  <c r="I556" i="2"/>
  <c r="I381" i="2"/>
  <c r="I516" i="2"/>
  <c r="I638" i="2"/>
  <c r="I164" i="2"/>
  <c r="I335" i="2"/>
  <c r="I597" i="2"/>
  <c r="I657" i="2"/>
  <c r="I157" i="2"/>
  <c r="I84" i="2"/>
  <c r="I539" i="2"/>
  <c r="I205" i="2"/>
  <c r="I216" i="2"/>
  <c r="I560" i="2"/>
  <c r="I384" i="2"/>
  <c r="I493" i="2"/>
  <c r="I244" i="2"/>
  <c r="I538" i="2"/>
  <c r="I499" i="2"/>
  <c r="I497" i="2"/>
  <c r="I653" i="2"/>
  <c r="I640" i="2"/>
  <c r="I270" i="2"/>
  <c r="I147" i="2"/>
  <c r="I98" i="2"/>
  <c r="I70" i="2"/>
  <c r="I119" i="2"/>
  <c r="I145" i="2"/>
  <c r="I185" i="2"/>
  <c r="I287" i="2"/>
  <c r="I259" i="2"/>
  <c r="I586" i="2"/>
  <c r="I40" i="2"/>
  <c r="I327" i="2"/>
  <c r="I355" i="2"/>
  <c r="I235" i="2"/>
  <c r="I462" i="2"/>
  <c r="I74" i="2"/>
  <c r="I208" i="2"/>
  <c r="I359" i="2"/>
  <c r="I271" i="2"/>
  <c r="I315" i="2"/>
  <c r="I161" i="2"/>
  <c r="I595" i="2"/>
  <c r="I525" i="2"/>
  <c r="I316" i="2"/>
  <c r="I475" i="2"/>
  <c r="I231" i="2"/>
  <c r="I548" i="2"/>
  <c r="I202" i="2"/>
  <c r="I14" i="2"/>
  <c r="I424" i="2"/>
  <c r="I621" i="2"/>
  <c r="I399" i="2"/>
  <c r="I21" i="2"/>
  <c r="I569" i="2"/>
  <c r="I495" i="2"/>
  <c r="I438" i="2"/>
  <c r="I536" i="2"/>
  <c r="I38" i="2"/>
  <c r="I456" i="2"/>
  <c r="I526" i="2"/>
  <c r="I656" i="2"/>
  <c r="I158" i="2"/>
  <c r="I165" i="2"/>
  <c r="I241" i="2"/>
  <c r="I203" i="2"/>
  <c r="I419" i="2"/>
  <c r="I463" i="2"/>
  <c r="I633" i="2"/>
  <c r="I618" i="2"/>
  <c r="I451" i="2"/>
  <c r="I83" i="2"/>
  <c r="I357" i="2"/>
  <c r="I659" i="2"/>
  <c r="I156" i="2"/>
  <c r="I582" i="2"/>
  <c r="I290" i="2"/>
  <c r="I243" i="2"/>
  <c r="I5" i="2"/>
  <c r="I246" i="2"/>
  <c r="I169" i="2"/>
  <c r="I649" i="2"/>
  <c r="I549" i="2"/>
  <c r="I505" i="2"/>
  <c r="I154" i="2"/>
  <c r="I196" i="2"/>
  <c r="I142" i="2"/>
  <c r="I605" i="2"/>
  <c r="I111" i="2"/>
  <c r="I286" i="2"/>
  <c r="I417" i="2"/>
  <c r="I209" i="2"/>
  <c r="I635" i="2"/>
  <c r="I624" i="2"/>
  <c r="I513" i="2"/>
  <c r="I669" i="2"/>
  <c r="I257" i="2"/>
  <c r="I527" i="2"/>
  <c r="I20" i="2"/>
  <c r="I184" i="2"/>
  <c r="I588" i="2"/>
  <c r="I50" i="2"/>
  <c r="I550" i="2"/>
  <c r="I329" i="2"/>
  <c r="I312" i="2"/>
  <c r="I643" i="2"/>
  <c r="I261" i="2"/>
  <c r="I568" i="2"/>
  <c r="I217" i="2"/>
  <c r="I476" i="2"/>
  <c r="I269" i="2"/>
  <c r="I594" i="2"/>
  <c r="I546" i="2"/>
  <c r="I67" i="2"/>
  <c r="I611" i="2"/>
  <c r="I460" i="2"/>
  <c r="I175" i="2"/>
  <c r="I341" i="2"/>
  <c r="I43" i="2"/>
  <c r="I267" i="2"/>
  <c r="I396" i="2"/>
  <c r="I486" i="2"/>
  <c r="I543" i="2"/>
  <c r="I361" i="2"/>
  <c r="I494" i="2"/>
  <c r="I213" i="2"/>
  <c r="I298" i="2"/>
  <c r="I459" i="2"/>
  <c r="I18" i="2"/>
  <c r="I508" i="2"/>
  <c r="I36" i="2"/>
  <c r="I421" i="2"/>
  <c r="I593" i="2"/>
  <c r="I127" i="2"/>
  <c r="I415" i="2"/>
  <c r="I291" i="2"/>
  <c r="I530" i="2"/>
  <c r="I420" i="2"/>
  <c r="I94" i="2"/>
  <c r="I2" i="2"/>
  <c r="I253" i="2"/>
  <c r="I136" i="2"/>
  <c r="I413" i="2"/>
  <c r="I661" i="2"/>
  <c r="I378" i="2"/>
  <c r="I52" i="2"/>
  <c r="I72" i="2"/>
  <c r="I109" i="2"/>
  <c r="I345" i="2"/>
  <c r="I473" i="2"/>
  <c r="I514" i="2"/>
  <c r="I558" i="2"/>
  <c r="I429" i="2"/>
  <c r="I509" i="2"/>
  <c r="I88" i="2"/>
  <c r="I575" i="2"/>
  <c r="I391" i="2"/>
  <c r="I452" i="2"/>
  <c r="I260" i="2"/>
  <c r="I533" i="2"/>
  <c r="I210" i="2"/>
  <c r="I296" i="2"/>
  <c r="I319" i="2"/>
  <c r="I490" i="2"/>
  <c r="I92" i="2"/>
  <c r="I174" i="2"/>
  <c r="I455" i="2"/>
  <c r="I553" i="2"/>
  <c r="I214" i="2"/>
  <c r="I537" i="2"/>
  <c r="I135" i="2"/>
  <c r="I55" i="2"/>
  <c r="I262" i="2"/>
  <c r="I230" i="2"/>
  <c r="I124" i="2"/>
  <c r="I247" i="2"/>
  <c r="I236" i="2"/>
  <c r="I376" i="2"/>
  <c r="I149" i="2"/>
  <c r="I13" i="2"/>
  <c r="I16" i="2"/>
  <c r="I368" i="2"/>
  <c r="I426" i="2"/>
  <c r="I402" i="2"/>
  <c r="I412" i="2"/>
  <c r="I150" i="2"/>
  <c r="I58" i="2"/>
  <c r="I303" i="2"/>
  <c r="I581" i="2"/>
  <c r="I176" i="2"/>
  <c r="I465" i="2"/>
  <c r="I116" i="2"/>
  <c r="I34" i="2"/>
  <c r="I254" i="2"/>
  <c r="I406" i="2"/>
  <c r="I275" i="2"/>
  <c r="I173" i="2"/>
  <c r="I103" i="2"/>
  <c r="I574" i="2"/>
  <c r="I632" i="2"/>
  <c r="I117" i="2"/>
  <c r="I372" i="2"/>
  <c r="I79" i="2"/>
  <c r="I8" i="2"/>
  <c r="I477" i="2"/>
  <c r="I350" i="2"/>
  <c r="I646" i="2"/>
  <c r="I299" i="2"/>
  <c r="I554" i="2"/>
  <c r="I446" i="2"/>
  <c r="I331" i="2"/>
  <c r="I80" i="2"/>
  <c r="I578" i="2"/>
  <c r="I587" i="2"/>
  <c r="I138" i="2"/>
  <c r="I133" i="2"/>
  <c r="I608" i="2"/>
  <c r="I521" i="2"/>
  <c r="I179" i="2"/>
  <c r="I191" i="2"/>
  <c r="I561" i="2"/>
  <c r="I239" i="2"/>
  <c r="I637" i="2"/>
  <c r="I277" i="2"/>
  <c r="I140" i="2"/>
  <c r="I647" i="2"/>
  <c r="I146" i="2"/>
  <c r="I552" i="2"/>
  <c r="I188" i="2"/>
  <c r="I485" i="2"/>
  <c r="I132" i="2"/>
  <c r="I266" i="2"/>
  <c r="I123" i="2"/>
  <c r="I650" i="2"/>
  <c r="I532" i="2"/>
  <c r="I100" i="2"/>
  <c r="I192" i="2"/>
  <c r="I572" i="2"/>
  <c r="I613" i="2"/>
  <c r="I630" i="2"/>
  <c r="I295" i="2"/>
  <c r="I162" i="2"/>
  <c r="I382" i="2"/>
  <c r="I576" i="2"/>
  <c r="I302" i="2"/>
  <c r="I56" i="2"/>
  <c r="I6" i="2"/>
  <c r="I309" i="2"/>
  <c r="I91" i="2"/>
  <c r="I211" i="2"/>
  <c r="I458" i="2"/>
  <c r="I251" i="2"/>
  <c r="I454" i="2"/>
  <c r="I144" i="2"/>
  <c r="I472" i="2"/>
  <c r="I240" i="2"/>
  <c r="I469" i="2"/>
  <c r="I641" i="2"/>
  <c r="I492" i="2"/>
  <c r="I393" i="2"/>
  <c r="I170" i="2"/>
  <c r="I45" i="2"/>
  <c r="I65" i="2"/>
  <c r="I367" i="2"/>
  <c r="I41" i="2"/>
  <c r="I600" i="2"/>
  <c r="I153" i="2"/>
  <c r="I603" i="2"/>
  <c r="I224" i="2"/>
  <c r="I400" i="2"/>
  <c r="I444" i="2"/>
  <c r="I394" i="2"/>
  <c r="I642" i="2"/>
  <c r="I31" i="2"/>
  <c r="I166" i="2"/>
  <c r="I340" i="2"/>
  <c r="I408" i="2"/>
  <c r="I237" i="2"/>
  <c r="I200" i="2"/>
  <c r="I249" i="2"/>
  <c r="I445" i="2"/>
  <c r="I233" i="2"/>
  <c r="I90" i="2"/>
  <c r="I369" i="2"/>
  <c r="I26" i="2"/>
  <c r="I651" i="2"/>
  <c r="I122" i="2"/>
  <c r="I631" i="2"/>
  <c r="I339" i="2"/>
  <c r="I330" i="2"/>
  <c r="I219" i="2"/>
  <c r="I307" i="2"/>
  <c r="I59" i="2"/>
  <c r="I609" i="2"/>
  <c r="I471" i="2"/>
  <c r="I354" i="2"/>
  <c r="I280" i="2"/>
  <c r="I97" i="2"/>
  <c r="I592" i="2"/>
  <c r="I78" i="2"/>
  <c r="I645" i="2"/>
  <c r="I29" i="2"/>
  <c r="I86" i="2"/>
  <c r="I337" i="2"/>
  <c r="I187" i="2"/>
  <c r="I228" i="2"/>
  <c r="I276" i="2"/>
  <c r="I551" i="2"/>
  <c r="I403" i="2"/>
  <c r="I507" i="2"/>
  <c r="I177" i="2"/>
  <c r="I346" i="2"/>
  <c r="I524" i="2"/>
  <c r="I282" i="2"/>
  <c r="I114" i="2"/>
  <c r="I207" i="2"/>
  <c r="I602" i="2"/>
  <c r="I604" i="2"/>
  <c r="I510" i="2"/>
  <c r="I104" i="2"/>
  <c r="I366" i="2"/>
  <c r="I655" i="2"/>
  <c r="I418" i="2"/>
  <c r="I288" i="2"/>
  <c r="I37" i="2"/>
  <c r="I131" i="2"/>
  <c r="I102" i="2"/>
  <c r="I628" i="2"/>
  <c r="I151" i="2"/>
  <c r="I126" i="2"/>
  <c r="I22" i="2"/>
  <c r="I311" i="2"/>
  <c r="I566" i="2"/>
  <c r="I113" i="2"/>
  <c r="I306" i="2"/>
  <c r="I674" i="2"/>
  <c r="I76" i="2"/>
  <c r="I332" i="2"/>
  <c r="I25" i="2"/>
  <c r="I289" i="2"/>
  <c r="I226" i="2"/>
  <c r="I470" i="2"/>
  <c r="I370" i="2"/>
  <c r="I321" i="2"/>
  <c r="I301" i="2"/>
  <c r="I670" i="2"/>
  <c r="I479" i="2"/>
  <c r="I101" i="2"/>
  <c r="I223" i="2"/>
  <c r="I63" i="2"/>
  <c r="I139" i="2"/>
  <c r="I189" i="2"/>
  <c r="I547" i="2"/>
  <c r="I501" i="2"/>
  <c r="I371" i="2"/>
  <c r="I439" i="2"/>
  <c r="I386" i="2"/>
  <c r="I541" i="2"/>
  <c r="I383" i="2"/>
  <c r="I3" i="2"/>
  <c r="I351" i="2"/>
  <c r="I579" i="2"/>
  <c r="I504" i="2"/>
  <c r="I264" i="2"/>
  <c r="I47" i="2"/>
  <c r="I636" i="2"/>
  <c r="I336" i="2"/>
  <c r="I615" i="2"/>
  <c r="I64" i="2"/>
  <c r="I215" i="2"/>
  <c r="I17" i="2"/>
  <c r="I449" i="2"/>
  <c r="I448" i="2"/>
  <c r="I623" i="2"/>
  <c r="I248" i="2"/>
  <c r="I234" i="2"/>
  <c r="I389" i="2"/>
  <c r="I69" i="2"/>
  <c r="I542" i="2"/>
  <c r="I106" i="2"/>
  <c r="I671" i="2"/>
  <c r="I468" i="2"/>
  <c r="I435" i="2"/>
  <c r="I562" i="2"/>
  <c r="I590" i="2"/>
  <c r="I182" i="2"/>
  <c r="I4" i="2"/>
  <c r="I644" i="2"/>
  <c r="I28" i="2"/>
  <c r="I432" i="2"/>
  <c r="I409" i="2"/>
  <c r="I297" i="2"/>
  <c r="I212" i="2"/>
  <c r="I374" i="2"/>
  <c r="I87" i="2"/>
  <c r="I143" i="2"/>
  <c r="I33" i="2"/>
  <c r="I422" i="2"/>
  <c r="I519" i="2"/>
  <c r="I667" i="2"/>
  <c r="I44" i="2"/>
  <c r="I360" i="2"/>
  <c r="I596" i="2"/>
  <c r="I238" i="2"/>
  <c r="I61" i="2"/>
  <c r="I168" i="2"/>
  <c r="I121" i="2"/>
  <c r="I159" i="2"/>
  <c r="I483" i="2"/>
  <c r="I564" i="2"/>
  <c r="I577" i="2"/>
  <c r="I112" i="2"/>
  <c r="I620" i="2"/>
  <c r="I255" i="2"/>
  <c r="I190" i="2"/>
  <c r="I544" i="2"/>
  <c r="I431" i="2"/>
  <c r="I107" i="2"/>
  <c r="I81" i="2"/>
  <c r="I198" i="2"/>
  <c r="I328" i="2"/>
  <c r="I279" i="2"/>
  <c r="I204" i="2"/>
  <c r="I450" i="2"/>
  <c r="I397" i="2"/>
  <c r="I89" i="2"/>
  <c r="I227" i="2"/>
  <c r="I442" i="2"/>
  <c r="I66" i="2"/>
  <c r="I668" i="2"/>
  <c r="I343" i="2"/>
  <c r="I591" i="2"/>
  <c r="I326" i="2"/>
  <c r="I242" i="2"/>
  <c r="I181" i="2"/>
  <c r="I567" i="2"/>
  <c r="I540" i="2"/>
  <c r="I616" i="2"/>
  <c r="I599" i="2"/>
  <c r="I232" i="2"/>
  <c r="I404" i="2"/>
  <c r="I128" i="2"/>
  <c r="I281" i="2"/>
  <c r="I416" i="2"/>
  <c r="I273" i="2"/>
  <c r="I62" i="2"/>
  <c r="I24" i="2"/>
  <c r="I344" i="2"/>
  <c r="I220" i="2"/>
  <c r="I304" i="2"/>
  <c r="I447" i="2"/>
  <c r="I559" i="2"/>
  <c r="I427" i="2"/>
  <c r="I453" i="2"/>
  <c r="I108" i="2"/>
  <c r="I333" i="2"/>
  <c r="I352" i="2"/>
  <c r="I414" i="2"/>
  <c r="I478" i="2"/>
  <c r="I349" i="2"/>
  <c r="I662" i="2"/>
  <c r="I193" i="2"/>
  <c r="I627" i="2"/>
  <c r="I284" i="2"/>
  <c r="I49" i="2"/>
  <c r="I318" i="2"/>
  <c r="I199" i="2"/>
  <c r="I515" i="2"/>
  <c r="I523" i="2"/>
  <c r="I545" i="2"/>
  <c r="I457" i="2"/>
  <c r="I163" i="2"/>
  <c r="I348" i="2"/>
  <c r="I274" i="2"/>
  <c r="I195" i="2"/>
  <c r="I373" i="2"/>
  <c r="I32" i="2"/>
  <c r="I363" i="2"/>
  <c r="I46" i="2"/>
  <c r="I30" i="2"/>
  <c r="I466" i="2"/>
  <c r="I71" i="2"/>
  <c r="I342" i="2"/>
  <c r="I272" i="2"/>
  <c r="I601" i="2"/>
  <c r="I498" i="2"/>
  <c r="I305" i="2"/>
  <c r="I436" i="2"/>
  <c r="I626" i="2"/>
  <c r="I225" i="2"/>
  <c r="I167" i="2"/>
  <c r="I502" i="2"/>
  <c r="I51" i="2"/>
  <c r="I529" i="2"/>
  <c r="I9" i="2"/>
  <c r="I75" i="2"/>
  <c r="I437" i="2"/>
  <c r="I573" i="2"/>
  <c r="I531" i="2"/>
  <c r="I125" i="2"/>
  <c r="I625" i="2"/>
  <c r="I461" i="2"/>
  <c r="I53" i="2"/>
  <c r="I500" i="2"/>
  <c r="I612" i="2"/>
  <c r="I589" i="2"/>
  <c r="I387" i="2"/>
  <c r="I300" i="2"/>
  <c r="I443" i="2"/>
  <c r="I294" i="2"/>
  <c r="I410" i="2"/>
  <c r="I178" i="2"/>
  <c r="I571" i="2"/>
  <c r="I129" i="2"/>
  <c r="I487" i="2"/>
  <c r="I48" i="2"/>
  <c r="I398" i="2"/>
  <c r="I172" i="2"/>
  <c r="I496" i="2"/>
  <c r="I356" i="2"/>
  <c r="I10" i="2"/>
  <c r="I583" i="2"/>
  <c r="I534" i="2"/>
  <c r="I77" i="2"/>
  <c r="I7" i="2"/>
  <c r="I118" i="2"/>
  <c r="I488" i="2"/>
  <c r="I317" i="2"/>
  <c r="I629" i="2"/>
  <c r="I256" i="2"/>
  <c r="I491" i="2"/>
  <c r="I660" i="2"/>
  <c r="I323" i="2"/>
  <c r="I201" i="2"/>
  <c r="I407" i="2"/>
  <c r="I405" i="2"/>
  <c r="I520" i="2"/>
  <c r="I440" i="2"/>
  <c r="I535" i="2"/>
  <c r="I85" i="2"/>
  <c r="I93" i="2"/>
  <c r="I563" i="2"/>
  <c r="I557" i="2"/>
  <c r="I652" i="2"/>
  <c r="I130" i="2"/>
  <c r="I141" i="2"/>
  <c r="I320" i="2"/>
  <c r="I428" i="2"/>
  <c r="I99" i="2"/>
  <c r="I160" i="2"/>
  <c r="I517" i="2"/>
  <c r="I411" i="2"/>
  <c r="I358" i="2"/>
  <c r="I430" i="2"/>
  <c r="I57" i="2"/>
  <c r="I617" i="2"/>
  <c r="I464" i="2"/>
  <c r="I506" i="2"/>
  <c r="I673" i="2"/>
  <c r="I15" i="2"/>
  <c r="I503" i="2"/>
  <c r="I115" i="2"/>
  <c r="I105" i="2"/>
  <c r="I292" i="2"/>
  <c r="I518" i="2"/>
  <c r="I313" i="2"/>
  <c r="I665" i="2"/>
  <c r="I293" i="2"/>
  <c r="I385" i="2"/>
  <c r="I137" i="2"/>
  <c r="I375" i="2"/>
  <c r="I245" i="2"/>
  <c r="I35" i="2"/>
  <c r="I218" i="2"/>
  <c r="I619" i="2"/>
  <c r="I68" i="2"/>
  <c r="I467" i="2"/>
  <c r="I278" i="2"/>
  <c r="I263" i="2"/>
  <c r="I334" i="2"/>
  <c r="I380" i="2"/>
  <c r="I392" i="2"/>
  <c r="I365" i="2"/>
  <c r="I672" i="2"/>
  <c r="I324" i="2"/>
  <c r="I252" i="2"/>
  <c r="I666" i="2"/>
  <c r="I585" i="2"/>
  <c r="I390" i="2"/>
  <c r="I401" i="2"/>
  <c r="I325" i="2"/>
  <c r="I42" i="2"/>
  <c r="I353" i="2"/>
  <c r="I11" i="2"/>
  <c r="I607" i="2"/>
  <c r="I379" i="2"/>
  <c r="I364" i="2"/>
  <c r="I658" i="2"/>
  <c r="I180" i="2"/>
  <c r="I265" i="2"/>
  <c r="I314" i="2"/>
  <c r="I634" i="2"/>
  <c r="I511" i="2"/>
  <c r="I222" i="2"/>
  <c r="I512" i="2"/>
  <c r="I480" i="2"/>
  <c r="I555" i="2"/>
  <c r="I134" i="2"/>
  <c r="I310" i="2"/>
  <c r="I221" i="2"/>
  <c r="I285" i="2"/>
  <c r="I152" i="2"/>
  <c r="I148" i="2"/>
  <c r="I388" i="2"/>
  <c r="I606" i="2"/>
  <c r="I484" i="2"/>
  <c r="I308" i="2"/>
  <c r="I474" i="2"/>
  <c r="I194" i="2"/>
  <c r="E283" i="2"/>
  <c r="E268" i="2"/>
  <c r="E425" i="2"/>
  <c r="E622" i="2"/>
  <c r="E23" i="2"/>
  <c r="E110" i="2"/>
  <c r="E183" i="2"/>
  <c r="E95" i="2"/>
  <c r="E19" i="2"/>
  <c r="E171" i="2"/>
  <c r="E528" i="2"/>
  <c r="E186" i="2"/>
  <c r="E434" i="2"/>
  <c r="E362" i="2"/>
  <c r="E120" i="2"/>
  <c r="E423" i="2"/>
  <c r="E580" i="2"/>
  <c r="E27" i="2"/>
  <c r="E664" i="2"/>
  <c r="E481" i="2"/>
  <c r="E322" i="2"/>
  <c r="E522" i="2"/>
  <c r="E12" i="2"/>
  <c r="E39" i="2"/>
  <c r="E584" i="2"/>
  <c r="E610" i="2"/>
  <c r="E54" i="2"/>
  <c r="E206" i="2"/>
  <c r="E395" i="2"/>
  <c r="E197" i="2"/>
  <c r="E614" i="2"/>
  <c r="E654" i="2"/>
  <c r="E258" i="2"/>
  <c r="E663" i="2"/>
  <c r="E229" i="2"/>
  <c r="E433" i="2"/>
  <c r="E598" i="2"/>
  <c r="E60" i="2"/>
  <c r="E250" i="2"/>
  <c r="E648" i="2"/>
  <c r="E565" i="2"/>
  <c r="E482" i="2"/>
  <c r="E570" i="2"/>
  <c r="E96" i="2"/>
  <c r="E155" i="2"/>
  <c r="E73" i="2"/>
  <c r="E377" i="2"/>
  <c r="E489" i="2"/>
  <c r="E338" i="2"/>
  <c r="E639" i="2"/>
  <c r="E82" i="2"/>
  <c r="E347" i="2"/>
  <c r="E441" i="2"/>
  <c r="E556" i="2"/>
  <c r="E381" i="2"/>
  <c r="E516" i="2"/>
  <c r="E638" i="2"/>
  <c r="E164" i="2"/>
  <c r="E335" i="2"/>
  <c r="E597" i="2"/>
  <c r="E657" i="2"/>
  <c r="E157" i="2"/>
  <c r="E84" i="2"/>
  <c r="E539" i="2"/>
  <c r="E205" i="2"/>
  <c r="E216" i="2"/>
  <c r="E560" i="2"/>
  <c r="E384" i="2"/>
  <c r="E493" i="2"/>
  <c r="E244" i="2"/>
  <c r="E538" i="2"/>
  <c r="E499" i="2"/>
  <c r="E497" i="2"/>
  <c r="E653" i="2"/>
  <c r="E640" i="2"/>
  <c r="E270" i="2"/>
  <c r="E147" i="2"/>
  <c r="E98" i="2"/>
  <c r="E70" i="2"/>
  <c r="E119" i="2"/>
  <c r="E145" i="2"/>
  <c r="E185" i="2"/>
  <c r="E287" i="2"/>
  <c r="E259" i="2"/>
  <c r="E586" i="2"/>
  <c r="E40" i="2"/>
  <c r="E327" i="2"/>
  <c r="E355" i="2"/>
  <c r="E235" i="2"/>
  <c r="E462" i="2"/>
  <c r="E74" i="2"/>
  <c r="E208" i="2"/>
  <c r="E359" i="2"/>
  <c r="E271" i="2"/>
  <c r="E315" i="2"/>
  <c r="E161" i="2"/>
  <c r="E595" i="2"/>
  <c r="E525" i="2"/>
  <c r="E316" i="2"/>
  <c r="E475" i="2"/>
  <c r="E231" i="2"/>
  <c r="E548" i="2"/>
  <c r="E202" i="2"/>
  <c r="E14" i="2"/>
  <c r="E424" i="2"/>
  <c r="E621" i="2"/>
  <c r="E399" i="2"/>
  <c r="E21" i="2"/>
  <c r="E569" i="2"/>
  <c r="E495" i="2"/>
  <c r="E438" i="2"/>
  <c r="E536" i="2"/>
  <c r="E38" i="2"/>
  <c r="E456" i="2"/>
  <c r="E526" i="2"/>
  <c r="E656" i="2"/>
  <c r="E158" i="2"/>
  <c r="E165" i="2"/>
  <c r="E241" i="2"/>
  <c r="E203" i="2"/>
  <c r="E419" i="2"/>
  <c r="E463" i="2"/>
  <c r="E633" i="2"/>
  <c r="E618" i="2"/>
  <c r="E451" i="2"/>
  <c r="E83" i="2"/>
  <c r="E357" i="2"/>
  <c r="E659" i="2"/>
  <c r="E156" i="2"/>
  <c r="E582" i="2"/>
  <c r="E290" i="2"/>
  <c r="E243" i="2"/>
  <c r="E5" i="2"/>
  <c r="E246" i="2"/>
  <c r="E169" i="2"/>
  <c r="E649" i="2"/>
  <c r="E549" i="2"/>
  <c r="E505" i="2"/>
  <c r="E154" i="2"/>
  <c r="E196" i="2"/>
  <c r="E142" i="2"/>
  <c r="E605" i="2"/>
  <c r="E111" i="2"/>
  <c r="E286" i="2"/>
  <c r="E417" i="2"/>
  <c r="E209" i="2"/>
  <c r="E635" i="2"/>
  <c r="E624" i="2"/>
  <c r="E513" i="2"/>
  <c r="E669" i="2"/>
  <c r="E257" i="2"/>
  <c r="E527" i="2"/>
  <c r="E20" i="2"/>
  <c r="E184" i="2"/>
  <c r="E588" i="2"/>
  <c r="E50" i="2"/>
  <c r="E550" i="2"/>
  <c r="E329" i="2"/>
  <c r="E312" i="2"/>
  <c r="E643" i="2"/>
  <c r="E261" i="2"/>
  <c r="E568" i="2"/>
  <c r="E217" i="2"/>
  <c r="E476" i="2"/>
  <c r="E269" i="2"/>
  <c r="E594" i="2"/>
  <c r="E546" i="2"/>
  <c r="E67" i="2"/>
  <c r="E611" i="2"/>
  <c r="E460" i="2"/>
  <c r="E175" i="2"/>
  <c r="E341" i="2"/>
  <c r="E43" i="2"/>
  <c r="E267" i="2"/>
  <c r="E396" i="2"/>
  <c r="E486" i="2"/>
  <c r="E543" i="2"/>
  <c r="E361" i="2"/>
  <c r="E494" i="2"/>
  <c r="E213" i="2"/>
  <c r="E298" i="2"/>
  <c r="E459" i="2"/>
  <c r="E18" i="2"/>
  <c r="E508" i="2"/>
  <c r="E36" i="2"/>
  <c r="E421" i="2"/>
  <c r="E593" i="2"/>
  <c r="E127" i="2"/>
  <c r="E415" i="2"/>
  <c r="E291" i="2"/>
  <c r="E530" i="2"/>
  <c r="E420" i="2"/>
  <c r="E94" i="2"/>
  <c r="E2" i="2"/>
  <c r="E253" i="2"/>
  <c r="E136" i="2"/>
  <c r="E413" i="2"/>
  <c r="E661" i="2"/>
  <c r="E378" i="2"/>
  <c r="E52" i="2"/>
  <c r="E72" i="2"/>
  <c r="E109" i="2"/>
  <c r="E345" i="2"/>
  <c r="E473" i="2"/>
  <c r="E514" i="2"/>
  <c r="E558" i="2"/>
  <c r="E429" i="2"/>
  <c r="E509" i="2"/>
  <c r="E88" i="2"/>
  <c r="E575" i="2"/>
  <c r="E391" i="2"/>
  <c r="E452" i="2"/>
  <c r="E260" i="2"/>
  <c r="E533" i="2"/>
  <c r="E210" i="2"/>
  <c r="E296" i="2"/>
  <c r="E319" i="2"/>
  <c r="E490" i="2"/>
  <c r="E92" i="2"/>
  <c r="E174" i="2"/>
  <c r="E455" i="2"/>
  <c r="E553" i="2"/>
  <c r="E214" i="2"/>
  <c r="E537" i="2"/>
  <c r="E135" i="2"/>
  <c r="E55" i="2"/>
  <c r="E262" i="2"/>
  <c r="E230" i="2"/>
  <c r="E124" i="2"/>
  <c r="E247" i="2"/>
  <c r="E236" i="2"/>
  <c r="E376" i="2"/>
  <c r="E149" i="2"/>
  <c r="E13" i="2"/>
  <c r="E16" i="2"/>
  <c r="E368" i="2"/>
  <c r="E426" i="2"/>
  <c r="E402" i="2"/>
  <c r="E412" i="2"/>
  <c r="E150" i="2"/>
  <c r="E58" i="2"/>
  <c r="E303" i="2"/>
  <c r="E581" i="2"/>
  <c r="E176" i="2"/>
  <c r="E465" i="2"/>
  <c r="E116" i="2"/>
  <c r="E34" i="2"/>
  <c r="E254" i="2"/>
  <c r="E406" i="2"/>
  <c r="E275" i="2"/>
  <c r="E173" i="2"/>
  <c r="E103" i="2"/>
  <c r="E574" i="2"/>
  <c r="E632" i="2"/>
  <c r="E117" i="2"/>
  <c r="E372" i="2"/>
  <c r="E79" i="2"/>
  <c r="E8" i="2"/>
  <c r="E477" i="2"/>
  <c r="E350" i="2"/>
  <c r="E646" i="2"/>
  <c r="E299" i="2"/>
  <c r="E554" i="2"/>
  <c r="E446" i="2"/>
  <c r="E331" i="2"/>
  <c r="E80" i="2"/>
  <c r="E578" i="2"/>
  <c r="E587" i="2"/>
  <c r="E138" i="2"/>
  <c r="E133" i="2"/>
  <c r="E608" i="2"/>
  <c r="E521" i="2"/>
  <c r="E179" i="2"/>
  <c r="E191" i="2"/>
  <c r="E561" i="2"/>
  <c r="E239" i="2"/>
  <c r="E637" i="2"/>
  <c r="E277" i="2"/>
  <c r="E140" i="2"/>
  <c r="E647" i="2"/>
  <c r="E146" i="2"/>
  <c r="E552" i="2"/>
  <c r="E188" i="2"/>
  <c r="E485" i="2"/>
  <c r="E132" i="2"/>
  <c r="E266" i="2"/>
  <c r="E123" i="2"/>
  <c r="E650" i="2"/>
  <c r="E532" i="2"/>
  <c r="E100" i="2"/>
  <c r="E192" i="2"/>
  <c r="E572" i="2"/>
  <c r="E613" i="2"/>
  <c r="E630" i="2"/>
  <c r="E295" i="2"/>
  <c r="E162" i="2"/>
  <c r="E382" i="2"/>
  <c r="E576" i="2"/>
  <c r="E302" i="2"/>
  <c r="E56" i="2"/>
  <c r="E6" i="2"/>
  <c r="E309" i="2"/>
  <c r="E91" i="2"/>
  <c r="E211" i="2"/>
  <c r="E458" i="2"/>
  <c r="E251" i="2"/>
  <c r="E454" i="2"/>
  <c r="E144" i="2"/>
  <c r="E472" i="2"/>
  <c r="E240" i="2"/>
  <c r="E469" i="2"/>
  <c r="E641" i="2"/>
  <c r="E492" i="2"/>
  <c r="E393" i="2"/>
  <c r="E170" i="2"/>
  <c r="E45" i="2"/>
  <c r="E65" i="2"/>
  <c r="E367" i="2"/>
  <c r="E41" i="2"/>
  <c r="E600" i="2"/>
  <c r="E153" i="2"/>
  <c r="E603" i="2"/>
  <c r="E224" i="2"/>
  <c r="E400" i="2"/>
  <c r="E444" i="2"/>
  <c r="E394" i="2"/>
  <c r="E642" i="2"/>
  <c r="E31" i="2"/>
  <c r="E166" i="2"/>
  <c r="E340" i="2"/>
  <c r="E408" i="2"/>
  <c r="E237" i="2"/>
  <c r="E200" i="2"/>
  <c r="E249" i="2"/>
  <c r="E445" i="2"/>
  <c r="E233" i="2"/>
  <c r="E90" i="2"/>
  <c r="E369" i="2"/>
  <c r="E26" i="2"/>
  <c r="E651" i="2"/>
  <c r="E122" i="2"/>
  <c r="E631" i="2"/>
  <c r="E339" i="2"/>
  <c r="E330" i="2"/>
  <c r="E219" i="2"/>
  <c r="E307" i="2"/>
  <c r="E59" i="2"/>
  <c r="E609" i="2"/>
  <c r="E471" i="2"/>
  <c r="E354" i="2"/>
  <c r="E280" i="2"/>
  <c r="E97" i="2"/>
  <c r="E592" i="2"/>
  <c r="E78" i="2"/>
  <c r="E645" i="2"/>
  <c r="E29" i="2"/>
  <c r="E86" i="2"/>
  <c r="E337" i="2"/>
  <c r="E187" i="2"/>
  <c r="E228" i="2"/>
  <c r="E276" i="2"/>
  <c r="E551" i="2"/>
  <c r="E403" i="2"/>
  <c r="E507" i="2"/>
  <c r="E177" i="2"/>
  <c r="E346" i="2"/>
  <c r="E524" i="2"/>
  <c r="E282" i="2"/>
  <c r="E114" i="2"/>
  <c r="E207" i="2"/>
  <c r="E602" i="2"/>
  <c r="E604" i="2"/>
  <c r="E510" i="2"/>
  <c r="E104" i="2"/>
  <c r="E366" i="2"/>
  <c r="E655" i="2"/>
  <c r="E418" i="2"/>
  <c r="E288" i="2"/>
  <c r="E37" i="2"/>
  <c r="E131" i="2"/>
  <c r="E102" i="2"/>
  <c r="E628" i="2"/>
  <c r="E151" i="2"/>
  <c r="E126" i="2"/>
  <c r="E22" i="2"/>
  <c r="E311" i="2"/>
  <c r="E566" i="2"/>
  <c r="E113" i="2"/>
  <c r="E306" i="2"/>
  <c r="E674" i="2"/>
  <c r="E76" i="2"/>
  <c r="E332" i="2"/>
  <c r="E25" i="2"/>
  <c r="E289" i="2"/>
  <c r="E226" i="2"/>
  <c r="E470" i="2"/>
  <c r="E370" i="2"/>
  <c r="E321" i="2"/>
  <c r="E301" i="2"/>
  <c r="E670" i="2"/>
  <c r="E479" i="2"/>
  <c r="E101" i="2"/>
  <c r="E223" i="2"/>
  <c r="E63" i="2"/>
  <c r="E139" i="2"/>
  <c r="E189" i="2"/>
  <c r="E547" i="2"/>
  <c r="E501" i="2"/>
  <c r="E371" i="2"/>
  <c r="E439" i="2"/>
  <c r="E386" i="2"/>
  <c r="E541" i="2"/>
  <c r="E383" i="2"/>
  <c r="E3" i="2"/>
  <c r="E351" i="2"/>
  <c r="E579" i="2"/>
  <c r="E504" i="2"/>
  <c r="E264" i="2"/>
  <c r="E47" i="2"/>
  <c r="E636" i="2"/>
  <c r="E336" i="2"/>
  <c r="E615" i="2"/>
  <c r="E64" i="2"/>
  <c r="E215" i="2"/>
  <c r="E17" i="2"/>
  <c r="E449" i="2"/>
  <c r="E448" i="2"/>
  <c r="E623" i="2"/>
  <c r="E248" i="2"/>
  <c r="E234" i="2"/>
  <c r="E389" i="2"/>
  <c r="E69" i="2"/>
  <c r="E542" i="2"/>
  <c r="E106" i="2"/>
  <c r="E671" i="2"/>
  <c r="E468" i="2"/>
  <c r="E435" i="2"/>
  <c r="E562" i="2"/>
  <c r="E590" i="2"/>
  <c r="E182" i="2"/>
  <c r="E4" i="2"/>
  <c r="E644" i="2"/>
  <c r="E28" i="2"/>
  <c r="E432" i="2"/>
  <c r="E409" i="2"/>
  <c r="E297" i="2"/>
  <c r="E212" i="2"/>
  <c r="E374" i="2"/>
  <c r="E87" i="2"/>
  <c r="E143" i="2"/>
  <c r="E33" i="2"/>
  <c r="E422" i="2"/>
  <c r="E519" i="2"/>
  <c r="E667" i="2"/>
  <c r="E44" i="2"/>
  <c r="E360" i="2"/>
  <c r="E596" i="2"/>
  <c r="E238" i="2"/>
  <c r="E61" i="2"/>
  <c r="E168" i="2"/>
  <c r="E121" i="2"/>
  <c r="E159" i="2"/>
  <c r="E483" i="2"/>
  <c r="E564" i="2"/>
  <c r="E577" i="2"/>
  <c r="E112" i="2"/>
  <c r="E620" i="2"/>
  <c r="E255" i="2"/>
  <c r="E190" i="2"/>
  <c r="E544" i="2"/>
  <c r="E431" i="2"/>
  <c r="E107" i="2"/>
  <c r="E81" i="2"/>
  <c r="E198" i="2"/>
  <c r="E328" i="2"/>
  <c r="E279" i="2"/>
  <c r="E204" i="2"/>
  <c r="E450" i="2"/>
  <c r="E397" i="2"/>
  <c r="E89" i="2"/>
  <c r="E227" i="2"/>
  <c r="E442" i="2"/>
  <c r="E66" i="2"/>
  <c r="E668" i="2"/>
  <c r="E343" i="2"/>
  <c r="E591" i="2"/>
  <c r="E326" i="2"/>
  <c r="E242" i="2"/>
  <c r="E181" i="2"/>
  <c r="E567" i="2"/>
  <c r="E540" i="2"/>
  <c r="E616" i="2"/>
  <c r="E599" i="2"/>
  <c r="E232" i="2"/>
  <c r="E404" i="2"/>
  <c r="E128" i="2"/>
  <c r="E281" i="2"/>
  <c r="E416" i="2"/>
  <c r="E273" i="2"/>
  <c r="E62" i="2"/>
  <c r="E24" i="2"/>
  <c r="E344" i="2"/>
  <c r="E220" i="2"/>
  <c r="E304" i="2"/>
  <c r="E447" i="2"/>
  <c r="E559" i="2"/>
  <c r="E427" i="2"/>
  <c r="E453" i="2"/>
  <c r="E108" i="2"/>
  <c r="E333" i="2"/>
  <c r="E352" i="2"/>
  <c r="E414" i="2"/>
  <c r="E478" i="2"/>
  <c r="E349" i="2"/>
  <c r="E662" i="2"/>
  <c r="E193" i="2"/>
  <c r="E627" i="2"/>
  <c r="E284" i="2"/>
  <c r="E49" i="2"/>
  <c r="E318" i="2"/>
  <c r="E199" i="2"/>
  <c r="E515" i="2"/>
  <c r="E523" i="2"/>
  <c r="E545" i="2"/>
  <c r="E457" i="2"/>
  <c r="E163" i="2"/>
  <c r="E348" i="2"/>
  <c r="E274" i="2"/>
  <c r="E195" i="2"/>
  <c r="E373" i="2"/>
  <c r="E32" i="2"/>
  <c r="E363" i="2"/>
  <c r="E46" i="2"/>
  <c r="E30" i="2"/>
  <c r="E466" i="2"/>
  <c r="E71" i="2"/>
  <c r="E342" i="2"/>
  <c r="E272" i="2"/>
  <c r="E601" i="2"/>
  <c r="E498" i="2"/>
  <c r="E305" i="2"/>
  <c r="E436" i="2"/>
  <c r="E626" i="2"/>
  <c r="E225" i="2"/>
  <c r="E167" i="2"/>
  <c r="E502" i="2"/>
  <c r="E51" i="2"/>
  <c r="E529" i="2"/>
  <c r="E9" i="2"/>
  <c r="E75" i="2"/>
  <c r="E437" i="2"/>
  <c r="E573" i="2"/>
  <c r="E531" i="2"/>
  <c r="E125" i="2"/>
  <c r="E625" i="2"/>
  <c r="E461" i="2"/>
  <c r="E53" i="2"/>
  <c r="E500" i="2"/>
  <c r="E612" i="2"/>
  <c r="E589" i="2"/>
  <c r="E387" i="2"/>
  <c r="E300" i="2"/>
  <c r="E443" i="2"/>
  <c r="E294" i="2"/>
  <c r="E410" i="2"/>
  <c r="E178" i="2"/>
  <c r="E571" i="2"/>
  <c r="E129" i="2"/>
  <c r="E487" i="2"/>
  <c r="E48" i="2"/>
  <c r="E398" i="2"/>
  <c r="E172" i="2"/>
  <c r="E496" i="2"/>
  <c r="E356" i="2"/>
  <c r="E10" i="2"/>
  <c r="E583" i="2"/>
  <c r="E534" i="2"/>
  <c r="E77" i="2"/>
  <c r="E7" i="2"/>
  <c r="E118" i="2"/>
  <c r="E488" i="2"/>
  <c r="E317" i="2"/>
  <c r="E629" i="2"/>
  <c r="E256" i="2"/>
  <c r="E491" i="2"/>
  <c r="E660" i="2"/>
  <c r="E323" i="2"/>
  <c r="E201" i="2"/>
  <c r="E407" i="2"/>
  <c r="E405" i="2"/>
  <c r="E520" i="2"/>
  <c r="E440" i="2"/>
  <c r="E535" i="2"/>
  <c r="E85" i="2"/>
  <c r="E93" i="2"/>
  <c r="E563" i="2"/>
  <c r="E557" i="2"/>
  <c r="E652" i="2"/>
  <c r="E130" i="2"/>
  <c r="E141" i="2"/>
  <c r="E320" i="2"/>
  <c r="E428" i="2"/>
  <c r="E99" i="2"/>
  <c r="E160" i="2"/>
  <c r="E517" i="2"/>
  <c r="E411" i="2"/>
  <c r="E358" i="2"/>
  <c r="E430" i="2"/>
  <c r="E57" i="2"/>
  <c r="E617" i="2"/>
  <c r="E464" i="2"/>
  <c r="E506" i="2"/>
  <c r="E673" i="2"/>
  <c r="E15" i="2"/>
  <c r="E503" i="2"/>
  <c r="E115" i="2"/>
  <c r="E105" i="2"/>
  <c r="E292" i="2"/>
  <c r="E518" i="2"/>
  <c r="E313" i="2"/>
  <c r="E665" i="2"/>
  <c r="E293" i="2"/>
  <c r="E385" i="2"/>
  <c r="E137" i="2"/>
  <c r="E375" i="2"/>
  <c r="E245" i="2"/>
  <c r="E35" i="2"/>
  <c r="E218" i="2"/>
  <c r="E619" i="2"/>
  <c r="E68" i="2"/>
  <c r="E467" i="2"/>
  <c r="E278" i="2"/>
  <c r="E263" i="2"/>
  <c r="E334" i="2"/>
  <c r="E380" i="2"/>
  <c r="E392" i="2"/>
  <c r="E365" i="2"/>
  <c r="E672" i="2"/>
  <c r="E324" i="2"/>
  <c r="E252" i="2"/>
  <c r="E666" i="2"/>
  <c r="E585" i="2"/>
  <c r="E390" i="2"/>
  <c r="E401" i="2"/>
  <c r="E325" i="2"/>
  <c r="E42" i="2"/>
  <c r="E353" i="2"/>
  <c r="E11" i="2"/>
  <c r="E607" i="2"/>
  <c r="E379" i="2"/>
  <c r="E364" i="2"/>
  <c r="E658" i="2"/>
  <c r="E180" i="2"/>
  <c r="E265" i="2"/>
  <c r="E314" i="2"/>
  <c r="E634" i="2"/>
  <c r="E511" i="2"/>
  <c r="E222" i="2"/>
  <c r="E512" i="2"/>
  <c r="E480" i="2"/>
  <c r="E555" i="2"/>
  <c r="E134" i="2"/>
  <c r="E310" i="2"/>
  <c r="E221" i="2"/>
  <c r="E285" i="2"/>
  <c r="E152" i="2"/>
  <c r="E148" i="2"/>
  <c r="E388" i="2"/>
  <c r="E606" i="2"/>
  <c r="E484" i="2"/>
  <c r="E308" i="2"/>
  <c r="E474" i="2"/>
  <c r="E194" i="2"/>
  <c r="G283" i="2"/>
  <c r="G268" i="2"/>
  <c r="G425" i="2"/>
  <c r="G622" i="2"/>
  <c r="G23" i="2"/>
  <c r="G110" i="2"/>
  <c r="G183" i="2"/>
  <c r="G95" i="2"/>
  <c r="G19" i="2"/>
  <c r="G171" i="2"/>
  <c r="G528" i="2"/>
  <c r="G186" i="2"/>
  <c r="G434" i="2"/>
  <c r="G362" i="2"/>
  <c r="G120" i="2"/>
  <c r="G423" i="2"/>
  <c r="G580" i="2"/>
  <c r="G27" i="2"/>
  <c r="G664" i="2"/>
  <c r="G481" i="2"/>
  <c r="G322" i="2"/>
  <c r="G522" i="2"/>
  <c r="G12" i="2"/>
  <c r="G39" i="2"/>
  <c r="G584" i="2"/>
  <c r="G610" i="2"/>
  <c r="G54" i="2"/>
  <c r="G206" i="2"/>
  <c r="G395" i="2"/>
  <c r="G197" i="2"/>
  <c r="G614" i="2"/>
  <c r="G654" i="2"/>
  <c r="G258" i="2"/>
  <c r="G663" i="2"/>
  <c r="G229" i="2"/>
  <c r="G433" i="2"/>
  <c r="G598" i="2"/>
  <c r="G60" i="2"/>
  <c r="G250" i="2"/>
  <c r="G648" i="2"/>
  <c r="G565" i="2"/>
  <c r="G482" i="2"/>
  <c r="G570" i="2"/>
  <c r="G96" i="2"/>
  <c r="G155" i="2"/>
  <c r="G73" i="2"/>
  <c r="G377" i="2"/>
  <c r="G489" i="2"/>
  <c r="G338" i="2"/>
  <c r="G639" i="2"/>
  <c r="G82" i="2"/>
  <c r="G347" i="2"/>
  <c r="G441" i="2"/>
  <c r="G556" i="2"/>
  <c r="G381" i="2"/>
  <c r="G516" i="2"/>
  <c r="G638" i="2"/>
  <c r="G164" i="2"/>
  <c r="G335" i="2"/>
  <c r="G597" i="2"/>
  <c r="G657" i="2"/>
  <c r="G157" i="2"/>
  <c r="G84" i="2"/>
  <c r="G539" i="2"/>
  <c r="G205" i="2"/>
  <c r="G216" i="2"/>
  <c r="G560" i="2"/>
  <c r="G384" i="2"/>
  <c r="G493" i="2"/>
  <c r="G244" i="2"/>
  <c r="G538" i="2"/>
  <c r="G499" i="2"/>
  <c r="G497" i="2"/>
  <c r="G653" i="2"/>
  <c r="G640" i="2"/>
  <c r="G270" i="2"/>
  <c r="G147" i="2"/>
  <c r="G98" i="2"/>
  <c r="G70" i="2"/>
  <c r="G119" i="2"/>
  <c r="G145" i="2"/>
  <c r="G185" i="2"/>
  <c r="G287" i="2"/>
  <c r="G259" i="2"/>
  <c r="G586" i="2"/>
  <c r="G40" i="2"/>
  <c r="G327" i="2"/>
  <c r="G355" i="2"/>
  <c r="G235" i="2"/>
  <c r="G462" i="2"/>
  <c r="G74" i="2"/>
  <c r="G208" i="2"/>
  <c r="G359" i="2"/>
  <c r="G271" i="2"/>
  <c r="G315" i="2"/>
  <c r="G161" i="2"/>
  <c r="G595" i="2"/>
  <c r="G525" i="2"/>
  <c r="G316" i="2"/>
  <c r="G475" i="2"/>
  <c r="G231" i="2"/>
  <c r="G548" i="2"/>
  <c r="G202" i="2"/>
  <c r="G14" i="2"/>
  <c r="G424" i="2"/>
  <c r="G621" i="2"/>
  <c r="G399" i="2"/>
  <c r="G21" i="2"/>
  <c r="G569" i="2"/>
  <c r="G495" i="2"/>
  <c r="G438" i="2"/>
  <c r="G536" i="2"/>
  <c r="G38" i="2"/>
  <c r="G456" i="2"/>
  <c r="G526" i="2"/>
  <c r="G656" i="2"/>
  <c r="G158" i="2"/>
  <c r="G165" i="2"/>
  <c r="G241" i="2"/>
  <c r="G203" i="2"/>
  <c r="G419" i="2"/>
  <c r="G463" i="2"/>
  <c r="G633" i="2"/>
  <c r="G618" i="2"/>
  <c r="G451" i="2"/>
  <c r="G83" i="2"/>
  <c r="G357" i="2"/>
  <c r="G659" i="2"/>
  <c r="G156" i="2"/>
  <c r="G582" i="2"/>
  <c r="G290" i="2"/>
  <c r="G243" i="2"/>
  <c r="G5" i="2"/>
  <c r="G246" i="2"/>
  <c r="G169" i="2"/>
  <c r="G649" i="2"/>
  <c r="G549" i="2"/>
  <c r="G505" i="2"/>
  <c r="G154" i="2"/>
  <c r="G196" i="2"/>
  <c r="G142" i="2"/>
  <c r="G605" i="2"/>
  <c r="G111" i="2"/>
  <c r="G286" i="2"/>
  <c r="G417" i="2"/>
  <c r="G209" i="2"/>
  <c r="G635" i="2"/>
  <c r="G624" i="2"/>
  <c r="G513" i="2"/>
  <c r="G669" i="2"/>
  <c r="G257" i="2"/>
  <c r="G527" i="2"/>
  <c r="G20" i="2"/>
  <c r="G184" i="2"/>
  <c r="G588" i="2"/>
  <c r="G50" i="2"/>
  <c r="G550" i="2"/>
  <c r="G329" i="2"/>
  <c r="G312" i="2"/>
  <c r="G643" i="2"/>
  <c r="G261" i="2"/>
  <c r="G568" i="2"/>
  <c r="G217" i="2"/>
  <c r="G476" i="2"/>
  <c r="G269" i="2"/>
  <c r="G594" i="2"/>
  <c r="G546" i="2"/>
  <c r="G67" i="2"/>
  <c r="G611" i="2"/>
  <c r="G460" i="2"/>
  <c r="G175" i="2"/>
  <c r="G341" i="2"/>
  <c r="G43" i="2"/>
  <c r="G267" i="2"/>
  <c r="G396" i="2"/>
  <c r="G486" i="2"/>
  <c r="G543" i="2"/>
  <c r="G361" i="2"/>
  <c r="G494" i="2"/>
  <c r="G213" i="2"/>
  <c r="G298" i="2"/>
  <c r="G459" i="2"/>
  <c r="G18" i="2"/>
  <c r="G508" i="2"/>
  <c r="G36" i="2"/>
  <c r="G421" i="2"/>
  <c r="G593" i="2"/>
  <c r="G127" i="2"/>
  <c r="G415" i="2"/>
  <c r="G291" i="2"/>
  <c r="G530" i="2"/>
  <c r="G420" i="2"/>
  <c r="G94" i="2"/>
  <c r="G2" i="2"/>
  <c r="G253" i="2"/>
  <c r="G136" i="2"/>
  <c r="G413" i="2"/>
  <c r="G661" i="2"/>
  <c r="G378" i="2"/>
  <c r="G52" i="2"/>
  <c r="G72" i="2"/>
  <c r="G109" i="2"/>
  <c r="G345" i="2"/>
  <c r="G473" i="2"/>
  <c r="G514" i="2"/>
  <c r="G558" i="2"/>
  <c r="G429" i="2"/>
  <c r="G509" i="2"/>
  <c r="G88" i="2"/>
  <c r="G575" i="2"/>
  <c r="G391" i="2"/>
  <c r="G452" i="2"/>
  <c r="G260" i="2"/>
  <c r="G533" i="2"/>
  <c r="G210" i="2"/>
  <c r="G296" i="2"/>
  <c r="G319" i="2"/>
  <c r="G490" i="2"/>
  <c r="G92" i="2"/>
  <c r="G174" i="2"/>
  <c r="G455" i="2"/>
  <c r="G553" i="2"/>
  <c r="G214" i="2"/>
  <c r="G537" i="2"/>
  <c r="G135" i="2"/>
  <c r="G55" i="2"/>
  <c r="G262" i="2"/>
  <c r="G230" i="2"/>
  <c r="G124" i="2"/>
  <c r="G247" i="2"/>
  <c r="G236" i="2"/>
  <c r="G376" i="2"/>
  <c r="G149" i="2"/>
  <c r="G13" i="2"/>
  <c r="G16" i="2"/>
  <c r="G368" i="2"/>
  <c r="G426" i="2"/>
  <c r="G402" i="2"/>
  <c r="G412" i="2"/>
  <c r="G150" i="2"/>
  <c r="G58" i="2"/>
  <c r="G303" i="2"/>
  <c r="G581" i="2"/>
  <c r="G176" i="2"/>
  <c r="G465" i="2"/>
  <c r="G116" i="2"/>
  <c r="G34" i="2"/>
  <c r="G254" i="2"/>
  <c r="G406" i="2"/>
  <c r="G275" i="2"/>
  <c r="G173" i="2"/>
  <c r="G103" i="2"/>
  <c r="G574" i="2"/>
  <c r="G632" i="2"/>
  <c r="G117" i="2"/>
  <c r="G372" i="2"/>
  <c r="G79" i="2"/>
  <c r="G8" i="2"/>
  <c r="G477" i="2"/>
  <c r="G350" i="2"/>
  <c r="G646" i="2"/>
  <c r="G299" i="2"/>
  <c r="G554" i="2"/>
  <c r="G446" i="2"/>
  <c r="G331" i="2"/>
  <c r="G80" i="2"/>
  <c r="G578" i="2"/>
  <c r="G587" i="2"/>
  <c r="G138" i="2"/>
  <c r="G133" i="2"/>
  <c r="G608" i="2"/>
  <c r="G521" i="2"/>
  <c r="G179" i="2"/>
  <c r="G191" i="2"/>
  <c r="G561" i="2"/>
  <c r="G239" i="2"/>
  <c r="G637" i="2"/>
  <c r="G277" i="2"/>
  <c r="G140" i="2"/>
  <c r="G647" i="2"/>
  <c r="G146" i="2"/>
  <c r="G552" i="2"/>
  <c r="G188" i="2"/>
  <c r="G485" i="2"/>
  <c r="G132" i="2"/>
  <c r="G266" i="2"/>
  <c r="G123" i="2"/>
  <c r="G650" i="2"/>
  <c r="G532" i="2"/>
  <c r="G100" i="2"/>
  <c r="G192" i="2"/>
  <c r="G572" i="2"/>
  <c r="G613" i="2"/>
  <c r="G630" i="2"/>
  <c r="G295" i="2"/>
  <c r="G162" i="2"/>
  <c r="G382" i="2"/>
  <c r="G576" i="2"/>
  <c r="G302" i="2"/>
  <c r="G56" i="2"/>
  <c r="G6" i="2"/>
  <c r="G309" i="2"/>
  <c r="G91" i="2"/>
  <c r="G211" i="2"/>
  <c r="G458" i="2"/>
  <c r="G251" i="2"/>
  <c r="G454" i="2"/>
  <c r="G144" i="2"/>
  <c r="G472" i="2"/>
  <c r="G240" i="2"/>
  <c r="G469" i="2"/>
  <c r="G641" i="2"/>
  <c r="G492" i="2"/>
  <c r="G393" i="2"/>
  <c r="G170" i="2"/>
  <c r="G45" i="2"/>
  <c r="G65" i="2"/>
  <c r="G367" i="2"/>
  <c r="G41" i="2"/>
  <c r="G600" i="2"/>
  <c r="G153" i="2"/>
  <c r="G603" i="2"/>
  <c r="G224" i="2"/>
  <c r="G400" i="2"/>
  <c r="G444" i="2"/>
  <c r="G394" i="2"/>
  <c r="G642" i="2"/>
  <c r="G31" i="2"/>
  <c r="G166" i="2"/>
  <c r="G340" i="2"/>
  <c r="G408" i="2"/>
  <c r="G237" i="2"/>
  <c r="G200" i="2"/>
  <c r="G249" i="2"/>
  <c r="G445" i="2"/>
  <c r="G233" i="2"/>
  <c r="G90" i="2"/>
  <c r="G369" i="2"/>
  <c r="G26" i="2"/>
  <c r="G651" i="2"/>
  <c r="G122" i="2"/>
  <c r="G631" i="2"/>
  <c r="G339" i="2"/>
  <c r="G330" i="2"/>
  <c r="G219" i="2"/>
  <c r="G307" i="2"/>
  <c r="G59" i="2"/>
  <c r="G609" i="2"/>
  <c r="G471" i="2"/>
  <c r="G354" i="2"/>
  <c r="G280" i="2"/>
  <c r="G97" i="2"/>
  <c r="G592" i="2"/>
  <c r="G78" i="2"/>
  <c r="G645" i="2"/>
  <c r="G29" i="2"/>
  <c r="G86" i="2"/>
  <c r="G337" i="2"/>
  <c r="G187" i="2"/>
  <c r="G228" i="2"/>
  <c r="G276" i="2"/>
  <c r="G551" i="2"/>
  <c r="G403" i="2"/>
  <c r="G507" i="2"/>
  <c r="G177" i="2"/>
  <c r="G346" i="2"/>
  <c r="G524" i="2"/>
  <c r="G282" i="2"/>
  <c r="G114" i="2"/>
  <c r="G207" i="2"/>
  <c r="G602" i="2"/>
  <c r="G604" i="2"/>
  <c r="G510" i="2"/>
  <c r="G104" i="2"/>
  <c r="G366" i="2"/>
  <c r="G655" i="2"/>
  <c r="G418" i="2"/>
  <c r="G288" i="2"/>
  <c r="G37" i="2"/>
  <c r="G131" i="2"/>
  <c r="G102" i="2"/>
  <c r="G628" i="2"/>
  <c r="G151" i="2"/>
  <c r="G126" i="2"/>
  <c r="G22" i="2"/>
  <c r="G311" i="2"/>
  <c r="G566" i="2"/>
  <c r="G113" i="2"/>
  <c r="G306" i="2"/>
  <c r="G674" i="2"/>
  <c r="G76" i="2"/>
  <c r="G332" i="2"/>
  <c r="G25" i="2"/>
  <c r="G289" i="2"/>
  <c r="G226" i="2"/>
  <c r="G470" i="2"/>
  <c r="G370" i="2"/>
  <c r="G321" i="2"/>
  <c r="G301" i="2"/>
  <c r="G670" i="2"/>
  <c r="G479" i="2"/>
  <c r="G101" i="2"/>
  <c r="G223" i="2"/>
  <c r="G63" i="2"/>
  <c r="G139" i="2"/>
  <c r="G189" i="2"/>
  <c r="G547" i="2"/>
  <c r="G501" i="2"/>
  <c r="G371" i="2"/>
  <c r="G439" i="2"/>
  <c r="G386" i="2"/>
  <c r="G541" i="2"/>
  <c r="G383" i="2"/>
  <c r="G3" i="2"/>
  <c r="G351" i="2"/>
  <c r="G579" i="2"/>
  <c r="G504" i="2"/>
  <c r="G264" i="2"/>
  <c r="G47" i="2"/>
  <c r="G636" i="2"/>
  <c r="G336" i="2"/>
  <c r="G615" i="2"/>
  <c r="G64" i="2"/>
  <c r="G215" i="2"/>
  <c r="G17" i="2"/>
  <c r="G449" i="2"/>
  <c r="G448" i="2"/>
  <c r="G623" i="2"/>
  <c r="G248" i="2"/>
  <c r="G234" i="2"/>
  <c r="G389" i="2"/>
  <c r="G69" i="2"/>
  <c r="G542" i="2"/>
  <c r="G106" i="2"/>
  <c r="G671" i="2"/>
  <c r="G468" i="2"/>
  <c r="G435" i="2"/>
  <c r="G562" i="2"/>
  <c r="G590" i="2"/>
  <c r="G182" i="2"/>
  <c r="G4" i="2"/>
  <c r="G644" i="2"/>
  <c r="G28" i="2"/>
  <c r="G432" i="2"/>
  <c r="G409" i="2"/>
  <c r="G297" i="2"/>
  <c r="G212" i="2"/>
  <c r="G374" i="2"/>
  <c r="G87" i="2"/>
  <c r="G143" i="2"/>
  <c r="G33" i="2"/>
  <c r="G422" i="2"/>
  <c r="G519" i="2"/>
  <c r="G667" i="2"/>
  <c r="G44" i="2"/>
  <c r="G360" i="2"/>
  <c r="G596" i="2"/>
  <c r="G238" i="2"/>
  <c r="G61" i="2"/>
  <c r="G168" i="2"/>
  <c r="G121" i="2"/>
  <c r="G159" i="2"/>
  <c r="G483" i="2"/>
  <c r="G564" i="2"/>
  <c r="G577" i="2"/>
  <c r="G112" i="2"/>
  <c r="G620" i="2"/>
  <c r="G255" i="2"/>
  <c r="G190" i="2"/>
  <c r="G544" i="2"/>
  <c r="G431" i="2"/>
  <c r="G107" i="2"/>
  <c r="G81" i="2"/>
  <c r="G198" i="2"/>
  <c r="G328" i="2"/>
  <c r="G279" i="2"/>
  <c r="G204" i="2"/>
  <c r="G450" i="2"/>
  <c r="G397" i="2"/>
  <c r="G89" i="2"/>
  <c r="G227" i="2"/>
  <c r="G442" i="2"/>
  <c r="G66" i="2"/>
  <c r="G668" i="2"/>
  <c r="G343" i="2"/>
  <c r="G591" i="2"/>
  <c r="G326" i="2"/>
  <c r="G242" i="2"/>
  <c r="G181" i="2"/>
  <c r="G567" i="2"/>
  <c r="G540" i="2"/>
  <c r="G616" i="2"/>
  <c r="G599" i="2"/>
  <c r="G232" i="2"/>
  <c r="G404" i="2"/>
  <c r="G128" i="2"/>
  <c r="G281" i="2"/>
  <c r="G416" i="2"/>
  <c r="G273" i="2"/>
  <c r="G62" i="2"/>
  <c r="G24" i="2"/>
  <c r="G344" i="2"/>
  <c r="G220" i="2"/>
  <c r="G304" i="2"/>
  <c r="G447" i="2"/>
  <c r="G559" i="2"/>
  <c r="G427" i="2"/>
  <c r="G453" i="2"/>
  <c r="G108" i="2"/>
  <c r="G333" i="2"/>
  <c r="G352" i="2"/>
  <c r="G414" i="2"/>
  <c r="G478" i="2"/>
  <c r="G349" i="2"/>
  <c r="G662" i="2"/>
  <c r="G193" i="2"/>
  <c r="G627" i="2"/>
  <c r="G284" i="2"/>
  <c r="G49" i="2"/>
  <c r="G318" i="2"/>
  <c r="G199" i="2"/>
  <c r="G515" i="2"/>
  <c r="G523" i="2"/>
  <c r="G545" i="2"/>
  <c r="G457" i="2"/>
  <c r="G163" i="2"/>
  <c r="G348" i="2"/>
  <c r="G274" i="2"/>
  <c r="G195" i="2"/>
  <c r="G373" i="2"/>
  <c r="G32" i="2"/>
  <c r="G363" i="2"/>
  <c r="G46" i="2"/>
  <c r="G30" i="2"/>
  <c r="G466" i="2"/>
  <c r="G71" i="2"/>
  <c r="G342" i="2"/>
  <c r="G272" i="2"/>
  <c r="G601" i="2"/>
  <c r="G498" i="2"/>
  <c r="G305" i="2"/>
  <c r="G436" i="2"/>
  <c r="G626" i="2"/>
  <c r="G225" i="2"/>
  <c r="G167" i="2"/>
  <c r="G502" i="2"/>
  <c r="G51" i="2"/>
  <c r="G529" i="2"/>
  <c r="G9" i="2"/>
  <c r="G75" i="2"/>
  <c r="G437" i="2"/>
  <c r="G573" i="2"/>
  <c r="G531" i="2"/>
  <c r="G125" i="2"/>
  <c r="G625" i="2"/>
  <c r="G461" i="2"/>
  <c r="G53" i="2"/>
  <c r="G500" i="2"/>
  <c r="G612" i="2"/>
  <c r="G589" i="2"/>
  <c r="G387" i="2"/>
  <c r="G300" i="2"/>
  <c r="G443" i="2"/>
  <c r="G294" i="2"/>
  <c r="G410" i="2"/>
  <c r="G178" i="2"/>
  <c r="G571" i="2"/>
  <c r="G129" i="2"/>
  <c r="G487" i="2"/>
  <c r="G48" i="2"/>
  <c r="G398" i="2"/>
  <c r="G172" i="2"/>
  <c r="G496" i="2"/>
  <c r="G356" i="2"/>
  <c r="G10" i="2"/>
  <c r="G583" i="2"/>
  <c r="G534" i="2"/>
  <c r="G77" i="2"/>
  <c r="G7" i="2"/>
  <c r="G118" i="2"/>
  <c r="G488" i="2"/>
  <c r="G317" i="2"/>
  <c r="G629" i="2"/>
  <c r="G256" i="2"/>
  <c r="G491" i="2"/>
  <c r="G660" i="2"/>
  <c r="G323" i="2"/>
  <c r="G201" i="2"/>
  <c r="G407" i="2"/>
  <c r="G405" i="2"/>
  <c r="G520" i="2"/>
  <c r="G440" i="2"/>
  <c r="G535" i="2"/>
  <c r="G85" i="2"/>
  <c r="G93" i="2"/>
  <c r="G563" i="2"/>
  <c r="G557" i="2"/>
  <c r="G652" i="2"/>
  <c r="G130" i="2"/>
  <c r="G141" i="2"/>
  <c r="G320" i="2"/>
  <c r="G428" i="2"/>
  <c r="G99" i="2"/>
  <c r="G160" i="2"/>
  <c r="G517" i="2"/>
  <c r="G411" i="2"/>
  <c r="G358" i="2"/>
  <c r="G430" i="2"/>
  <c r="G57" i="2"/>
  <c r="G617" i="2"/>
  <c r="G464" i="2"/>
  <c r="G506" i="2"/>
  <c r="G673" i="2"/>
  <c r="G15" i="2"/>
  <c r="G503" i="2"/>
  <c r="G115" i="2"/>
  <c r="G105" i="2"/>
  <c r="G292" i="2"/>
  <c r="G518" i="2"/>
  <c r="G313" i="2"/>
  <c r="G665" i="2"/>
  <c r="G293" i="2"/>
  <c r="G385" i="2"/>
  <c r="G137" i="2"/>
  <c r="G375" i="2"/>
  <c r="G245" i="2"/>
  <c r="G35" i="2"/>
  <c r="G218" i="2"/>
  <c r="G619" i="2"/>
  <c r="G68" i="2"/>
  <c r="G467" i="2"/>
  <c r="G278" i="2"/>
  <c r="G263" i="2"/>
  <c r="G334" i="2"/>
  <c r="G380" i="2"/>
  <c r="G392" i="2"/>
  <c r="G365" i="2"/>
  <c r="G672" i="2"/>
  <c r="G324" i="2"/>
  <c r="G252" i="2"/>
  <c r="G666" i="2"/>
  <c r="G585" i="2"/>
  <c r="G390" i="2"/>
  <c r="G401" i="2"/>
  <c r="G325" i="2"/>
  <c r="G42" i="2"/>
  <c r="G353" i="2"/>
  <c r="G11" i="2"/>
  <c r="G607" i="2"/>
  <c r="G379" i="2"/>
  <c r="G364" i="2"/>
  <c r="G658" i="2"/>
  <c r="G180" i="2"/>
  <c r="G265" i="2"/>
  <c r="G314" i="2"/>
  <c r="G634" i="2"/>
  <c r="G511" i="2"/>
  <c r="G222" i="2"/>
  <c r="G512" i="2"/>
  <c r="G480" i="2"/>
  <c r="G555" i="2"/>
  <c r="G134" i="2"/>
  <c r="G310" i="2"/>
  <c r="G221" i="2"/>
  <c r="G285" i="2"/>
  <c r="G152" i="2"/>
  <c r="G148" i="2"/>
  <c r="G388" i="2"/>
  <c r="G606" i="2"/>
  <c r="G484" i="2"/>
  <c r="G308" i="2"/>
  <c r="G474" i="2"/>
  <c r="G194" i="2"/>
  <c r="N283" i="2"/>
  <c r="K479" i="5"/>
  <c r="J479" i="5"/>
  <c r="I479" i="5"/>
  <c r="H479" i="5"/>
  <c r="G479" i="5"/>
  <c r="K478" i="5"/>
  <c r="J478" i="5"/>
  <c r="I478" i="5"/>
  <c r="H478" i="5"/>
  <c r="G478" i="5"/>
  <c r="K477" i="5"/>
  <c r="J477" i="5"/>
  <c r="I477" i="5"/>
  <c r="H477" i="5"/>
  <c r="G477" i="5"/>
  <c r="K476" i="5"/>
  <c r="J476" i="5"/>
  <c r="I476" i="5"/>
  <c r="H476" i="5"/>
  <c r="G476" i="5"/>
  <c r="K475" i="5"/>
  <c r="J475" i="5"/>
  <c r="I475" i="5"/>
  <c r="H475" i="5"/>
  <c r="G475" i="5"/>
  <c r="K474" i="5"/>
  <c r="J474" i="5"/>
  <c r="I474" i="5"/>
  <c r="H474" i="5"/>
  <c r="G474" i="5"/>
  <c r="K473" i="5"/>
  <c r="J473" i="5"/>
  <c r="I473" i="5"/>
  <c r="H473" i="5"/>
  <c r="G473" i="5"/>
  <c r="K472" i="5"/>
  <c r="J472" i="5"/>
  <c r="I472" i="5"/>
  <c r="H472" i="5"/>
  <c r="G472" i="5"/>
  <c r="K471" i="5"/>
  <c r="J471" i="5"/>
  <c r="I471" i="5"/>
  <c r="H471" i="5"/>
  <c r="G471" i="5"/>
  <c r="K470" i="5"/>
  <c r="J470" i="5"/>
  <c r="I470" i="5"/>
  <c r="H470" i="5"/>
  <c r="G470" i="5"/>
  <c r="K469" i="5"/>
  <c r="J469" i="5"/>
  <c r="I469" i="5"/>
  <c r="H469" i="5"/>
  <c r="G469" i="5"/>
  <c r="K468" i="5"/>
  <c r="J468" i="5"/>
  <c r="I468" i="5"/>
  <c r="H468" i="5"/>
  <c r="G468" i="5"/>
  <c r="K467" i="5"/>
  <c r="J467" i="5"/>
  <c r="I467" i="5"/>
  <c r="H467" i="5"/>
  <c r="G467" i="5"/>
  <c r="K466" i="5"/>
  <c r="J466" i="5"/>
  <c r="I466" i="5"/>
  <c r="H466" i="5"/>
  <c r="G466" i="5"/>
  <c r="K465" i="5"/>
  <c r="J465" i="5"/>
  <c r="I465" i="5"/>
  <c r="H465" i="5"/>
  <c r="G465" i="5"/>
  <c r="K464" i="5"/>
  <c r="J464" i="5"/>
  <c r="I464" i="5"/>
  <c r="H464" i="5"/>
  <c r="G464" i="5"/>
  <c r="K463" i="5"/>
  <c r="J463" i="5"/>
  <c r="I463" i="5"/>
  <c r="H463" i="5"/>
  <c r="G463" i="5"/>
  <c r="K462" i="5"/>
  <c r="J462" i="5"/>
  <c r="I462" i="5"/>
  <c r="H462" i="5"/>
  <c r="G462" i="5"/>
  <c r="K461" i="5"/>
  <c r="J461" i="5"/>
  <c r="I461" i="5"/>
  <c r="H461" i="5"/>
  <c r="G461" i="5"/>
  <c r="K460" i="5"/>
  <c r="J460" i="5"/>
  <c r="I460" i="5"/>
  <c r="H460" i="5"/>
  <c r="G460" i="5"/>
  <c r="K459" i="5"/>
  <c r="J459" i="5"/>
  <c r="I459" i="5"/>
  <c r="H459" i="5"/>
  <c r="G459" i="5"/>
  <c r="K458" i="5"/>
  <c r="J458" i="5"/>
  <c r="I458" i="5"/>
  <c r="H458" i="5"/>
  <c r="G458" i="5"/>
  <c r="K457" i="5"/>
  <c r="J457" i="5"/>
  <c r="I457" i="5"/>
  <c r="H457" i="5"/>
  <c r="G457" i="5"/>
  <c r="K456" i="5"/>
  <c r="J456" i="5"/>
  <c r="I456" i="5"/>
  <c r="H456" i="5"/>
  <c r="G456" i="5"/>
  <c r="K455" i="5"/>
  <c r="J455" i="5"/>
  <c r="I455" i="5"/>
  <c r="H455" i="5"/>
  <c r="G455" i="5"/>
  <c r="K454" i="5"/>
  <c r="J454" i="5"/>
  <c r="I454" i="5"/>
  <c r="H454" i="5"/>
  <c r="G454" i="5"/>
  <c r="K453" i="5"/>
  <c r="J453" i="5"/>
  <c r="I453" i="5"/>
  <c r="H453" i="5"/>
  <c r="G453" i="5"/>
  <c r="K452" i="5"/>
  <c r="J452" i="5"/>
  <c r="I452" i="5"/>
  <c r="H452" i="5"/>
  <c r="G452" i="5"/>
  <c r="K451" i="5"/>
  <c r="J451" i="5"/>
  <c r="I451" i="5"/>
  <c r="H451" i="5"/>
  <c r="G451" i="5"/>
  <c r="K450" i="5"/>
  <c r="J450" i="5"/>
  <c r="I450" i="5"/>
  <c r="H450" i="5"/>
  <c r="G450" i="5"/>
  <c r="K449" i="5"/>
  <c r="J449" i="5"/>
  <c r="I449" i="5"/>
  <c r="H449" i="5"/>
  <c r="G449" i="5"/>
  <c r="K448" i="5"/>
  <c r="J448" i="5"/>
  <c r="I448" i="5"/>
  <c r="H448" i="5"/>
  <c r="G448" i="5"/>
  <c r="K447" i="5"/>
  <c r="J447" i="5"/>
  <c r="I447" i="5"/>
  <c r="H447" i="5"/>
  <c r="G447" i="5"/>
  <c r="K446" i="5"/>
  <c r="J446" i="5"/>
  <c r="I446" i="5"/>
  <c r="H446" i="5"/>
  <c r="G446" i="5"/>
  <c r="K445" i="5"/>
  <c r="J445" i="5"/>
  <c r="I445" i="5"/>
  <c r="H445" i="5"/>
  <c r="G445" i="5"/>
  <c r="K444" i="5"/>
  <c r="J444" i="5"/>
  <c r="I444" i="5"/>
  <c r="H444" i="5"/>
  <c r="G444" i="5"/>
  <c r="K443" i="5"/>
  <c r="J443" i="5"/>
  <c r="I443" i="5"/>
  <c r="H443" i="5"/>
  <c r="G443" i="5"/>
  <c r="K442" i="5"/>
  <c r="J442" i="5"/>
  <c r="I442" i="5"/>
  <c r="H442" i="5"/>
  <c r="G442" i="5"/>
  <c r="K441" i="5"/>
  <c r="J441" i="5"/>
  <c r="I441" i="5"/>
  <c r="H441" i="5"/>
  <c r="G441" i="5"/>
  <c r="K440" i="5"/>
  <c r="J440" i="5"/>
  <c r="I440" i="5"/>
  <c r="H440" i="5"/>
  <c r="G440" i="5"/>
  <c r="K439" i="5"/>
  <c r="J439" i="5"/>
  <c r="I439" i="5"/>
  <c r="H439" i="5"/>
  <c r="G439" i="5"/>
  <c r="K438" i="5"/>
  <c r="J438" i="5"/>
  <c r="I438" i="5"/>
  <c r="H438" i="5"/>
  <c r="G438" i="5"/>
  <c r="K437" i="5"/>
  <c r="J437" i="5"/>
  <c r="I437" i="5"/>
  <c r="H437" i="5"/>
  <c r="G437" i="5"/>
  <c r="K436" i="5"/>
  <c r="J436" i="5"/>
  <c r="I436" i="5"/>
  <c r="H436" i="5"/>
  <c r="G436" i="5"/>
  <c r="K435" i="5"/>
  <c r="J435" i="5"/>
  <c r="I435" i="5"/>
  <c r="H435" i="5"/>
  <c r="G435" i="5"/>
  <c r="K434" i="5"/>
  <c r="J434" i="5"/>
  <c r="I434" i="5"/>
  <c r="H434" i="5"/>
  <c r="G434" i="5"/>
  <c r="K433" i="5"/>
  <c r="J433" i="5"/>
  <c r="I433" i="5"/>
  <c r="H433" i="5"/>
  <c r="G433" i="5"/>
  <c r="K432" i="5"/>
  <c r="J432" i="5"/>
  <c r="I432" i="5"/>
  <c r="H432" i="5"/>
  <c r="G432" i="5"/>
  <c r="K431" i="5"/>
  <c r="J431" i="5"/>
  <c r="I431" i="5"/>
  <c r="H431" i="5"/>
  <c r="G431" i="5"/>
  <c r="K430" i="5"/>
  <c r="J430" i="5"/>
  <c r="I430" i="5"/>
  <c r="H430" i="5"/>
  <c r="G430" i="5"/>
  <c r="K429" i="5"/>
  <c r="J429" i="5"/>
  <c r="I429" i="5"/>
  <c r="H429" i="5"/>
  <c r="G429" i="5"/>
  <c r="K428" i="5"/>
  <c r="J428" i="5"/>
  <c r="I428" i="5"/>
  <c r="H428" i="5"/>
  <c r="G428" i="5"/>
  <c r="K427" i="5"/>
  <c r="J427" i="5"/>
  <c r="I427" i="5"/>
  <c r="H427" i="5"/>
  <c r="G427" i="5"/>
  <c r="K426" i="5"/>
  <c r="J426" i="5"/>
  <c r="I426" i="5"/>
  <c r="H426" i="5"/>
  <c r="G426" i="5"/>
  <c r="K425" i="5"/>
  <c r="J425" i="5"/>
  <c r="I425" i="5"/>
  <c r="H425" i="5"/>
  <c r="G425" i="5"/>
  <c r="K424" i="5"/>
  <c r="J424" i="5"/>
  <c r="I424" i="5"/>
  <c r="H424" i="5"/>
  <c r="G424" i="5"/>
  <c r="K423" i="5"/>
  <c r="J423" i="5"/>
  <c r="I423" i="5"/>
  <c r="H423" i="5"/>
  <c r="G423" i="5"/>
  <c r="K422" i="5"/>
  <c r="J422" i="5"/>
  <c r="I422" i="5"/>
  <c r="H422" i="5"/>
  <c r="G422" i="5"/>
  <c r="K421" i="5"/>
  <c r="J421" i="5"/>
  <c r="I421" i="5"/>
  <c r="H421" i="5"/>
  <c r="G421" i="5"/>
  <c r="K420" i="5"/>
  <c r="J420" i="5"/>
  <c r="I420" i="5"/>
  <c r="H420" i="5"/>
  <c r="G420" i="5"/>
  <c r="K419" i="5"/>
  <c r="J419" i="5"/>
  <c r="I419" i="5"/>
  <c r="H419" i="5"/>
  <c r="G419" i="5"/>
  <c r="K418" i="5"/>
  <c r="J418" i="5"/>
  <c r="I418" i="5"/>
  <c r="H418" i="5"/>
  <c r="G418" i="5"/>
  <c r="K417" i="5"/>
  <c r="J417" i="5"/>
  <c r="I417" i="5"/>
  <c r="H417" i="5"/>
  <c r="G417" i="5"/>
  <c r="K416" i="5"/>
  <c r="J416" i="5"/>
  <c r="I416" i="5"/>
  <c r="H416" i="5"/>
  <c r="G416" i="5"/>
  <c r="K415" i="5"/>
  <c r="J415" i="5"/>
  <c r="I415" i="5"/>
  <c r="H415" i="5"/>
  <c r="G415" i="5"/>
  <c r="K414" i="5"/>
  <c r="J414" i="5"/>
  <c r="I414" i="5"/>
  <c r="H414" i="5"/>
  <c r="G414" i="5"/>
  <c r="K413" i="5"/>
  <c r="J413" i="5"/>
  <c r="I413" i="5"/>
  <c r="H413" i="5"/>
  <c r="G413" i="5"/>
  <c r="K412" i="5"/>
  <c r="J412" i="5"/>
  <c r="I412" i="5"/>
  <c r="H412" i="5"/>
  <c r="G412" i="5"/>
  <c r="K411" i="5"/>
  <c r="J411" i="5"/>
  <c r="I411" i="5"/>
  <c r="H411" i="5"/>
  <c r="G411" i="5"/>
  <c r="K410" i="5"/>
  <c r="J410" i="5"/>
  <c r="I410" i="5"/>
  <c r="H410" i="5"/>
  <c r="G410" i="5"/>
  <c r="K409" i="5"/>
  <c r="J409" i="5"/>
  <c r="I409" i="5"/>
  <c r="H409" i="5"/>
  <c r="G409" i="5"/>
  <c r="K408" i="5"/>
  <c r="J408" i="5"/>
  <c r="I408" i="5"/>
  <c r="H408" i="5"/>
  <c r="G408" i="5"/>
  <c r="K407" i="5"/>
  <c r="J407" i="5"/>
  <c r="I407" i="5"/>
  <c r="H407" i="5"/>
  <c r="G407" i="5"/>
  <c r="K406" i="5"/>
  <c r="J406" i="5"/>
  <c r="I406" i="5"/>
  <c r="H406" i="5"/>
  <c r="G406" i="5"/>
  <c r="K405" i="5"/>
  <c r="J405" i="5"/>
  <c r="I405" i="5"/>
  <c r="H405" i="5"/>
  <c r="G405" i="5"/>
  <c r="K404" i="5"/>
  <c r="J404" i="5"/>
  <c r="I404" i="5"/>
  <c r="H404" i="5"/>
  <c r="G404" i="5"/>
  <c r="K403" i="5"/>
  <c r="J403" i="5"/>
  <c r="I403" i="5"/>
  <c r="H403" i="5"/>
  <c r="G403" i="5"/>
  <c r="K402" i="5"/>
  <c r="J402" i="5"/>
  <c r="I402" i="5"/>
  <c r="H402" i="5"/>
  <c r="G402" i="5"/>
  <c r="K401" i="5"/>
  <c r="J401" i="5"/>
  <c r="I401" i="5"/>
  <c r="H401" i="5"/>
  <c r="G401" i="5"/>
  <c r="K400" i="5"/>
  <c r="J400" i="5"/>
  <c r="I400" i="5"/>
  <c r="H400" i="5"/>
  <c r="G400" i="5"/>
  <c r="K399" i="5"/>
  <c r="J399" i="5"/>
  <c r="I399" i="5"/>
  <c r="H399" i="5"/>
  <c r="G399" i="5"/>
  <c r="K398" i="5"/>
  <c r="J398" i="5"/>
  <c r="I398" i="5"/>
  <c r="H398" i="5"/>
  <c r="G398" i="5"/>
  <c r="K397" i="5"/>
  <c r="J397" i="5"/>
  <c r="I397" i="5"/>
  <c r="H397" i="5"/>
  <c r="G397" i="5"/>
  <c r="K396" i="5"/>
  <c r="J396" i="5"/>
  <c r="I396" i="5"/>
  <c r="H396" i="5"/>
  <c r="G396" i="5"/>
  <c r="K395" i="5"/>
  <c r="J395" i="5"/>
  <c r="I395" i="5"/>
  <c r="H395" i="5"/>
  <c r="G395" i="5"/>
  <c r="K394" i="5"/>
  <c r="J394" i="5"/>
  <c r="I394" i="5"/>
  <c r="H394" i="5"/>
  <c r="G394" i="5"/>
  <c r="K393" i="5"/>
  <c r="J393" i="5"/>
  <c r="I393" i="5"/>
  <c r="H393" i="5"/>
  <c r="G393" i="5"/>
  <c r="K392" i="5"/>
  <c r="J392" i="5"/>
  <c r="I392" i="5"/>
  <c r="H392" i="5"/>
  <c r="G392" i="5"/>
  <c r="K391" i="5"/>
  <c r="J391" i="5"/>
  <c r="I391" i="5"/>
  <c r="H391" i="5"/>
  <c r="G391" i="5"/>
  <c r="K390" i="5"/>
  <c r="J390" i="5"/>
  <c r="I390" i="5"/>
  <c r="H390" i="5"/>
  <c r="G390" i="5"/>
  <c r="K389" i="5"/>
  <c r="J389" i="5"/>
  <c r="I389" i="5"/>
  <c r="H389" i="5"/>
  <c r="G389" i="5"/>
  <c r="K388" i="5"/>
  <c r="J388" i="5"/>
  <c r="I388" i="5"/>
  <c r="H388" i="5"/>
  <c r="G388" i="5"/>
  <c r="K387" i="5"/>
  <c r="J387" i="5"/>
  <c r="I387" i="5"/>
  <c r="H387" i="5"/>
  <c r="G387" i="5"/>
  <c r="K386" i="5"/>
  <c r="J386" i="5"/>
  <c r="I386" i="5"/>
  <c r="H386" i="5"/>
  <c r="G386" i="5"/>
  <c r="K385" i="5"/>
  <c r="J385" i="5"/>
  <c r="I385" i="5"/>
  <c r="H385" i="5"/>
  <c r="G385" i="5"/>
  <c r="K384" i="5"/>
  <c r="J384" i="5"/>
  <c r="I384" i="5"/>
  <c r="H384" i="5"/>
  <c r="G384" i="5"/>
  <c r="K383" i="5"/>
  <c r="J383" i="5"/>
  <c r="I383" i="5"/>
  <c r="H383" i="5"/>
  <c r="G383" i="5"/>
  <c r="K382" i="5"/>
  <c r="J382" i="5"/>
  <c r="I382" i="5"/>
  <c r="H382" i="5"/>
  <c r="G382" i="5"/>
  <c r="K381" i="5"/>
  <c r="J381" i="5"/>
  <c r="I381" i="5"/>
  <c r="H381" i="5"/>
  <c r="G381" i="5"/>
  <c r="K380" i="5"/>
  <c r="J380" i="5"/>
  <c r="I380" i="5"/>
  <c r="H380" i="5"/>
  <c r="G380" i="5"/>
  <c r="K379" i="5"/>
  <c r="J379" i="5"/>
  <c r="I379" i="5"/>
  <c r="H379" i="5"/>
  <c r="G379" i="5"/>
  <c r="K378" i="5"/>
  <c r="J378" i="5"/>
  <c r="I378" i="5"/>
  <c r="H378" i="5"/>
  <c r="G378" i="5"/>
  <c r="K377" i="5"/>
  <c r="J377" i="5"/>
  <c r="I377" i="5"/>
  <c r="H377" i="5"/>
  <c r="G377" i="5"/>
  <c r="K376" i="5"/>
  <c r="J376" i="5"/>
  <c r="I376" i="5"/>
  <c r="H376" i="5"/>
  <c r="G376" i="5"/>
  <c r="K375" i="5"/>
  <c r="J375" i="5"/>
  <c r="I375" i="5"/>
  <c r="H375" i="5"/>
  <c r="G375" i="5"/>
  <c r="K374" i="5"/>
  <c r="J374" i="5"/>
  <c r="I374" i="5"/>
  <c r="H374" i="5"/>
  <c r="G374" i="5"/>
  <c r="K373" i="5"/>
  <c r="J373" i="5"/>
  <c r="I373" i="5"/>
  <c r="H373" i="5"/>
  <c r="G373" i="5"/>
  <c r="K372" i="5"/>
  <c r="J372" i="5"/>
  <c r="I372" i="5"/>
  <c r="H372" i="5"/>
  <c r="G372" i="5"/>
  <c r="K371" i="5"/>
  <c r="J371" i="5"/>
  <c r="I371" i="5"/>
  <c r="H371" i="5"/>
  <c r="G371" i="5"/>
  <c r="K370" i="5"/>
  <c r="J370" i="5"/>
  <c r="I370" i="5"/>
  <c r="H370" i="5"/>
  <c r="G370" i="5"/>
  <c r="K369" i="5"/>
  <c r="J369" i="5"/>
  <c r="I369" i="5"/>
  <c r="H369" i="5"/>
  <c r="G369" i="5"/>
  <c r="K368" i="5"/>
  <c r="J368" i="5"/>
  <c r="I368" i="5"/>
  <c r="H368" i="5"/>
  <c r="G368" i="5"/>
  <c r="K367" i="5"/>
  <c r="J367" i="5"/>
  <c r="I367" i="5"/>
  <c r="H367" i="5"/>
  <c r="G367" i="5"/>
  <c r="K366" i="5"/>
  <c r="J366" i="5"/>
  <c r="I366" i="5"/>
  <c r="H366" i="5"/>
  <c r="G366" i="5"/>
  <c r="K365" i="5"/>
  <c r="J365" i="5"/>
  <c r="I365" i="5"/>
  <c r="H365" i="5"/>
  <c r="G365" i="5"/>
  <c r="K364" i="5"/>
  <c r="J364" i="5"/>
  <c r="I364" i="5"/>
  <c r="H364" i="5"/>
  <c r="G364" i="5"/>
  <c r="K363" i="5"/>
  <c r="J363" i="5"/>
  <c r="I363" i="5"/>
  <c r="H363" i="5"/>
  <c r="G363" i="5"/>
  <c r="K362" i="5"/>
  <c r="J362" i="5"/>
  <c r="I362" i="5"/>
  <c r="H362" i="5"/>
  <c r="G362" i="5"/>
  <c r="K361" i="5"/>
  <c r="J361" i="5"/>
  <c r="I361" i="5"/>
  <c r="H361" i="5"/>
  <c r="G361" i="5"/>
  <c r="K360" i="5"/>
  <c r="J360" i="5"/>
  <c r="I360" i="5"/>
  <c r="H360" i="5"/>
  <c r="G360" i="5"/>
  <c r="K359" i="5"/>
  <c r="J359" i="5"/>
  <c r="I359" i="5"/>
  <c r="H359" i="5"/>
  <c r="G359" i="5"/>
  <c r="K358" i="5"/>
  <c r="J358" i="5"/>
  <c r="I358" i="5"/>
  <c r="H358" i="5"/>
  <c r="G358" i="5"/>
  <c r="K357" i="5"/>
  <c r="J357" i="5"/>
  <c r="I357" i="5"/>
  <c r="H357" i="5"/>
  <c r="G357" i="5"/>
  <c r="K356" i="5"/>
  <c r="J356" i="5"/>
  <c r="I356" i="5"/>
  <c r="H356" i="5"/>
  <c r="G356" i="5"/>
  <c r="K355" i="5"/>
  <c r="J355" i="5"/>
  <c r="I355" i="5"/>
  <c r="H355" i="5"/>
  <c r="G355" i="5"/>
  <c r="K354" i="5"/>
  <c r="J354" i="5"/>
  <c r="I354" i="5"/>
  <c r="H354" i="5"/>
  <c r="G354" i="5"/>
  <c r="K353" i="5"/>
  <c r="J353" i="5"/>
  <c r="I353" i="5"/>
  <c r="H353" i="5"/>
  <c r="G353" i="5"/>
  <c r="K352" i="5"/>
  <c r="J352" i="5"/>
  <c r="I352" i="5"/>
  <c r="H352" i="5"/>
  <c r="G352" i="5"/>
  <c r="K351" i="5"/>
  <c r="J351" i="5"/>
  <c r="I351" i="5"/>
  <c r="H351" i="5"/>
  <c r="G351" i="5"/>
  <c r="K350" i="5"/>
  <c r="J350" i="5"/>
  <c r="I350" i="5"/>
  <c r="H350" i="5"/>
  <c r="G350" i="5"/>
  <c r="K349" i="5"/>
  <c r="J349" i="5"/>
  <c r="I349" i="5"/>
  <c r="H349" i="5"/>
  <c r="G349" i="5"/>
  <c r="K348" i="5"/>
  <c r="J348" i="5"/>
  <c r="I348" i="5"/>
  <c r="H348" i="5"/>
  <c r="G348" i="5"/>
  <c r="K347" i="5"/>
  <c r="J347" i="5"/>
  <c r="I347" i="5"/>
  <c r="H347" i="5"/>
  <c r="G347" i="5"/>
  <c r="K346" i="5"/>
  <c r="J346" i="5"/>
  <c r="I346" i="5"/>
  <c r="H346" i="5"/>
  <c r="G346" i="5"/>
  <c r="K345" i="5"/>
  <c r="J345" i="5"/>
  <c r="I345" i="5"/>
  <c r="H345" i="5"/>
  <c r="G345" i="5"/>
  <c r="K344" i="5"/>
  <c r="J344" i="5"/>
  <c r="I344" i="5"/>
  <c r="H344" i="5"/>
  <c r="G344" i="5"/>
  <c r="K343" i="5"/>
  <c r="J343" i="5"/>
  <c r="I343" i="5"/>
  <c r="H343" i="5"/>
  <c r="G343" i="5"/>
  <c r="K342" i="5"/>
  <c r="J342" i="5"/>
  <c r="I342" i="5"/>
  <c r="H342" i="5"/>
  <c r="G342" i="5"/>
  <c r="K341" i="5"/>
  <c r="J341" i="5"/>
  <c r="I341" i="5"/>
  <c r="H341" i="5"/>
  <c r="G341" i="5"/>
  <c r="K340" i="5"/>
  <c r="J340" i="5"/>
  <c r="I340" i="5"/>
  <c r="H340" i="5"/>
  <c r="G340" i="5"/>
  <c r="K339" i="5"/>
  <c r="J339" i="5"/>
  <c r="I339" i="5"/>
  <c r="H339" i="5"/>
  <c r="G339" i="5"/>
  <c r="K338" i="5"/>
  <c r="J338" i="5"/>
  <c r="I338" i="5"/>
  <c r="H338" i="5"/>
  <c r="G338" i="5"/>
  <c r="K337" i="5"/>
  <c r="J337" i="5"/>
  <c r="I337" i="5"/>
  <c r="H337" i="5"/>
  <c r="G337" i="5"/>
  <c r="K336" i="5"/>
  <c r="J336" i="5"/>
  <c r="I336" i="5"/>
  <c r="H336" i="5"/>
  <c r="G336" i="5"/>
  <c r="K335" i="5"/>
  <c r="J335" i="5"/>
  <c r="I335" i="5"/>
  <c r="H335" i="5"/>
  <c r="G335" i="5"/>
  <c r="K334" i="5"/>
  <c r="J334" i="5"/>
  <c r="I334" i="5"/>
  <c r="H334" i="5"/>
  <c r="G334" i="5"/>
  <c r="K333" i="5"/>
  <c r="J333" i="5"/>
  <c r="I333" i="5"/>
  <c r="H333" i="5"/>
  <c r="G333" i="5"/>
  <c r="K332" i="5"/>
  <c r="J332" i="5"/>
  <c r="I332" i="5"/>
  <c r="H332" i="5"/>
  <c r="G332" i="5"/>
  <c r="K331" i="5"/>
  <c r="J331" i="5"/>
  <c r="I331" i="5"/>
  <c r="H331" i="5"/>
  <c r="G331" i="5"/>
  <c r="K330" i="5"/>
  <c r="J330" i="5"/>
  <c r="I330" i="5"/>
  <c r="H330" i="5"/>
  <c r="G330" i="5"/>
  <c r="K329" i="5"/>
  <c r="J329" i="5"/>
  <c r="I329" i="5"/>
  <c r="H329" i="5"/>
  <c r="G329" i="5"/>
  <c r="K328" i="5"/>
  <c r="J328" i="5"/>
  <c r="I328" i="5"/>
  <c r="H328" i="5"/>
  <c r="G328" i="5"/>
  <c r="K327" i="5"/>
  <c r="J327" i="5"/>
  <c r="I327" i="5"/>
  <c r="H327" i="5"/>
  <c r="G327" i="5"/>
  <c r="K326" i="5"/>
  <c r="J326" i="5"/>
  <c r="I326" i="5"/>
  <c r="H326" i="5"/>
  <c r="G326" i="5"/>
  <c r="K325" i="5"/>
  <c r="J325" i="5"/>
  <c r="I325" i="5"/>
  <c r="H325" i="5"/>
  <c r="G325" i="5"/>
  <c r="K324" i="5"/>
  <c r="J324" i="5"/>
  <c r="I324" i="5"/>
  <c r="H324" i="5"/>
  <c r="G324" i="5"/>
  <c r="K323" i="5"/>
  <c r="J323" i="5"/>
  <c r="I323" i="5"/>
  <c r="H323" i="5"/>
  <c r="G323" i="5"/>
  <c r="K322" i="5"/>
  <c r="J322" i="5"/>
  <c r="I322" i="5"/>
  <c r="H322" i="5"/>
  <c r="G322" i="5"/>
  <c r="K321" i="5"/>
  <c r="J321" i="5"/>
  <c r="I321" i="5"/>
  <c r="H321" i="5"/>
  <c r="G321" i="5"/>
  <c r="K320" i="5"/>
  <c r="J320" i="5"/>
  <c r="I320" i="5"/>
  <c r="H320" i="5"/>
  <c r="G320" i="5"/>
  <c r="K319" i="5"/>
  <c r="J319" i="5"/>
  <c r="I319" i="5"/>
  <c r="H319" i="5"/>
  <c r="G319" i="5"/>
  <c r="K318" i="5"/>
  <c r="J318" i="5"/>
  <c r="I318" i="5"/>
  <c r="H318" i="5"/>
  <c r="G318" i="5"/>
  <c r="K317" i="5"/>
  <c r="J317" i="5"/>
  <c r="I317" i="5"/>
  <c r="H317" i="5"/>
  <c r="G317" i="5"/>
  <c r="K316" i="5"/>
  <c r="J316" i="5"/>
  <c r="I316" i="5"/>
  <c r="H316" i="5"/>
  <c r="G316" i="5"/>
  <c r="K315" i="5"/>
  <c r="J315" i="5"/>
  <c r="I315" i="5"/>
  <c r="H315" i="5"/>
  <c r="G315" i="5"/>
  <c r="K314" i="5"/>
  <c r="J314" i="5"/>
  <c r="I314" i="5"/>
  <c r="H314" i="5"/>
  <c r="G314" i="5"/>
  <c r="K313" i="5"/>
  <c r="J313" i="5"/>
  <c r="I313" i="5"/>
  <c r="H313" i="5"/>
  <c r="G313" i="5"/>
  <c r="K312" i="5"/>
  <c r="J312" i="5"/>
  <c r="I312" i="5"/>
  <c r="H312" i="5"/>
  <c r="G312" i="5"/>
  <c r="K311" i="5"/>
  <c r="J311" i="5"/>
  <c r="I311" i="5"/>
  <c r="H311" i="5"/>
  <c r="G311" i="5"/>
  <c r="K310" i="5"/>
  <c r="J310" i="5"/>
  <c r="I310" i="5"/>
  <c r="H310" i="5"/>
  <c r="G310" i="5"/>
  <c r="K309" i="5"/>
  <c r="J309" i="5"/>
  <c r="I309" i="5"/>
  <c r="H309" i="5"/>
  <c r="G309" i="5"/>
  <c r="K308" i="5"/>
  <c r="J308" i="5"/>
  <c r="I308" i="5"/>
  <c r="H308" i="5"/>
  <c r="G308" i="5"/>
  <c r="K307" i="5"/>
  <c r="J307" i="5"/>
  <c r="I307" i="5"/>
  <c r="H307" i="5"/>
  <c r="G307" i="5"/>
  <c r="K306" i="5"/>
  <c r="J306" i="5"/>
  <c r="I306" i="5"/>
  <c r="H306" i="5"/>
  <c r="G306" i="5"/>
  <c r="K305" i="5"/>
  <c r="J305" i="5"/>
  <c r="I305" i="5"/>
  <c r="H305" i="5"/>
  <c r="G305" i="5"/>
  <c r="K304" i="5"/>
  <c r="J304" i="5"/>
  <c r="I304" i="5"/>
  <c r="H304" i="5"/>
  <c r="G304" i="5"/>
  <c r="K303" i="5"/>
  <c r="J303" i="5"/>
  <c r="I303" i="5"/>
  <c r="H303" i="5"/>
  <c r="G303" i="5"/>
  <c r="K302" i="5"/>
  <c r="J302" i="5"/>
  <c r="I302" i="5"/>
  <c r="H302" i="5"/>
  <c r="G302" i="5"/>
  <c r="K301" i="5"/>
  <c r="J301" i="5"/>
  <c r="I301" i="5"/>
  <c r="H301" i="5"/>
  <c r="G301" i="5"/>
  <c r="K300" i="5"/>
  <c r="J300" i="5"/>
  <c r="I300" i="5"/>
  <c r="H300" i="5"/>
  <c r="G300" i="5"/>
  <c r="K299" i="5"/>
  <c r="J299" i="5"/>
  <c r="I299" i="5"/>
  <c r="H299" i="5"/>
  <c r="G299" i="5"/>
  <c r="K298" i="5"/>
  <c r="J298" i="5"/>
  <c r="I298" i="5"/>
  <c r="H298" i="5"/>
  <c r="G298" i="5"/>
  <c r="K297" i="5"/>
  <c r="J297" i="5"/>
  <c r="I297" i="5"/>
  <c r="H297" i="5"/>
  <c r="G297" i="5"/>
  <c r="K296" i="5"/>
  <c r="J296" i="5"/>
  <c r="I296" i="5"/>
  <c r="H296" i="5"/>
  <c r="G296" i="5"/>
  <c r="K295" i="5"/>
  <c r="J295" i="5"/>
  <c r="I295" i="5"/>
  <c r="H295" i="5"/>
  <c r="G295" i="5"/>
  <c r="K294" i="5"/>
  <c r="J294" i="5"/>
  <c r="I294" i="5"/>
  <c r="H294" i="5"/>
  <c r="G294" i="5"/>
  <c r="K293" i="5"/>
  <c r="J293" i="5"/>
  <c r="I293" i="5"/>
  <c r="H293" i="5"/>
  <c r="G293" i="5"/>
  <c r="K292" i="5"/>
  <c r="J292" i="5"/>
  <c r="I292" i="5"/>
  <c r="H292" i="5"/>
  <c r="G292" i="5"/>
  <c r="K291" i="5"/>
  <c r="J291" i="5"/>
  <c r="I291" i="5"/>
  <c r="H291" i="5"/>
  <c r="G291" i="5"/>
  <c r="K290" i="5"/>
  <c r="J290" i="5"/>
  <c r="I290" i="5"/>
  <c r="H290" i="5"/>
  <c r="G290" i="5"/>
  <c r="K289" i="5"/>
  <c r="J289" i="5"/>
  <c r="I289" i="5"/>
  <c r="H289" i="5"/>
  <c r="G289" i="5"/>
  <c r="K288" i="5"/>
  <c r="J288" i="5"/>
  <c r="I288" i="5"/>
  <c r="H288" i="5"/>
  <c r="G288" i="5"/>
  <c r="K287" i="5"/>
  <c r="J287" i="5"/>
  <c r="I287" i="5"/>
  <c r="H287" i="5"/>
  <c r="G287" i="5"/>
  <c r="K286" i="5"/>
  <c r="J286" i="5"/>
  <c r="I286" i="5"/>
  <c r="H286" i="5"/>
  <c r="G286" i="5"/>
  <c r="K285" i="5"/>
  <c r="J285" i="5"/>
  <c r="I285" i="5"/>
  <c r="H285" i="5"/>
  <c r="G285" i="5"/>
  <c r="K284" i="5"/>
  <c r="J284" i="5"/>
  <c r="I284" i="5"/>
  <c r="H284" i="5"/>
  <c r="G284" i="5"/>
  <c r="K283" i="5"/>
  <c r="J283" i="5"/>
  <c r="I283" i="5"/>
  <c r="H283" i="5"/>
  <c r="G283" i="5"/>
  <c r="K282" i="5"/>
  <c r="J282" i="5"/>
  <c r="I282" i="5"/>
  <c r="H282" i="5"/>
  <c r="G282" i="5"/>
  <c r="K281" i="5"/>
  <c r="J281" i="5"/>
  <c r="I281" i="5"/>
  <c r="H281" i="5"/>
  <c r="G281" i="5"/>
  <c r="K280" i="5"/>
  <c r="J280" i="5"/>
  <c r="I280" i="5"/>
  <c r="H280" i="5"/>
  <c r="G280" i="5"/>
  <c r="K279" i="5"/>
  <c r="J279" i="5"/>
  <c r="I279" i="5"/>
  <c r="H279" i="5"/>
  <c r="G279" i="5"/>
  <c r="K278" i="5"/>
  <c r="J278" i="5"/>
  <c r="I278" i="5"/>
  <c r="H278" i="5"/>
  <c r="G278" i="5"/>
  <c r="K277" i="5"/>
  <c r="J277" i="5"/>
  <c r="I277" i="5"/>
  <c r="H277" i="5"/>
  <c r="G277" i="5"/>
  <c r="K276" i="5"/>
  <c r="J276" i="5"/>
  <c r="I276" i="5"/>
  <c r="H276" i="5"/>
  <c r="G276" i="5"/>
  <c r="K275" i="5"/>
  <c r="J275" i="5"/>
  <c r="I275" i="5"/>
  <c r="H275" i="5"/>
  <c r="G275" i="5"/>
  <c r="K274" i="5"/>
  <c r="J274" i="5"/>
  <c r="I274" i="5"/>
  <c r="H274" i="5"/>
  <c r="G274" i="5"/>
  <c r="K273" i="5"/>
  <c r="J273" i="5"/>
  <c r="I273" i="5"/>
  <c r="H273" i="5"/>
  <c r="G273" i="5"/>
  <c r="K272" i="5"/>
  <c r="J272" i="5"/>
  <c r="I272" i="5"/>
  <c r="H272" i="5"/>
  <c r="G272" i="5"/>
  <c r="K271" i="5"/>
  <c r="J271" i="5"/>
  <c r="I271" i="5"/>
  <c r="H271" i="5"/>
  <c r="G271" i="5"/>
  <c r="K270" i="5"/>
  <c r="J270" i="5"/>
  <c r="I270" i="5"/>
  <c r="H270" i="5"/>
  <c r="G270" i="5"/>
  <c r="K269" i="5"/>
  <c r="J269" i="5"/>
  <c r="I269" i="5"/>
  <c r="H269" i="5"/>
  <c r="G269" i="5"/>
  <c r="K268" i="5"/>
  <c r="J268" i="5"/>
  <c r="I268" i="5"/>
  <c r="H268" i="5"/>
  <c r="G268" i="5"/>
  <c r="K267" i="5"/>
  <c r="J267" i="5"/>
  <c r="I267" i="5"/>
  <c r="H267" i="5"/>
  <c r="G267" i="5"/>
  <c r="K266" i="5"/>
  <c r="J266" i="5"/>
  <c r="I266" i="5"/>
  <c r="H266" i="5"/>
  <c r="G266" i="5"/>
  <c r="K265" i="5"/>
  <c r="J265" i="5"/>
  <c r="I265" i="5"/>
  <c r="H265" i="5"/>
  <c r="G265" i="5"/>
  <c r="K264" i="5"/>
  <c r="J264" i="5"/>
  <c r="I264" i="5"/>
  <c r="H264" i="5"/>
  <c r="G264" i="5"/>
  <c r="K263" i="5"/>
  <c r="J263" i="5"/>
  <c r="I263" i="5"/>
  <c r="H263" i="5"/>
  <c r="G263" i="5"/>
  <c r="K262" i="5"/>
  <c r="J262" i="5"/>
  <c r="I262" i="5"/>
  <c r="H262" i="5"/>
  <c r="G262" i="5"/>
  <c r="K261" i="5"/>
  <c r="J261" i="5"/>
  <c r="I261" i="5"/>
  <c r="H261" i="5"/>
  <c r="G261" i="5"/>
  <c r="K260" i="5"/>
  <c r="J260" i="5"/>
  <c r="I260" i="5"/>
  <c r="H260" i="5"/>
  <c r="G260" i="5"/>
  <c r="K259" i="5"/>
  <c r="J259" i="5"/>
  <c r="I259" i="5"/>
  <c r="H259" i="5"/>
  <c r="G259" i="5"/>
  <c r="K258" i="5"/>
  <c r="J258" i="5"/>
  <c r="I258" i="5"/>
  <c r="H258" i="5"/>
  <c r="G258" i="5"/>
  <c r="K257" i="5"/>
  <c r="J257" i="5"/>
  <c r="I257" i="5"/>
  <c r="H257" i="5"/>
  <c r="G257" i="5"/>
  <c r="K256" i="5"/>
  <c r="J256" i="5"/>
  <c r="I256" i="5"/>
  <c r="H256" i="5"/>
  <c r="G256" i="5"/>
  <c r="K255" i="5"/>
  <c r="J255" i="5"/>
  <c r="I255" i="5"/>
  <c r="H255" i="5"/>
  <c r="G255" i="5"/>
  <c r="K254" i="5"/>
  <c r="J254" i="5"/>
  <c r="I254" i="5"/>
  <c r="H254" i="5"/>
  <c r="G254" i="5"/>
  <c r="K253" i="5"/>
  <c r="J253" i="5"/>
  <c r="I253" i="5"/>
  <c r="H253" i="5"/>
  <c r="G253" i="5"/>
  <c r="K252" i="5"/>
  <c r="J252" i="5"/>
  <c r="I252" i="5"/>
  <c r="H252" i="5"/>
  <c r="G252" i="5"/>
  <c r="K251" i="5"/>
  <c r="J251" i="5"/>
  <c r="I251" i="5"/>
  <c r="H251" i="5"/>
  <c r="G251" i="5"/>
  <c r="K250" i="5"/>
  <c r="J250" i="5"/>
  <c r="I250" i="5"/>
  <c r="H250" i="5"/>
  <c r="G250" i="5"/>
  <c r="K249" i="5"/>
  <c r="J249" i="5"/>
  <c r="I249" i="5"/>
  <c r="H249" i="5"/>
  <c r="G249" i="5"/>
  <c r="K248" i="5"/>
  <c r="J248" i="5"/>
  <c r="I248" i="5"/>
  <c r="H248" i="5"/>
  <c r="G248" i="5"/>
  <c r="K247" i="5"/>
  <c r="J247" i="5"/>
  <c r="I247" i="5"/>
  <c r="H247" i="5"/>
  <c r="G247" i="5"/>
  <c r="K246" i="5"/>
  <c r="J246" i="5"/>
  <c r="I246" i="5"/>
  <c r="H246" i="5"/>
  <c r="G246" i="5"/>
  <c r="K245" i="5"/>
  <c r="J245" i="5"/>
  <c r="I245" i="5"/>
  <c r="H245" i="5"/>
  <c r="G245" i="5"/>
  <c r="K244" i="5"/>
  <c r="J244" i="5"/>
  <c r="I244" i="5"/>
  <c r="H244" i="5"/>
  <c r="G244" i="5"/>
  <c r="K243" i="5"/>
  <c r="J243" i="5"/>
  <c r="I243" i="5"/>
  <c r="H243" i="5"/>
  <c r="G243" i="5"/>
  <c r="K242" i="5"/>
  <c r="J242" i="5"/>
  <c r="I242" i="5"/>
  <c r="H242" i="5"/>
  <c r="G242" i="5"/>
  <c r="K241" i="5"/>
  <c r="J241" i="5"/>
  <c r="I241" i="5"/>
  <c r="H241" i="5"/>
  <c r="G241" i="5"/>
  <c r="K240" i="5"/>
  <c r="J240" i="5"/>
  <c r="I240" i="5"/>
  <c r="H240" i="5"/>
  <c r="G240" i="5"/>
  <c r="K239" i="5"/>
  <c r="J239" i="5"/>
  <c r="I239" i="5"/>
  <c r="H239" i="5"/>
  <c r="G239" i="5"/>
  <c r="K238" i="5"/>
  <c r="J238" i="5"/>
  <c r="I238" i="5"/>
  <c r="H238" i="5"/>
  <c r="G238" i="5"/>
  <c r="K237" i="5"/>
  <c r="J237" i="5"/>
  <c r="I237" i="5"/>
  <c r="H237" i="5"/>
  <c r="G237" i="5"/>
  <c r="K236" i="5"/>
  <c r="J236" i="5"/>
  <c r="I236" i="5"/>
  <c r="H236" i="5"/>
  <c r="G236" i="5"/>
  <c r="K235" i="5"/>
  <c r="J235" i="5"/>
  <c r="I235" i="5"/>
  <c r="H235" i="5"/>
  <c r="G235" i="5"/>
  <c r="K234" i="5"/>
  <c r="J234" i="5"/>
  <c r="I234" i="5"/>
  <c r="H234" i="5"/>
  <c r="G234" i="5"/>
  <c r="K233" i="5"/>
  <c r="J233" i="5"/>
  <c r="I233" i="5"/>
  <c r="H233" i="5"/>
  <c r="G233" i="5"/>
  <c r="K232" i="5"/>
  <c r="J232" i="5"/>
  <c r="I232" i="5"/>
  <c r="H232" i="5"/>
  <c r="G232" i="5"/>
  <c r="K231" i="5"/>
  <c r="J231" i="5"/>
  <c r="I231" i="5"/>
  <c r="H231" i="5"/>
  <c r="G231" i="5"/>
  <c r="K230" i="5"/>
  <c r="J230" i="5"/>
  <c r="I230" i="5"/>
  <c r="H230" i="5"/>
  <c r="G230" i="5"/>
  <c r="K229" i="5"/>
  <c r="J229" i="5"/>
  <c r="I229" i="5"/>
  <c r="H229" i="5"/>
  <c r="G229" i="5"/>
  <c r="K228" i="5"/>
  <c r="J228" i="5"/>
  <c r="I228" i="5"/>
  <c r="H228" i="5"/>
  <c r="G228" i="5"/>
  <c r="K227" i="5"/>
  <c r="J227" i="5"/>
  <c r="I227" i="5"/>
  <c r="H227" i="5"/>
  <c r="G227" i="5"/>
  <c r="K226" i="5"/>
  <c r="J226" i="5"/>
  <c r="I226" i="5"/>
  <c r="H226" i="5"/>
  <c r="G226" i="5"/>
  <c r="K225" i="5"/>
  <c r="J225" i="5"/>
  <c r="I225" i="5"/>
  <c r="H225" i="5"/>
  <c r="G225" i="5"/>
  <c r="K224" i="5"/>
  <c r="J224" i="5"/>
  <c r="I224" i="5"/>
  <c r="H224" i="5"/>
  <c r="G224" i="5"/>
  <c r="K223" i="5"/>
  <c r="J223" i="5"/>
  <c r="I223" i="5"/>
  <c r="H223" i="5"/>
  <c r="G223" i="5"/>
  <c r="K222" i="5"/>
  <c r="J222" i="5"/>
  <c r="I222" i="5"/>
  <c r="H222" i="5"/>
  <c r="G222" i="5"/>
  <c r="K221" i="5"/>
  <c r="J221" i="5"/>
  <c r="I221" i="5"/>
  <c r="H221" i="5"/>
  <c r="G221" i="5"/>
  <c r="K220" i="5"/>
  <c r="J220" i="5"/>
  <c r="I220" i="5"/>
  <c r="H220" i="5"/>
  <c r="G220" i="5"/>
  <c r="K219" i="5"/>
  <c r="J219" i="5"/>
  <c r="I219" i="5"/>
  <c r="H219" i="5"/>
  <c r="G219" i="5"/>
  <c r="K218" i="5"/>
  <c r="J218" i="5"/>
  <c r="I218" i="5"/>
  <c r="H218" i="5"/>
  <c r="G218" i="5"/>
  <c r="K217" i="5"/>
  <c r="J217" i="5"/>
  <c r="I217" i="5"/>
  <c r="H217" i="5"/>
  <c r="G217" i="5"/>
  <c r="K216" i="5"/>
  <c r="J216" i="5"/>
  <c r="I216" i="5"/>
  <c r="H216" i="5"/>
  <c r="G216" i="5"/>
  <c r="K215" i="5"/>
  <c r="J215" i="5"/>
  <c r="I215" i="5"/>
  <c r="H215" i="5"/>
  <c r="G215" i="5"/>
  <c r="K214" i="5"/>
  <c r="J214" i="5"/>
  <c r="I214" i="5"/>
  <c r="H214" i="5"/>
  <c r="G214" i="5"/>
  <c r="K213" i="5"/>
  <c r="J213" i="5"/>
  <c r="I213" i="5"/>
  <c r="H213" i="5"/>
  <c r="G213" i="5"/>
  <c r="K212" i="5"/>
  <c r="J212" i="5"/>
  <c r="I212" i="5"/>
  <c r="H212" i="5"/>
  <c r="G212" i="5"/>
  <c r="K211" i="5"/>
  <c r="J211" i="5"/>
  <c r="I211" i="5"/>
  <c r="H211" i="5"/>
  <c r="G211" i="5"/>
  <c r="K210" i="5"/>
  <c r="J210" i="5"/>
  <c r="I210" i="5"/>
  <c r="H210" i="5"/>
  <c r="G210" i="5"/>
  <c r="K209" i="5"/>
  <c r="J209" i="5"/>
  <c r="I209" i="5"/>
  <c r="H209" i="5"/>
  <c r="G209" i="5"/>
  <c r="K208" i="5"/>
  <c r="J208" i="5"/>
  <c r="I208" i="5"/>
  <c r="H208" i="5"/>
  <c r="G208" i="5"/>
  <c r="K207" i="5"/>
  <c r="J207" i="5"/>
  <c r="I207" i="5"/>
  <c r="H207" i="5"/>
  <c r="G207" i="5"/>
  <c r="K206" i="5"/>
  <c r="J206" i="5"/>
  <c r="I206" i="5"/>
  <c r="H206" i="5"/>
  <c r="G206" i="5"/>
  <c r="K205" i="5"/>
  <c r="J205" i="5"/>
  <c r="I205" i="5"/>
  <c r="H205" i="5"/>
  <c r="G205" i="5"/>
  <c r="K204" i="5"/>
  <c r="J204" i="5"/>
  <c r="I204" i="5"/>
  <c r="H204" i="5"/>
  <c r="G204" i="5"/>
  <c r="K203" i="5"/>
  <c r="J203" i="5"/>
  <c r="I203" i="5"/>
  <c r="H203" i="5"/>
  <c r="G203" i="5"/>
  <c r="K202" i="5"/>
  <c r="J202" i="5"/>
  <c r="I202" i="5"/>
  <c r="H202" i="5"/>
  <c r="G202" i="5"/>
  <c r="K201" i="5"/>
  <c r="J201" i="5"/>
  <c r="I201" i="5"/>
  <c r="H201" i="5"/>
  <c r="G201" i="5"/>
  <c r="K200" i="5"/>
  <c r="J200" i="5"/>
  <c r="I200" i="5"/>
  <c r="H200" i="5"/>
  <c r="G200" i="5"/>
  <c r="K199" i="5"/>
  <c r="J199" i="5"/>
  <c r="I199" i="5"/>
  <c r="H199" i="5"/>
  <c r="G199" i="5"/>
  <c r="K198" i="5"/>
  <c r="J198" i="5"/>
  <c r="I198" i="5"/>
  <c r="H198" i="5"/>
  <c r="G198" i="5"/>
  <c r="K197" i="5"/>
  <c r="J197" i="5"/>
  <c r="I197" i="5"/>
  <c r="H197" i="5"/>
  <c r="G197" i="5"/>
  <c r="K196" i="5"/>
  <c r="J196" i="5"/>
  <c r="I196" i="5"/>
  <c r="H196" i="5"/>
  <c r="G196" i="5"/>
  <c r="K195" i="5"/>
  <c r="J195" i="5"/>
  <c r="I195" i="5"/>
  <c r="H195" i="5"/>
  <c r="G195" i="5"/>
  <c r="K194" i="5"/>
  <c r="J194" i="5"/>
  <c r="I194" i="5"/>
  <c r="H194" i="5"/>
  <c r="G194" i="5"/>
  <c r="K193" i="5"/>
  <c r="J193" i="5"/>
  <c r="I193" i="5"/>
  <c r="H193" i="5"/>
  <c r="G193" i="5"/>
  <c r="K192" i="5"/>
  <c r="J192" i="5"/>
  <c r="I192" i="5"/>
  <c r="H192" i="5"/>
  <c r="G192" i="5"/>
  <c r="K191" i="5"/>
  <c r="J191" i="5"/>
  <c r="I191" i="5"/>
  <c r="H191" i="5"/>
  <c r="G191" i="5"/>
  <c r="K190" i="5"/>
  <c r="J190" i="5"/>
  <c r="I190" i="5"/>
  <c r="H190" i="5"/>
  <c r="G190" i="5"/>
  <c r="K189" i="5"/>
  <c r="J189" i="5"/>
  <c r="I189" i="5"/>
  <c r="H189" i="5"/>
  <c r="G189" i="5"/>
  <c r="K188" i="5"/>
  <c r="J188" i="5"/>
  <c r="I188" i="5"/>
  <c r="H188" i="5"/>
  <c r="G188" i="5"/>
  <c r="K187" i="5"/>
  <c r="J187" i="5"/>
  <c r="I187" i="5"/>
  <c r="H187" i="5"/>
  <c r="G187" i="5"/>
  <c r="K186" i="5"/>
  <c r="J186" i="5"/>
  <c r="I186" i="5"/>
  <c r="H186" i="5"/>
  <c r="G186" i="5"/>
  <c r="K185" i="5"/>
  <c r="J185" i="5"/>
  <c r="I185" i="5"/>
  <c r="H185" i="5"/>
  <c r="G185" i="5"/>
  <c r="K184" i="5"/>
  <c r="J184" i="5"/>
  <c r="I184" i="5"/>
  <c r="H184" i="5"/>
  <c r="G184" i="5"/>
  <c r="K183" i="5"/>
  <c r="J183" i="5"/>
  <c r="I183" i="5"/>
  <c r="H183" i="5"/>
  <c r="G183" i="5"/>
  <c r="K182" i="5"/>
  <c r="J182" i="5"/>
  <c r="I182" i="5"/>
  <c r="H182" i="5"/>
  <c r="G182" i="5"/>
  <c r="K181" i="5"/>
  <c r="J181" i="5"/>
  <c r="I181" i="5"/>
  <c r="H181" i="5"/>
  <c r="G181" i="5"/>
  <c r="K180" i="5"/>
  <c r="J180" i="5"/>
  <c r="I180" i="5"/>
  <c r="H180" i="5"/>
  <c r="G180" i="5"/>
  <c r="K179" i="5"/>
  <c r="J179" i="5"/>
  <c r="I179" i="5"/>
  <c r="H179" i="5"/>
  <c r="G179" i="5"/>
  <c r="K178" i="5"/>
  <c r="J178" i="5"/>
  <c r="I178" i="5"/>
  <c r="H178" i="5"/>
  <c r="G178" i="5"/>
  <c r="K177" i="5"/>
  <c r="J177" i="5"/>
  <c r="I177" i="5"/>
  <c r="H177" i="5"/>
  <c r="G177" i="5"/>
  <c r="K176" i="5"/>
  <c r="J176" i="5"/>
  <c r="I176" i="5"/>
  <c r="H176" i="5"/>
  <c r="G176" i="5"/>
  <c r="K175" i="5"/>
  <c r="J175" i="5"/>
  <c r="I175" i="5"/>
  <c r="H175" i="5"/>
  <c r="G175" i="5"/>
  <c r="K174" i="5"/>
  <c r="J174" i="5"/>
  <c r="I174" i="5"/>
  <c r="H174" i="5"/>
  <c r="G174" i="5"/>
  <c r="K173" i="5"/>
  <c r="J173" i="5"/>
  <c r="I173" i="5"/>
  <c r="H173" i="5"/>
  <c r="G173" i="5"/>
  <c r="K172" i="5"/>
  <c r="J172" i="5"/>
  <c r="I172" i="5"/>
  <c r="H172" i="5"/>
  <c r="G172" i="5"/>
  <c r="K171" i="5"/>
  <c r="J171" i="5"/>
  <c r="I171" i="5"/>
  <c r="H171" i="5"/>
  <c r="G171" i="5"/>
  <c r="K170" i="5"/>
  <c r="J170" i="5"/>
  <c r="I170" i="5"/>
  <c r="H170" i="5"/>
  <c r="G170" i="5"/>
  <c r="K169" i="5"/>
  <c r="J169" i="5"/>
  <c r="I169" i="5"/>
  <c r="H169" i="5"/>
  <c r="G169" i="5"/>
  <c r="K168" i="5"/>
  <c r="J168" i="5"/>
  <c r="I168" i="5"/>
  <c r="H168" i="5"/>
  <c r="G168" i="5"/>
  <c r="K167" i="5"/>
  <c r="J167" i="5"/>
  <c r="I167" i="5"/>
  <c r="H167" i="5"/>
  <c r="G167" i="5"/>
  <c r="K166" i="5"/>
  <c r="J166" i="5"/>
  <c r="I166" i="5"/>
  <c r="H166" i="5"/>
  <c r="G166" i="5"/>
  <c r="K165" i="5"/>
  <c r="J165" i="5"/>
  <c r="I165" i="5"/>
  <c r="H165" i="5"/>
  <c r="G165" i="5"/>
  <c r="K164" i="5"/>
  <c r="J164" i="5"/>
  <c r="I164" i="5"/>
  <c r="H164" i="5"/>
  <c r="G164" i="5"/>
  <c r="K163" i="5"/>
  <c r="J163" i="5"/>
  <c r="I163" i="5"/>
  <c r="H163" i="5"/>
  <c r="G163" i="5"/>
  <c r="K162" i="5"/>
  <c r="J162" i="5"/>
  <c r="I162" i="5"/>
  <c r="H162" i="5"/>
  <c r="G162" i="5"/>
  <c r="K161" i="5"/>
  <c r="J161" i="5"/>
  <c r="I161" i="5"/>
  <c r="H161" i="5"/>
  <c r="G161" i="5"/>
  <c r="K160" i="5"/>
  <c r="J160" i="5"/>
  <c r="I160" i="5"/>
  <c r="H160" i="5"/>
  <c r="G160" i="5"/>
  <c r="K159" i="5"/>
  <c r="J159" i="5"/>
  <c r="I159" i="5"/>
  <c r="H159" i="5"/>
  <c r="G159" i="5"/>
  <c r="K158" i="5"/>
  <c r="J158" i="5"/>
  <c r="I158" i="5"/>
  <c r="H158" i="5"/>
  <c r="G158" i="5"/>
  <c r="K157" i="5"/>
  <c r="J157" i="5"/>
  <c r="I157" i="5"/>
  <c r="H157" i="5"/>
  <c r="G157" i="5"/>
  <c r="K156" i="5"/>
  <c r="J156" i="5"/>
  <c r="I156" i="5"/>
  <c r="H156" i="5"/>
  <c r="G156" i="5"/>
  <c r="K155" i="5"/>
  <c r="J155" i="5"/>
  <c r="I155" i="5"/>
  <c r="H155" i="5"/>
  <c r="G155" i="5"/>
  <c r="K154" i="5"/>
  <c r="J154" i="5"/>
  <c r="I154" i="5"/>
  <c r="H154" i="5"/>
  <c r="G154" i="5"/>
  <c r="K153" i="5"/>
  <c r="J153" i="5"/>
  <c r="I153" i="5"/>
  <c r="H153" i="5"/>
  <c r="G153" i="5"/>
  <c r="K152" i="5"/>
  <c r="J152" i="5"/>
  <c r="I152" i="5"/>
  <c r="H152" i="5"/>
  <c r="G152" i="5"/>
  <c r="K151" i="5"/>
  <c r="J151" i="5"/>
  <c r="I151" i="5"/>
  <c r="H151" i="5"/>
  <c r="G151" i="5"/>
  <c r="K150" i="5"/>
  <c r="J150" i="5"/>
  <c r="I150" i="5"/>
  <c r="H150" i="5"/>
  <c r="G150" i="5"/>
  <c r="K149" i="5"/>
  <c r="J149" i="5"/>
  <c r="I149" i="5"/>
  <c r="H149" i="5"/>
  <c r="G149" i="5"/>
  <c r="K148" i="5"/>
  <c r="J148" i="5"/>
  <c r="I148" i="5"/>
  <c r="H148" i="5"/>
  <c r="G148" i="5"/>
  <c r="K147" i="5"/>
  <c r="J147" i="5"/>
  <c r="I147" i="5"/>
  <c r="H147" i="5"/>
  <c r="G147" i="5"/>
  <c r="K146" i="5"/>
  <c r="J146" i="5"/>
  <c r="I146" i="5"/>
  <c r="H146" i="5"/>
  <c r="G146" i="5"/>
  <c r="K145" i="5"/>
  <c r="J145" i="5"/>
  <c r="I145" i="5"/>
  <c r="H145" i="5"/>
  <c r="G145" i="5"/>
  <c r="K144" i="5"/>
  <c r="J144" i="5"/>
  <c r="I144" i="5"/>
  <c r="H144" i="5"/>
  <c r="G144" i="5"/>
  <c r="K143" i="5"/>
  <c r="J143" i="5"/>
  <c r="I143" i="5"/>
  <c r="H143" i="5"/>
  <c r="G143" i="5"/>
  <c r="K142" i="5"/>
  <c r="J142" i="5"/>
  <c r="I142" i="5"/>
  <c r="H142" i="5"/>
  <c r="G142" i="5"/>
  <c r="K141" i="5"/>
  <c r="J141" i="5"/>
  <c r="I141" i="5"/>
  <c r="H141" i="5"/>
  <c r="G141" i="5"/>
  <c r="K140" i="5"/>
  <c r="J140" i="5"/>
  <c r="I140" i="5"/>
  <c r="H140" i="5"/>
  <c r="G140" i="5"/>
  <c r="K139" i="5"/>
  <c r="J139" i="5"/>
  <c r="I139" i="5"/>
  <c r="H139" i="5"/>
  <c r="G139" i="5"/>
  <c r="K138" i="5"/>
  <c r="J138" i="5"/>
  <c r="I138" i="5"/>
  <c r="H138" i="5"/>
  <c r="G138" i="5"/>
  <c r="K137" i="5"/>
  <c r="J137" i="5"/>
  <c r="I137" i="5"/>
  <c r="H137" i="5"/>
  <c r="G137" i="5"/>
  <c r="K136" i="5"/>
  <c r="J136" i="5"/>
  <c r="I136" i="5"/>
  <c r="H136" i="5"/>
  <c r="G136" i="5"/>
  <c r="K135" i="5"/>
  <c r="J135" i="5"/>
  <c r="I135" i="5"/>
  <c r="H135" i="5"/>
  <c r="G135" i="5"/>
  <c r="K134" i="5"/>
  <c r="J134" i="5"/>
  <c r="I134" i="5"/>
  <c r="H134" i="5"/>
  <c r="G134" i="5"/>
  <c r="K133" i="5"/>
  <c r="J133" i="5"/>
  <c r="I133" i="5"/>
  <c r="H133" i="5"/>
  <c r="G133" i="5"/>
  <c r="K132" i="5"/>
  <c r="J132" i="5"/>
  <c r="I132" i="5"/>
  <c r="H132" i="5"/>
  <c r="G132" i="5"/>
  <c r="K131" i="5"/>
  <c r="J131" i="5"/>
  <c r="I131" i="5"/>
  <c r="H131" i="5"/>
  <c r="G131" i="5"/>
  <c r="K130" i="5"/>
  <c r="J130" i="5"/>
  <c r="I130" i="5"/>
  <c r="H130" i="5"/>
  <c r="G130" i="5"/>
  <c r="K129" i="5"/>
  <c r="J129" i="5"/>
  <c r="I129" i="5"/>
  <c r="H129" i="5"/>
  <c r="G129" i="5"/>
  <c r="K128" i="5"/>
  <c r="J128" i="5"/>
  <c r="I128" i="5"/>
  <c r="H128" i="5"/>
  <c r="G128" i="5"/>
  <c r="K127" i="5"/>
  <c r="J127" i="5"/>
  <c r="I127" i="5"/>
  <c r="H127" i="5"/>
  <c r="G127" i="5"/>
  <c r="K126" i="5"/>
  <c r="J126" i="5"/>
  <c r="I126" i="5"/>
  <c r="H126" i="5"/>
  <c r="G126" i="5"/>
  <c r="K125" i="5"/>
  <c r="J125" i="5"/>
  <c r="I125" i="5"/>
  <c r="H125" i="5"/>
  <c r="G125" i="5"/>
  <c r="K124" i="5"/>
  <c r="J124" i="5"/>
  <c r="I124" i="5"/>
  <c r="H124" i="5"/>
  <c r="G124" i="5"/>
  <c r="K123" i="5"/>
  <c r="J123" i="5"/>
  <c r="I123" i="5"/>
  <c r="H123" i="5"/>
  <c r="G123" i="5"/>
  <c r="K122" i="5"/>
  <c r="J122" i="5"/>
  <c r="I122" i="5"/>
  <c r="H122" i="5"/>
  <c r="G122" i="5"/>
  <c r="K121" i="5"/>
  <c r="J121" i="5"/>
  <c r="I121" i="5"/>
  <c r="H121" i="5"/>
  <c r="G121" i="5"/>
  <c r="K120" i="5"/>
  <c r="J120" i="5"/>
  <c r="I120" i="5"/>
  <c r="H120" i="5"/>
  <c r="G120" i="5"/>
  <c r="K119" i="5"/>
  <c r="J119" i="5"/>
  <c r="I119" i="5"/>
  <c r="H119" i="5"/>
  <c r="G119" i="5"/>
  <c r="K118" i="5"/>
  <c r="J118" i="5"/>
  <c r="I118" i="5"/>
  <c r="H118" i="5"/>
  <c r="G118" i="5"/>
  <c r="K117" i="5"/>
  <c r="J117" i="5"/>
  <c r="I117" i="5"/>
  <c r="H117" i="5"/>
  <c r="G117" i="5"/>
  <c r="K116" i="5"/>
  <c r="J116" i="5"/>
  <c r="I116" i="5"/>
  <c r="H116" i="5"/>
  <c r="G116" i="5"/>
  <c r="K115" i="5"/>
  <c r="J115" i="5"/>
  <c r="I115" i="5"/>
  <c r="H115" i="5"/>
  <c r="G115" i="5"/>
  <c r="K114" i="5"/>
  <c r="J114" i="5"/>
  <c r="I114" i="5"/>
  <c r="H114" i="5"/>
  <c r="G114" i="5"/>
  <c r="K113" i="5"/>
  <c r="J113" i="5"/>
  <c r="I113" i="5"/>
  <c r="H113" i="5"/>
  <c r="G113" i="5"/>
  <c r="K112" i="5"/>
  <c r="J112" i="5"/>
  <c r="I112" i="5"/>
  <c r="H112" i="5"/>
  <c r="G112" i="5"/>
  <c r="K111" i="5"/>
  <c r="J111" i="5"/>
  <c r="I111" i="5"/>
  <c r="H111" i="5"/>
  <c r="G111" i="5"/>
  <c r="K110" i="5"/>
  <c r="J110" i="5"/>
  <c r="I110" i="5"/>
  <c r="H110" i="5"/>
  <c r="G110" i="5"/>
  <c r="K109" i="5"/>
  <c r="J109" i="5"/>
  <c r="I109" i="5"/>
  <c r="H109" i="5"/>
  <c r="G109" i="5"/>
  <c r="K108" i="5"/>
  <c r="J108" i="5"/>
  <c r="I108" i="5"/>
  <c r="H108" i="5"/>
  <c r="G108" i="5"/>
  <c r="K107" i="5"/>
  <c r="J107" i="5"/>
  <c r="I107" i="5"/>
  <c r="H107" i="5"/>
  <c r="G107" i="5"/>
  <c r="K106" i="5"/>
  <c r="J106" i="5"/>
  <c r="I106" i="5"/>
  <c r="H106" i="5"/>
  <c r="G106" i="5"/>
  <c r="K105" i="5"/>
  <c r="J105" i="5"/>
  <c r="I105" i="5"/>
  <c r="H105" i="5"/>
  <c r="G105" i="5"/>
  <c r="K104" i="5"/>
  <c r="J104" i="5"/>
  <c r="I104" i="5"/>
  <c r="H104" i="5"/>
  <c r="G104" i="5"/>
  <c r="K103" i="5"/>
  <c r="J103" i="5"/>
  <c r="I103" i="5"/>
  <c r="H103" i="5"/>
  <c r="G103" i="5"/>
  <c r="K102" i="5"/>
  <c r="J102" i="5"/>
  <c r="I102" i="5"/>
  <c r="H102" i="5"/>
  <c r="G102" i="5"/>
  <c r="K101" i="5"/>
  <c r="J101" i="5"/>
  <c r="I101" i="5"/>
  <c r="H101" i="5"/>
  <c r="G101" i="5"/>
  <c r="K100" i="5"/>
  <c r="J100" i="5"/>
  <c r="I100" i="5"/>
  <c r="H100" i="5"/>
  <c r="G100" i="5"/>
  <c r="K99" i="5"/>
  <c r="J99" i="5"/>
  <c r="I99" i="5"/>
  <c r="H99" i="5"/>
  <c r="G99" i="5"/>
  <c r="K98" i="5"/>
  <c r="J98" i="5"/>
  <c r="I98" i="5"/>
  <c r="H98" i="5"/>
  <c r="G98" i="5"/>
  <c r="K97" i="5"/>
  <c r="J97" i="5"/>
  <c r="I97" i="5"/>
  <c r="H97" i="5"/>
  <c r="G97" i="5"/>
  <c r="K96" i="5"/>
  <c r="J96" i="5"/>
  <c r="I96" i="5"/>
  <c r="H96" i="5"/>
  <c r="G96" i="5"/>
  <c r="K95" i="5"/>
  <c r="J95" i="5"/>
  <c r="I95" i="5"/>
  <c r="H95" i="5"/>
  <c r="G95" i="5"/>
  <c r="K94" i="5"/>
  <c r="J94" i="5"/>
  <c r="I94" i="5"/>
  <c r="H94" i="5"/>
  <c r="G94" i="5"/>
  <c r="K93" i="5"/>
  <c r="J93" i="5"/>
  <c r="I93" i="5"/>
  <c r="H93" i="5"/>
  <c r="G93" i="5"/>
  <c r="K92" i="5"/>
  <c r="J92" i="5"/>
  <c r="I92" i="5"/>
  <c r="H92" i="5"/>
  <c r="G92" i="5"/>
  <c r="K91" i="5"/>
  <c r="J91" i="5"/>
  <c r="I91" i="5"/>
  <c r="H91" i="5"/>
  <c r="G91" i="5"/>
  <c r="K90" i="5"/>
  <c r="J90" i="5"/>
  <c r="I90" i="5"/>
  <c r="H90" i="5"/>
  <c r="G90" i="5"/>
  <c r="K89" i="5"/>
  <c r="J89" i="5"/>
  <c r="I89" i="5"/>
  <c r="H89" i="5"/>
  <c r="G89" i="5"/>
  <c r="K88" i="5"/>
  <c r="J88" i="5"/>
  <c r="I88" i="5"/>
  <c r="H88" i="5"/>
  <c r="G88" i="5"/>
  <c r="K87" i="5"/>
  <c r="J87" i="5"/>
  <c r="I87" i="5"/>
  <c r="H87" i="5"/>
  <c r="G87" i="5"/>
  <c r="K86" i="5"/>
  <c r="J86" i="5"/>
  <c r="I86" i="5"/>
  <c r="H86" i="5"/>
  <c r="G86" i="5"/>
  <c r="K85" i="5"/>
  <c r="J85" i="5"/>
  <c r="I85" i="5"/>
  <c r="H85" i="5"/>
  <c r="G85" i="5"/>
  <c r="K84" i="5"/>
  <c r="J84" i="5"/>
  <c r="I84" i="5"/>
  <c r="H84" i="5"/>
  <c r="G84" i="5"/>
  <c r="K83" i="5"/>
  <c r="J83" i="5"/>
  <c r="I83" i="5"/>
  <c r="H83" i="5"/>
  <c r="G83" i="5"/>
  <c r="K82" i="5"/>
  <c r="J82" i="5"/>
  <c r="I82" i="5"/>
  <c r="H82" i="5"/>
  <c r="G82" i="5"/>
  <c r="K81" i="5"/>
  <c r="J81" i="5"/>
  <c r="I81" i="5"/>
  <c r="H81" i="5"/>
  <c r="G81" i="5"/>
  <c r="K80" i="5"/>
  <c r="J80" i="5"/>
  <c r="I80" i="5"/>
  <c r="H80" i="5"/>
  <c r="G80" i="5"/>
  <c r="K79" i="5"/>
  <c r="J79" i="5"/>
  <c r="I79" i="5"/>
  <c r="H79" i="5"/>
  <c r="G79" i="5"/>
  <c r="K78" i="5"/>
  <c r="J78" i="5"/>
  <c r="I78" i="5"/>
  <c r="H78" i="5"/>
  <c r="G78" i="5"/>
  <c r="K77" i="5"/>
  <c r="J77" i="5"/>
  <c r="I77" i="5"/>
  <c r="H77" i="5"/>
  <c r="G77" i="5"/>
  <c r="K76" i="5"/>
  <c r="J76" i="5"/>
  <c r="I76" i="5"/>
  <c r="H76" i="5"/>
  <c r="G76" i="5"/>
  <c r="K75" i="5"/>
  <c r="J75" i="5"/>
  <c r="I75" i="5"/>
  <c r="H75" i="5"/>
  <c r="G75" i="5"/>
  <c r="K74" i="5"/>
  <c r="J74" i="5"/>
  <c r="I74" i="5"/>
  <c r="H74" i="5"/>
  <c r="G74" i="5"/>
  <c r="K73" i="5"/>
  <c r="J73" i="5"/>
  <c r="I73" i="5"/>
  <c r="H73" i="5"/>
  <c r="G73" i="5"/>
  <c r="K72" i="5"/>
  <c r="J72" i="5"/>
  <c r="I72" i="5"/>
  <c r="H72" i="5"/>
  <c r="G72" i="5"/>
  <c r="K71" i="5"/>
  <c r="J71" i="5"/>
  <c r="I71" i="5"/>
  <c r="H71" i="5"/>
  <c r="G71" i="5"/>
  <c r="K70" i="5"/>
  <c r="J70" i="5"/>
  <c r="I70" i="5"/>
  <c r="H70" i="5"/>
  <c r="G70" i="5"/>
  <c r="K69" i="5"/>
  <c r="J69" i="5"/>
  <c r="I69" i="5"/>
  <c r="H69" i="5"/>
  <c r="G69" i="5"/>
  <c r="K68" i="5"/>
  <c r="J68" i="5"/>
  <c r="I68" i="5"/>
  <c r="H68" i="5"/>
  <c r="G68" i="5"/>
  <c r="K67" i="5"/>
  <c r="J67" i="5"/>
  <c r="I67" i="5"/>
  <c r="H67" i="5"/>
  <c r="G67" i="5"/>
  <c r="K66" i="5"/>
  <c r="J66" i="5"/>
  <c r="I66" i="5"/>
  <c r="H66" i="5"/>
  <c r="G66" i="5"/>
  <c r="K65" i="5"/>
  <c r="J65" i="5"/>
  <c r="I65" i="5"/>
  <c r="H65" i="5"/>
  <c r="G65" i="5"/>
  <c r="K64" i="5"/>
  <c r="J64" i="5"/>
  <c r="I64" i="5"/>
  <c r="H64" i="5"/>
  <c r="G64" i="5"/>
  <c r="K63" i="5"/>
  <c r="J63" i="5"/>
  <c r="I63" i="5"/>
  <c r="H63" i="5"/>
  <c r="G63" i="5"/>
  <c r="K62" i="5"/>
  <c r="J62" i="5"/>
  <c r="I62" i="5"/>
  <c r="H62" i="5"/>
  <c r="G62" i="5"/>
  <c r="K61" i="5"/>
  <c r="J61" i="5"/>
  <c r="I61" i="5"/>
  <c r="H61" i="5"/>
  <c r="G61" i="5"/>
  <c r="K60" i="5"/>
  <c r="J60" i="5"/>
  <c r="I60" i="5"/>
  <c r="H60" i="5"/>
  <c r="G60" i="5"/>
  <c r="K59" i="5"/>
  <c r="J59" i="5"/>
  <c r="I59" i="5"/>
  <c r="H59" i="5"/>
  <c r="G59" i="5"/>
  <c r="K58" i="5"/>
  <c r="J58" i="5"/>
  <c r="I58" i="5"/>
  <c r="H58" i="5"/>
  <c r="G58" i="5"/>
  <c r="K57" i="5"/>
  <c r="J57" i="5"/>
  <c r="I57" i="5"/>
  <c r="H57" i="5"/>
  <c r="G57" i="5"/>
  <c r="K56" i="5"/>
  <c r="J56" i="5"/>
  <c r="I56" i="5"/>
  <c r="H56" i="5"/>
  <c r="G56" i="5"/>
  <c r="K55" i="5"/>
  <c r="J55" i="5"/>
  <c r="I55" i="5"/>
  <c r="H55" i="5"/>
  <c r="G55" i="5"/>
  <c r="K54" i="5"/>
  <c r="J54" i="5"/>
  <c r="I54" i="5"/>
  <c r="H54" i="5"/>
  <c r="G54" i="5"/>
  <c r="K53" i="5"/>
  <c r="J53" i="5"/>
  <c r="I53" i="5"/>
  <c r="H53" i="5"/>
  <c r="G53" i="5"/>
  <c r="K52" i="5"/>
  <c r="J52" i="5"/>
  <c r="I52" i="5"/>
  <c r="H52" i="5"/>
  <c r="G52" i="5"/>
  <c r="K51" i="5"/>
  <c r="J51" i="5"/>
  <c r="I51" i="5"/>
  <c r="H51" i="5"/>
  <c r="G51" i="5"/>
  <c r="K50" i="5"/>
  <c r="J50" i="5"/>
  <c r="I50" i="5"/>
  <c r="H50" i="5"/>
  <c r="G50" i="5"/>
  <c r="K49" i="5"/>
  <c r="J49" i="5"/>
  <c r="I49" i="5"/>
  <c r="H49" i="5"/>
  <c r="G49" i="5"/>
  <c r="K48" i="5"/>
  <c r="J48" i="5"/>
  <c r="I48" i="5"/>
  <c r="H48" i="5"/>
  <c r="G48" i="5"/>
  <c r="K47" i="5"/>
  <c r="J47" i="5"/>
  <c r="I47" i="5"/>
  <c r="H47" i="5"/>
  <c r="G47" i="5"/>
  <c r="K46" i="5"/>
  <c r="J46" i="5"/>
  <c r="I46" i="5"/>
  <c r="H46" i="5"/>
  <c r="G46" i="5"/>
  <c r="K45" i="5"/>
  <c r="J45" i="5"/>
  <c r="I45" i="5"/>
  <c r="H45" i="5"/>
  <c r="G45" i="5"/>
  <c r="K44" i="5"/>
  <c r="J44" i="5"/>
  <c r="I44" i="5"/>
  <c r="H44" i="5"/>
  <c r="G44" i="5"/>
  <c r="K43" i="5"/>
  <c r="J43" i="5"/>
  <c r="I43" i="5"/>
  <c r="H43" i="5"/>
  <c r="G43" i="5"/>
  <c r="K42" i="5"/>
  <c r="J42" i="5"/>
  <c r="I42" i="5"/>
  <c r="H42" i="5"/>
  <c r="G42" i="5"/>
  <c r="K41" i="5"/>
  <c r="J41" i="5"/>
  <c r="I41" i="5"/>
  <c r="H41" i="5"/>
  <c r="G41" i="5"/>
  <c r="K40" i="5"/>
  <c r="J40" i="5"/>
  <c r="I40" i="5"/>
  <c r="H40" i="5"/>
  <c r="G40" i="5"/>
  <c r="K39" i="5"/>
  <c r="J39" i="5"/>
  <c r="I39" i="5"/>
  <c r="H39" i="5"/>
  <c r="G39" i="5"/>
  <c r="K38" i="5"/>
  <c r="J38" i="5"/>
  <c r="I38" i="5"/>
  <c r="H38" i="5"/>
  <c r="G38" i="5"/>
  <c r="K37" i="5"/>
  <c r="J37" i="5"/>
  <c r="I37" i="5"/>
  <c r="H37" i="5"/>
  <c r="G37" i="5"/>
  <c r="K36" i="5"/>
  <c r="J36" i="5"/>
  <c r="I36" i="5"/>
  <c r="H36" i="5"/>
  <c r="G36" i="5"/>
  <c r="K35" i="5"/>
  <c r="J35" i="5"/>
  <c r="I35" i="5"/>
  <c r="H35" i="5"/>
  <c r="G35" i="5"/>
  <c r="K34" i="5"/>
  <c r="J34" i="5"/>
  <c r="I34" i="5"/>
  <c r="H34" i="5"/>
  <c r="G34" i="5"/>
  <c r="K33" i="5"/>
  <c r="J33" i="5"/>
  <c r="I33" i="5"/>
  <c r="H33" i="5"/>
  <c r="G33" i="5"/>
  <c r="K32" i="5"/>
  <c r="J32" i="5"/>
  <c r="I32" i="5"/>
  <c r="H32" i="5"/>
  <c r="G32" i="5"/>
  <c r="K31" i="5"/>
  <c r="J31" i="5"/>
  <c r="I31" i="5"/>
  <c r="H31" i="5"/>
  <c r="G31" i="5"/>
  <c r="K30" i="5"/>
  <c r="J30" i="5"/>
  <c r="I30" i="5"/>
  <c r="H30" i="5"/>
  <c r="G30" i="5"/>
  <c r="K29" i="5"/>
  <c r="J29" i="5"/>
  <c r="I29" i="5"/>
  <c r="H29" i="5"/>
  <c r="G29" i="5"/>
  <c r="K28" i="5"/>
  <c r="J28" i="5"/>
  <c r="I28" i="5"/>
  <c r="H28" i="5"/>
  <c r="G28" i="5"/>
  <c r="K27" i="5"/>
  <c r="J27" i="5"/>
  <c r="I27" i="5"/>
  <c r="H27" i="5"/>
  <c r="G27" i="5"/>
  <c r="K26" i="5"/>
  <c r="J26" i="5"/>
  <c r="I26" i="5"/>
  <c r="H26" i="5"/>
  <c r="G26" i="5"/>
  <c r="K25" i="5"/>
  <c r="J25" i="5"/>
  <c r="I25" i="5"/>
  <c r="H25" i="5"/>
  <c r="G25" i="5"/>
  <c r="K24" i="5"/>
  <c r="J24" i="5"/>
  <c r="I24" i="5"/>
  <c r="H24" i="5"/>
  <c r="G24" i="5"/>
  <c r="K23" i="5"/>
  <c r="J23" i="5"/>
  <c r="I23" i="5"/>
  <c r="H23" i="5"/>
  <c r="G23" i="5"/>
  <c r="K22" i="5"/>
  <c r="J22" i="5"/>
  <c r="I22" i="5"/>
  <c r="H22" i="5"/>
  <c r="G22" i="5"/>
  <c r="K21" i="5"/>
  <c r="J21" i="5"/>
  <c r="I21" i="5"/>
  <c r="H21" i="5"/>
  <c r="G21" i="5"/>
  <c r="K20" i="5"/>
  <c r="J20" i="5"/>
  <c r="I20" i="5"/>
  <c r="H20" i="5"/>
  <c r="G20" i="5"/>
  <c r="K19" i="5"/>
  <c r="J19" i="5"/>
  <c r="I19" i="5"/>
  <c r="H19" i="5"/>
  <c r="G19" i="5"/>
  <c r="K18" i="5"/>
  <c r="J18" i="5"/>
  <c r="I18" i="5"/>
  <c r="H18" i="5"/>
  <c r="G18" i="5"/>
  <c r="K17" i="5"/>
  <c r="J17" i="5"/>
  <c r="I17" i="5"/>
  <c r="H17" i="5"/>
  <c r="G17" i="5"/>
  <c r="K16" i="5"/>
  <c r="J16" i="5"/>
  <c r="I16" i="5"/>
  <c r="H16" i="5"/>
  <c r="G16" i="5"/>
  <c r="K15" i="5"/>
  <c r="J15" i="5"/>
  <c r="I15" i="5"/>
  <c r="H15" i="5"/>
  <c r="G15" i="5"/>
  <c r="K14" i="5"/>
  <c r="J14" i="5"/>
  <c r="I14" i="5"/>
  <c r="H14" i="5"/>
  <c r="G14" i="5"/>
  <c r="K13" i="5"/>
  <c r="J13" i="5"/>
  <c r="I13" i="5"/>
  <c r="H13" i="5"/>
  <c r="G13" i="5"/>
  <c r="K12" i="5"/>
  <c r="J12" i="5"/>
  <c r="I12" i="5"/>
  <c r="H12" i="5"/>
  <c r="G12" i="5"/>
  <c r="K11" i="5"/>
  <c r="J11" i="5"/>
  <c r="I11" i="5"/>
  <c r="H11" i="5"/>
  <c r="G11" i="5"/>
  <c r="K10" i="5"/>
  <c r="J10" i="5"/>
  <c r="I10" i="5"/>
  <c r="H10" i="5"/>
  <c r="G10" i="5"/>
  <c r="K9" i="5"/>
  <c r="J9" i="5"/>
  <c r="I9" i="5"/>
  <c r="H9" i="5"/>
  <c r="G9" i="5"/>
  <c r="K8" i="5"/>
  <c r="J8" i="5"/>
  <c r="I8" i="5"/>
  <c r="H8" i="5"/>
  <c r="G8" i="5"/>
  <c r="K7" i="5"/>
  <c r="J7" i="5"/>
  <c r="I7" i="5"/>
  <c r="H7" i="5"/>
  <c r="G7" i="5"/>
  <c r="K6" i="5"/>
  <c r="J6" i="5"/>
  <c r="I6" i="5"/>
  <c r="H6" i="5"/>
  <c r="G6" i="5"/>
  <c r="K5" i="5"/>
  <c r="J5" i="5"/>
  <c r="I5" i="5"/>
  <c r="H5" i="5"/>
  <c r="G5" i="5"/>
  <c r="K4" i="5"/>
  <c r="J4" i="5"/>
  <c r="I4" i="5"/>
  <c r="H4" i="5"/>
  <c r="G4" i="5"/>
  <c r="K3" i="5"/>
  <c r="J3" i="5"/>
  <c r="I3" i="5"/>
  <c r="H3" i="5"/>
  <c r="G3" i="5"/>
  <c r="K2" i="5"/>
  <c r="J2" i="5"/>
  <c r="I2" i="5"/>
  <c r="H2" i="5"/>
  <c r="G2" i="5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N268" i="2"/>
  <c r="N425" i="2"/>
  <c r="N622" i="2"/>
  <c r="N23" i="2"/>
  <c r="N110" i="2"/>
  <c r="N183" i="2"/>
  <c r="N95" i="2"/>
  <c r="N19" i="2"/>
  <c r="N171" i="2"/>
  <c r="N528" i="2"/>
  <c r="N186" i="2"/>
  <c r="N434" i="2"/>
  <c r="N362" i="2"/>
  <c r="N120" i="2"/>
  <c r="N423" i="2"/>
  <c r="N580" i="2"/>
  <c r="N27" i="2"/>
  <c r="N664" i="2"/>
  <c r="N481" i="2"/>
  <c r="N322" i="2"/>
  <c r="N522" i="2"/>
  <c r="N12" i="2"/>
  <c r="N39" i="2"/>
  <c r="N584" i="2"/>
  <c r="N610" i="2"/>
  <c r="N54" i="2"/>
  <c r="N206" i="2"/>
  <c r="N395" i="2"/>
  <c r="N197" i="2"/>
  <c r="N614" i="2"/>
  <c r="N654" i="2"/>
  <c r="N258" i="2"/>
  <c r="N663" i="2"/>
  <c r="N229" i="2"/>
  <c r="N433" i="2"/>
  <c r="N598" i="2"/>
  <c r="N60" i="2"/>
  <c r="N250" i="2"/>
  <c r="N648" i="2"/>
  <c r="N565" i="2"/>
  <c r="N482" i="2"/>
  <c r="N570" i="2"/>
  <c r="N96" i="2"/>
  <c r="N155" i="2"/>
  <c r="N73" i="2"/>
  <c r="N377" i="2"/>
  <c r="N489" i="2"/>
  <c r="N338" i="2"/>
  <c r="N639" i="2"/>
  <c r="N82" i="2"/>
  <c r="N347" i="2"/>
  <c r="N441" i="2"/>
  <c r="N556" i="2"/>
  <c r="N381" i="2"/>
  <c r="N516" i="2"/>
  <c r="N638" i="2"/>
  <c r="N164" i="2"/>
  <c r="N335" i="2"/>
  <c r="N597" i="2"/>
  <c r="N657" i="2"/>
  <c r="N157" i="2"/>
  <c r="N84" i="2"/>
  <c r="N539" i="2"/>
  <c r="N205" i="2"/>
  <c r="N216" i="2"/>
  <c r="N560" i="2"/>
  <c r="N384" i="2"/>
  <c r="N493" i="2"/>
  <c r="N244" i="2"/>
  <c r="N538" i="2"/>
  <c r="N499" i="2"/>
  <c r="N497" i="2"/>
  <c r="N653" i="2"/>
  <c r="N640" i="2"/>
  <c r="N270" i="2"/>
  <c r="N147" i="2"/>
  <c r="N98" i="2"/>
  <c r="N70" i="2"/>
  <c r="N119" i="2"/>
  <c r="N145" i="2"/>
  <c r="N185" i="2"/>
  <c r="N287" i="2"/>
  <c r="N259" i="2"/>
  <c r="N586" i="2"/>
  <c r="N40" i="2"/>
  <c r="N327" i="2"/>
  <c r="N355" i="2"/>
  <c r="N235" i="2"/>
  <c r="N462" i="2"/>
  <c r="N74" i="2"/>
  <c r="N208" i="2"/>
  <c r="N359" i="2"/>
  <c r="N271" i="2"/>
  <c r="N315" i="2"/>
  <c r="N161" i="2"/>
  <c r="N595" i="2"/>
  <c r="N525" i="2"/>
  <c r="N316" i="2"/>
  <c r="N475" i="2"/>
  <c r="N231" i="2"/>
  <c r="N548" i="2"/>
  <c r="N202" i="2"/>
  <c r="N14" i="2"/>
  <c r="N424" i="2"/>
  <c r="N621" i="2"/>
  <c r="N399" i="2"/>
  <c r="N21" i="2"/>
  <c r="N569" i="2"/>
  <c r="N495" i="2"/>
  <c r="N438" i="2"/>
  <c r="N536" i="2"/>
  <c r="N38" i="2"/>
  <c r="N456" i="2"/>
  <c r="N526" i="2"/>
  <c r="N656" i="2"/>
  <c r="N158" i="2"/>
  <c r="N165" i="2"/>
  <c r="N241" i="2"/>
  <c r="N203" i="2"/>
  <c r="N419" i="2"/>
  <c r="N463" i="2"/>
  <c r="N633" i="2"/>
  <c r="N618" i="2"/>
  <c r="N451" i="2"/>
  <c r="N83" i="2"/>
  <c r="N357" i="2"/>
  <c r="N659" i="2"/>
  <c r="N156" i="2"/>
  <c r="N582" i="2"/>
  <c r="N290" i="2"/>
  <c r="N243" i="2"/>
  <c r="N5" i="2"/>
  <c r="N246" i="2"/>
  <c r="N169" i="2"/>
  <c r="N649" i="2"/>
  <c r="N549" i="2"/>
  <c r="N505" i="2"/>
  <c r="N154" i="2"/>
  <c r="N196" i="2"/>
  <c r="N142" i="2"/>
  <c r="N605" i="2"/>
  <c r="N111" i="2"/>
  <c r="N286" i="2"/>
  <c r="N417" i="2"/>
  <c r="N209" i="2"/>
  <c r="N635" i="2"/>
  <c r="N624" i="2"/>
  <c r="N513" i="2"/>
  <c r="N669" i="2"/>
  <c r="N257" i="2"/>
  <c r="N527" i="2"/>
  <c r="N20" i="2"/>
  <c r="N184" i="2"/>
  <c r="N588" i="2"/>
  <c r="N50" i="2"/>
  <c r="N550" i="2"/>
  <c r="N329" i="2"/>
  <c r="N312" i="2"/>
  <c r="N643" i="2"/>
  <c r="N261" i="2"/>
  <c r="N568" i="2"/>
  <c r="N217" i="2"/>
  <c r="N476" i="2"/>
  <c r="N269" i="2"/>
  <c r="N594" i="2"/>
  <c r="N546" i="2"/>
  <c r="N67" i="2"/>
  <c r="N611" i="2"/>
  <c r="N460" i="2"/>
  <c r="N175" i="2"/>
  <c r="N341" i="2"/>
  <c r="N43" i="2"/>
  <c r="N267" i="2"/>
  <c r="N396" i="2"/>
  <c r="N486" i="2"/>
  <c r="N543" i="2"/>
  <c r="N361" i="2"/>
  <c r="N494" i="2"/>
  <c r="N213" i="2"/>
  <c r="N298" i="2"/>
  <c r="N459" i="2"/>
  <c r="N18" i="2"/>
  <c r="N508" i="2"/>
  <c r="N36" i="2"/>
  <c r="N421" i="2"/>
  <c r="N593" i="2"/>
  <c r="N127" i="2"/>
  <c r="N415" i="2"/>
  <c r="N291" i="2"/>
  <c r="N530" i="2"/>
  <c r="N420" i="2"/>
  <c r="N94" i="2"/>
  <c r="N2" i="2"/>
  <c r="N253" i="2"/>
  <c r="N136" i="2"/>
  <c r="N413" i="2"/>
  <c r="N661" i="2"/>
  <c r="N378" i="2"/>
  <c r="N52" i="2"/>
  <c r="N72" i="2"/>
  <c r="N109" i="2"/>
  <c r="N345" i="2"/>
  <c r="N473" i="2"/>
  <c r="N514" i="2"/>
  <c r="N558" i="2"/>
  <c r="N429" i="2"/>
  <c r="N509" i="2"/>
  <c r="N88" i="2"/>
  <c r="N575" i="2"/>
  <c r="N391" i="2"/>
  <c r="N452" i="2"/>
  <c r="N260" i="2"/>
  <c r="N533" i="2"/>
  <c r="N210" i="2"/>
  <c r="N296" i="2"/>
  <c r="N319" i="2"/>
  <c r="N490" i="2"/>
  <c r="N92" i="2"/>
  <c r="N174" i="2"/>
  <c r="N455" i="2"/>
  <c r="N553" i="2"/>
  <c r="N214" i="2"/>
  <c r="N537" i="2"/>
  <c r="N135" i="2"/>
  <c r="N55" i="2"/>
  <c r="N262" i="2"/>
  <c r="N230" i="2"/>
  <c r="N124" i="2"/>
  <c r="N247" i="2"/>
  <c r="N236" i="2"/>
  <c r="N376" i="2"/>
  <c r="N149" i="2"/>
  <c r="N13" i="2"/>
  <c r="N16" i="2"/>
  <c r="N368" i="2"/>
  <c r="N426" i="2"/>
  <c r="N402" i="2"/>
  <c r="N412" i="2"/>
  <c r="N150" i="2"/>
  <c r="N58" i="2"/>
  <c r="N303" i="2"/>
  <c r="N581" i="2"/>
  <c r="N176" i="2"/>
  <c r="N465" i="2"/>
  <c r="N116" i="2"/>
  <c r="N34" i="2"/>
  <c r="N254" i="2"/>
  <c r="N406" i="2"/>
  <c r="N275" i="2"/>
  <c r="N173" i="2"/>
  <c r="N103" i="2"/>
  <c r="N574" i="2"/>
  <c r="N632" i="2"/>
  <c r="N117" i="2"/>
  <c r="N372" i="2"/>
  <c r="N79" i="2"/>
  <c r="N8" i="2"/>
  <c r="N477" i="2"/>
  <c r="N350" i="2"/>
  <c r="N646" i="2"/>
  <c r="N299" i="2"/>
  <c r="N554" i="2"/>
  <c r="N446" i="2"/>
  <c r="N331" i="2"/>
  <c r="N80" i="2"/>
  <c r="N578" i="2"/>
  <c r="N587" i="2"/>
  <c r="N138" i="2"/>
  <c r="N133" i="2"/>
  <c r="N608" i="2"/>
  <c r="N521" i="2"/>
  <c r="N179" i="2"/>
  <c r="N191" i="2"/>
  <c r="N561" i="2"/>
  <c r="N239" i="2"/>
  <c r="N637" i="2"/>
  <c r="N277" i="2"/>
  <c r="N140" i="2"/>
  <c r="N647" i="2"/>
  <c r="N146" i="2"/>
  <c r="N552" i="2"/>
  <c r="N188" i="2"/>
  <c r="N485" i="2"/>
  <c r="N132" i="2"/>
  <c r="N266" i="2"/>
  <c r="N123" i="2"/>
  <c r="N650" i="2"/>
  <c r="N532" i="2"/>
  <c r="N100" i="2"/>
  <c r="N192" i="2"/>
  <c r="N572" i="2"/>
  <c r="N613" i="2"/>
  <c r="N630" i="2"/>
  <c r="N295" i="2"/>
  <c r="N162" i="2"/>
  <c r="N382" i="2"/>
  <c r="N576" i="2"/>
  <c r="N302" i="2"/>
  <c r="N56" i="2"/>
  <c r="N6" i="2"/>
  <c r="N309" i="2"/>
  <c r="N91" i="2"/>
  <c r="N211" i="2"/>
  <c r="N458" i="2"/>
  <c r="N251" i="2"/>
  <c r="N454" i="2"/>
  <c r="N144" i="2"/>
  <c r="N472" i="2"/>
  <c r="N240" i="2"/>
  <c r="N469" i="2"/>
  <c r="N641" i="2"/>
  <c r="N492" i="2"/>
  <c r="N393" i="2"/>
  <c r="N170" i="2"/>
  <c r="N45" i="2"/>
  <c r="N65" i="2"/>
  <c r="N367" i="2"/>
  <c r="N41" i="2"/>
  <c r="N600" i="2"/>
  <c r="N153" i="2"/>
  <c r="N603" i="2"/>
  <c r="N224" i="2"/>
  <c r="N400" i="2"/>
  <c r="N444" i="2"/>
  <c r="N394" i="2"/>
  <c r="N642" i="2"/>
  <c r="N31" i="2"/>
  <c r="N166" i="2"/>
  <c r="N340" i="2"/>
  <c r="N408" i="2"/>
  <c r="N237" i="2"/>
  <c r="N200" i="2"/>
  <c r="N249" i="2"/>
  <c r="N445" i="2"/>
  <c r="N233" i="2"/>
  <c r="N90" i="2"/>
  <c r="N369" i="2"/>
  <c r="N26" i="2"/>
  <c r="N651" i="2"/>
  <c r="N122" i="2"/>
  <c r="N631" i="2"/>
  <c r="N339" i="2"/>
  <c r="N330" i="2"/>
  <c r="N219" i="2"/>
  <c r="N307" i="2"/>
  <c r="N59" i="2"/>
  <c r="N609" i="2"/>
  <c r="N471" i="2"/>
  <c r="N354" i="2"/>
  <c r="N280" i="2"/>
  <c r="N97" i="2"/>
  <c r="N592" i="2"/>
  <c r="N78" i="2"/>
  <c r="N645" i="2"/>
  <c r="N29" i="2"/>
  <c r="N86" i="2"/>
  <c r="N337" i="2"/>
  <c r="N187" i="2"/>
  <c r="N228" i="2"/>
  <c r="N276" i="2"/>
  <c r="N551" i="2"/>
  <c r="N403" i="2"/>
  <c r="N507" i="2"/>
  <c r="N177" i="2"/>
  <c r="N346" i="2"/>
  <c r="N524" i="2"/>
  <c r="N282" i="2"/>
  <c r="N114" i="2"/>
  <c r="N207" i="2"/>
  <c r="N602" i="2"/>
  <c r="N604" i="2"/>
  <c r="N510" i="2"/>
  <c r="N104" i="2"/>
  <c r="N366" i="2"/>
  <c r="N655" i="2"/>
  <c r="N418" i="2"/>
  <c r="N288" i="2"/>
  <c r="N37" i="2"/>
  <c r="N131" i="2"/>
  <c r="N102" i="2"/>
  <c r="N628" i="2"/>
  <c r="N151" i="2"/>
  <c r="N126" i="2"/>
  <c r="N22" i="2"/>
  <c r="N311" i="2"/>
  <c r="N566" i="2"/>
  <c r="N113" i="2"/>
  <c r="N306" i="2"/>
  <c r="N674" i="2"/>
  <c r="N76" i="2"/>
  <c r="N332" i="2"/>
  <c r="N25" i="2"/>
  <c r="N289" i="2"/>
  <c r="N226" i="2"/>
  <c r="N470" i="2"/>
  <c r="N370" i="2"/>
  <c r="N321" i="2"/>
  <c r="N301" i="2"/>
  <c r="N670" i="2"/>
  <c r="N479" i="2"/>
  <c r="N101" i="2"/>
  <c r="N223" i="2"/>
  <c r="N63" i="2"/>
  <c r="N139" i="2"/>
  <c r="N189" i="2"/>
  <c r="N547" i="2"/>
  <c r="N501" i="2"/>
  <c r="N371" i="2"/>
  <c r="N439" i="2"/>
  <c r="N386" i="2"/>
  <c r="N541" i="2"/>
  <c r="N383" i="2"/>
  <c r="N3" i="2"/>
  <c r="N351" i="2"/>
  <c r="N579" i="2"/>
  <c r="N504" i="2"/>
  <c r="N264" i="2"/>
  <c r="N47" i="2"/>
  <c r="N636" i="2"/>
  <c r="N336" i="2"/>
  <c r="N615" i="2"/>
  <c r="N64" i="2"/>
  <c r="N215" i="2"/>
  <c r="N17" i="2"/>
  <c r="N449" i="2"/>
  <c r="N448" i="2"/>
  <c r="N623" i="2"/>
  <c r="N248" i="2"/>
  <c r="N234" i="2"/>
  <c r="N389" i="2"/>
  <c r="N69" i="2"/>
  <c r="N542" i="2"/>
  <c r="N106" i="2"/>
  <c r="N671" i="2"/>
  <c r="N468" i="2"/>
  <c r="N435" i="2"/>
  <c r="N562" i="2"/>
  <c r="N590" i="2"/>
  <c r="N182" i="2"/>
  <c r="N4" i="2"/>
  <c r="N644" i="2"/>
  <c r="N28" i="2"/>
  <c r="N432" i="2"/>
  <c r="N409" i="2"/>
  <c r="N297" i="2"/>
  <c r="N212" i="2"/>
  <c r="N374" i="2"/>
  <c r="N87" i="2"/>
  <c r="N143" i="2"/>
  <c r="N33" i="2"/>
  <c r="N422" i="2"/>
  <c r="N519" i="2"/>
  <c r="N667" i="2"/>
  <c r="N44" i="2"/>
  <c r="N360" i="2"/>
  <c r="N596" i="2"/>
  <c r="N238" i="2"/>
  <c r="N61" i="2"/>
  <c r="N168" i="2"/>
  <c r="N121" i="2"/>
  <c r="N159" i="2"/>
  <c r="N483" i="2"/>
  <c r="N564" i="2"/>
  <c r="N577" i="2"/>
  <c r="N112" i="2"/>
  <c r="N620" i="2"/>
  <c r="N255" i="2"/>
  <c r="N190" i="2"/>
  <c r="N544" i="2"/>
  <c r="N431" i="2"/>
  <c r="N107" i="2"/>
  <c r="N81" i="2"/>
  <c r="N198" i="2"/>
  <c r="N328" i="2"/>
  <c r="N279" i="2"/>
  <c r="N204" i="2"/>
  <c r="N450" i="2"/>
  <c r="N397" i="2"/>
  <c r="N89" i="2"/>
  <c r="N227" i="2"/>
  <c r="N442" i="2"/>
  <c r="N66" i="2"/>
  <c r="N668" i="2"/>
  <c r="N343" i="2"/>
  <c r="N591" i="2"/>
  <c r="N326" i="2"/>
  <c r="N242" i="2"/>
  <c r="N181" i="2"/>
  <c r="N567" i="2"/>
  <c r="N540" i="2"/>
  <c r="N616" i="2"/>
  <c r="N599" i="2"/>
  <c r="N232" i="2"/>
  <c r="N404" i="2"/>
  <c r="N128" i="2"/>
  <c r="N281" i="2"/>
  <c r="N416" i="2"/>
  <c r="N273" i="2"/>
  <c r="N62" i="2"/>
  <c r="N24" i="2"/>
  <c r="N344" i="2"/>
  <c r="N220" i="2"/>
  <c r="N304" i="2"/>
  <c r="N447" i="2"/>
  <c r="N559" i="2"/>
  <c r="N427" i="2"/>
  <c r="N453" i="2"/>
  <c r="N108" i="2"/>
  <c r="N333" i="2"/>
  <c r="N352" i="2"/>
  <c r="N414" i="2"/>
  <c r="N478" i="2"/>
  <c r="N349" i="2"/>
  <c r="N662" i="2"/>
  <c r="N193" i="2"/>
  <c r="N627" i="2"/>
  <c r="N284" i="2"/>
  <c r="N49" i="2"/>
  <c r="N318" i="2"/>
  <c r="N199" i="2"/>
  <c r="N515" i="2"/>
  <c r="N523" i="2"/>
  <c r="N545" i="2"/>
  <c r="N457" i="2"/>
  <c r="N163" i="2"/>
  <c r="N348" i="2"/>
  <c r="N274" i="2"/>
  <c r="N195" i="2"/>
  <c r="N373" i="2"/>
  <c r="N32" i="2"/>
  <c r="N363" i="2"/>
  <c r="N46" i="2"/>
  <c r="N30" i="2"/>
  <c r="N466" i="2"/>
  <c r="N71" i="2"/>
  <c r="N342" i="2"/>
  <c r="N272" i="2"/>
  <c r="N601" i="2"/>
  <c r="N498" i="2"/>
  <c r="N305" i="2"/>
  <c r="N436" i="2"/>
  <c r="N626" i="2"/>
  <c r="N225" i="2"/>
  <c r="N167" i="2"/>
  <c r="N502" i="2"/>
  <c r="N51" i="2"/>
  <c r="N529" i="2"/>
  <c r="N9" i="2"/>
  <c r="N75" i="2"/>
  <c r="N437" i="2"/>
  <c r="N573" i="2"/>
  <c r="N531" i="2"/>
  <c r="N125" i="2"/>
  <c r="N625" i="2"/>
  <c r="N461" i="2"/>
  <c r="N53" i="2"/>
  <c r="N500" i="2"/>
  <c r="N612" i="2"/>
  <c r="N589" i="2"/>
  <c r="N387" i="2"/>
  <c r="N300" i="2"/>
  <c r="N443" i="2"/>
  <c r="N294" i="2"/>
  <c r="N410" i="2"/>
  <c r="N178" i="2"/>
  <c r="N571" i="2"/>
  <c r="N129" i="2"/>
  <c r="N487" i="2"/>
  <c r="N48" i="2"/>
  <c r="N398" i="2"/>
  <c r="N172" i="2"/>
  <c r="N496" i="2"/>
  <c r="N356" i="2"/>
  <c r="N10" i="2"/>
  <c r="N583" i="2"/>
  <c r="N534" i="2"/>
  <c r="N77" i="2"/>
  <c r="N7" i="2"/>
  <c r="N118" i="2"/>
  <c r="N488" i="2"/>
  <c r="N317" i="2"/>
  <c r="N629" i="2"/>
  <c r="N256" i="2"/>
  <c r="N491" i="2"/>
  <c r="N660" i="2"/>
  <c r="N323" i="2"/>
  <c r="N201" i="2"/>
  <c r="N407" i="2"/>
  <c r="N405" i="2"/>
  <c r="N520" i="2"/>
  <c r="N440" i="2"/>
  <c r="N535" i="2"/>
  <c r="N85" i="2"/>
  <c r="N93" i="2"/>
  <c r="N563" i="2"/>
  <c r="N557" i="2"/>
  <c r="N652" i="2"/>
  <c r="N130" i="2"/>
  <c r="N141" i="2"/>
  <c r="N320" i="2"/>
  <c r="N428" i="2"/>
  <c r="N99" i="2"/>
  <c r="N160" i="2"/>
  <c r="N517" i="2"/>
  <c r="N411" i="2"/>
  <c r="N358" i="2"/>
  <c r="N430" i="2"/>
  <c r="N57" i="2"/>
  <c r="N617" i="2"/>
  <c r="N464" i="2"/>
  <c r="N506" i="2"/>
  <c r="N673" i="2"/>
  <c r="N15" i="2"/>
  <c r="N503" i="2"/>
  <c r="N115" i="2"/>
  <c r="N105" i="2"/>
  <c r="N292" i="2"/>
  <c r="N518" i="2"/>
  <c r="N313" i="2"/>
  <c r="N665" i="2"/>
  <c r="N293" i="2"/>
  <c r="N385" i="2"/>
  <c r="N137" i="2"/>
  <c r="N375" i="2"/>
  <c r="N245" i="2"/>
  <c r="N35" i="2"/>
  <c r="N218" i="2"/>
  <c r="N619" i="2"/>
  <c r="N68" i="2"/>
  <c r="N467" i="2"/>
  <c r="N278" i="2"/>
  <c r="N263" i="2"/>
  <c r="N334" i="2"/>
  <c r="N380" i="2"/>
  <c r="N392" i="2"/>
  <c r="N365" i="2"/>
  <c r="N672" i="2"/>
  <c r="N324" i="2"/>
  <c r="N252" i="2"/>
  <c r="N666" i="2"/>
  <c r="N585" i="2"/>
  <c r="N390" i="2"/>
  <c r="N401" i="2"/>
  <c r="N325" i="2"/>
  <c r="N42" i="2"/>
  <c r="N353" i="2"/>
  <c r="N11" i="2"/>
  <c r="N607" i="2"/>
  <c r="N379" i="2"/>
  <c r="N364" i="2"/>
  <c r="N658" i="2"/>
  <c r="N180" i="2"/>
  <c r="N265" i="2"/>
  <c r="N314" i="2"/>
  <c r="N634" i="2"/>
  <c r="N511" i="2"/>
  <c r="N222" i="2"/>
  <c r="N512" i="2"/>
  <c r="N480" i="2"/>
  <c r="N555" i="2"/>
  <c r="N134" i="2"/>
  <c r="N310" i="2"/>
  <c r="N221" i="2"/>
  <c r="N285" i="2"/>
  <c r="N152" i="2"/>
  <c r="N148" i="2"/>
  <c r="N388" i="2"/>
  <c r="N606" i="2"/>
  <c r="N484" i="2"/>
  <c r="N308" i="2"/>
  <c r="N474" i="2"/>
  <c r="N19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549695-4EE8-4FD1-A17F-51562160CFAF}" keepAlive="1" name="Requête - Clients_Churn_Part" description="Connexion à la requête « Clients_Churn_Part » dans le classeur." type="5" refreshedVersion="8" background="1" saveData="1">
    <dbPr connection="Provider=Microsoft.Mashup.OleDb.1;Data Source=$Workbook$;Location=Clients_Churn_Part;Extended Properties=&quot;&quot;" command="SELECT * FROM [Clients_Churn_Part]"/>
  </connection>
  <connection id="2" xr16:uid="{A4623FD2-12C5-493D-93BC-FE28D1D4D491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3" xr16:uid="{D539E0E2-26FB-47B2-B4BD-669E3A7BBB87}" keepAlive="1" name="Requête - Exemple de fichier (2)" description="Connexion à la requête « Exemple de fichier (2) » dans le classeur." type="5" refreshedVersion="0" background="1">
    <dbPr connection="Provider=Microsoft.Mashup.OleDb.1;Data Source=$Workbook$;Location=&quot;Exemple de fichier (2)&quot;;Extended Properties=&quot;&quot;" command="SELECT * FROM [Exemple de fichier (2)]"/>
  </connection>
  <connection id="4" xr16:uid="{77E7705F-ADD7-43EE-AE46-76C2C9646EAB}" keepAlive="1" name="Requête - Exemple de fichier (3)" description="Connexion à la requête « Exemple de fichier (3) » dans le classeur." type="5" refreshedVersion="0" background="1">
    <dbPr connection="Provider=Microsoft.Mashup.OleDb.1;Data Source=$Workbook$;Location=&quot;Exemple de fichier (3)&quot;;Extended Properties=&quot;&quot;" command="SELECT * FROM [Exemple de fichier (3)]"/>
  </connection>
  <connection id="5" xr16:uid="{967EDF71-9098-4FF4-8D82-E83C2E2A6F54}" keepAlive="1" name="Requête - Logs_Reseau_Part" description="Connexion à la requête « Logs_Reseau_Part » dans le classeur." type="5" refreshedVersion="8" background="1" saveData="1">
    <dbPr connection="Provider=Microsoft.Mashup.OleDb.1;Data Source=$Workbook$;Location=Logs_Reseau_Part;Extended Properties=&quot;&quot;" command="SELECT * FROM [Logs_Reseau_Part]"/>
  </connection>
  <connection id="6" xr16:uid="{15232FC9-728D-4E50-9F2F-78956F6EE484}" keepAlive="1" name="Requête - Logs_Reseau_Part (2)" description="Connexion à la requête « Logs_Reseau_Part (2) » dans le classeur." type="5" refreshedVersion="8" background="1" saveData="1">
    <dbPr connection="Provider=Microsoft.Mashup.OleDb.1;Data Source=$Workbook$;Location=&quot;Logs_Reseau_Part (2)&quot;;Extended Properties=&quot;&quot;" command="SELECT * FROM [Logs_Reseau_Part (2)]"/>
  </connection>
  <connection id="7" xr16:uid="{3EF1E4ED-BA76-4406-9326-7A4DAA786749}" keepAlive="1" name="Requête - Logs_Reseau_Part (3)" description="Connexion à la requête « Logs_Reseau_Part (3) » dans le classeur." type="5" refreshedVersion="8" background="1" saveData="1">
    <dbPr connection="Provider=Microsoft.Mashup.OleDb.1;Data Source=$Workbook$;Location=&quot;Logs_Reseau_Part (3)&quot;;Extended Properties=&quot;&quot;" command="SELECT * FROM [Logs_Reseau_Part (3)]"/>
  </connection>
  <connection id="8" xr16:uid="{FF54409A-453B-4226-8FF6-4832B07C915F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9" xr16:uid="{C4DED9B5-A67D-4E25-9A0B-581EFDAF8E0C}" keepAlive="1" name="Requête - Paramètre2" description="Connexion à la requête « Paramètre2 » dans le classeur." type="5" refreshedVersion="0" background="1">
    <dbPr connection="Provider=Microsoft.Mashup.OleDb.1;Data Source=$Workbook$;Location=Paramètre2;Extended Properties=&quot;&quot;" command="SELECT * FROM [Paramètre2]"/>
  </connection>
  <connection id="10" xr16:uid="{37B5CC87-69C5-42DA-964C-E76651304207}" keepAlive="1" name="Requête - Paramètre3" description="Connexion à la requête « Paramètre3 » dans le classeur." type="5" refreshedVersion="0" background="1">
    <dbPr connection="Provider=Microsoft.Mashup.OleDb.1;Data Source=$Workbook$;Location=Paramètre3;Extended Properties=&quot;&quot;" command="SELECT * FROM [Paramètre3]"/>
  </connection>
  <connection id="11" xr16:uid="{105B0695-4F43-4D3A-A3C6-8793063B7560}" keepAlive="1" name="Requête - Registre_Maintenance_Part" description="Connexion à la requête « Registre_Maintenance_Part » dans le classeur." type="5" refreshedVersion="8" background="1" saveData="1">
    <dbPr connection="Provider=Microsoft.Mashup.OleDb.1;Data Source=$Workbook$;Location=Registre_Maintenance_Part;Extended Properties=&quot;&quot;" command="SELECT * FROM [Registre_Maintenance_Part]"/>
  </connection>
  <connection id="12" xr16:uid="{27CDEEA4-30E7-4A12-9997-0D9AA36DB9D0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13" xr16:uid="{746B12B5-A275-4A22-93D4-FDB4BE88754E}" keepAlive="1" name="Requête - Transformer le fichier (2)" description="Connexion à la requête « Transformer le fichier (2) » dans le classeur." type="5" refreshedVersion="0" background="1">
    <dbPr connection="Provider=Microsoft.Mashup.OleDb.1;Data Source=$Workbook$;Location=&quot;Transformer le fichier (2)&quot;;Extended Properties=&quot;&quot;" command="SELECT * FROM [Transformer le fichier (2)]"/>
  </connection>
  <connection id="14" xr16:uid="{2F5FD0EA-F224-470D-933A-D642F411100D}" keepAlive="1" name="Requête - Transformer le fichier (3)" description="Connexion à la requête « Transformer le fichier (3) » dans le classeur." type="5" refreshedVersion="0" background="1">
    <dbPr connection="Provider=Microsoft.Mashup.OleDb.1;Data Source=$Workbook$;Location=&quot;Transformer le fichier (3)&quot;;Extended Properties=&quot;&quot;" command="SELECT * FROM [Transformer le fichier (3)]"/>
  </connection>
  <connection id="15" xr16:uid="{D5B9A7EA-EFE2-42DE-B730-B235691732BC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  <connection id="16" xr16:uid="{DACB8264-5187-4E6D-B0FD-D505E6BE383A}" keepAlive="1" name="Requête - Transformer l'exemple de fichier (2)" description="Connexion à la requête « Transformer l'exemple de fichier (2) » dans le classeur." type="5" refreshedVersion="0" background="1">
    <dbPr connection="Provider=Microsoft.Mashup.OleDb.1;Data Source=$Workbook$;Location=&quot;Transformer l'exemple de fichier (2)&quot;;Extended Properties=&quot;&quot;" command="SELECT * FROM [Transformer l'exemple de fichier (2)]"/>
  </connection>
  <connection id="17" xr16:uid="{DC537A6A-E693-4ECB-A3C6-AEF368547753}" keepAlive="1" name="Requête - Transformer l'exemple de fichier (3)" description="Connexion à la requête « Transformer l'exemple de fichier (3) » dans le classeur." type="5" refreshedVersion="0" background="1">
    <dbPr connection="Provider=Microsoft.Mashup.OleDb.1;Data Source=$Workbook$;Location=&quot;Transformer l'exemple de fichier (3)&quot;;Extended Properties=&quot;&quot;" command="SELECT * FROM [Transformer l'exemple de fichier (3)]"/>
  </connection>
  <connection id="18" xr16:uid="{8E711AE1-D988-4445-B382-B5FA7B8DE83A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9" xr16:uid="{8A8F2B37-80E4-4F87-8684-0267F13D6B1D}" name="WorksheetConnection_MASTER_KADEA_TELCO.xlsx!Logs_Reseau_Part56" type="102" refreshedVersion="8" minRefreshableVersion="5">
    <extLst>
      <ext xmlns:x15="http://schemas.microsoft.com/office/spreadsheetml/2010/11/main" uri="{DE250136-89BD-433C-8126-D09CA5730AF9}">
        <x15:connection id="Logs_Reseau_Part56" autoDelete="1">
          <x15:rangePr sourceName="_xlcn.WorksheetConnection_MASTER_KADEA_TELCO.xlsxLogs_Reseau_Part561"/>
        </x15:connection>
      </ext>
    </extLst>
  </connection>
</connections>
</file>

<file path=xl/sharedStrings.xml><?xml version="1.0" encoding="utf-8"?>
<sst xmlns="http://schemas.openxmlformats.org/spreadsheetml/2006/main" count="12388" uniqueCount="1588">
  <si>
    <t>Source.Name</t>
  </si>
  <si>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</si>
  <si>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</si>
  <si>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</si>
  <si>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</si>
  <si>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</si>
  <si>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</si>
  <si>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</si>
  <si>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Clients_Churn_Part_01.xlsx</t>
  </si>
  <si>
    <t>Ituri</t>
  </si>
  <si>
    <t>Premium 5G 150Go</t>
  </si>
  <si>
    <t>CLI-00894</t>
  </si>
  <si>
    <t>Tshuapa</t>
  </si>
  <si>
    <t>Pro Monde</t>
  </si>
  <si>
    <t>CLI-00865</t>
  </si>
  <si>
    <t>Mongala</t>
  </si>
  <si>
    <t>CLI-01325</t>
  </si>
  <si>
    <t>Haut-Lomami</t>
  </si>
  <si>
    <t>Bloqué 5Go</t>
  </si>
  <si>
    <t>CLI-01855</t>
  </si>
  <si>
    <t>Sud-Kivu</t>
  </si>
  <si>
    <t>Illimité 50Go</t>
  </si>
  <si>
    <t>CLI-00076</t>
  </si>
  <si>
    <t>Haut-Katanga</t>
  </si>
  <si>
    <t>Bas-Uele</t>
  </si>
  <si>
    <t>CLI-00327</t>
  </si>
  <si>
    <t>CLI-00559</t>
  </si>
  <si>
    <t>Kasai</t>
  </si>
  <si>
    <t>CLI-00280</t>
  </si>
  <si>
    <t>Sud-Ubangi</t>
  </si>
  <si>
    <t>CLI-00060</t>
  </si>
  <si>
    <t>Kasai-Central</t>
  </si>
  <si>
    <t>CLI-00530</t>
  </si>
  <si>
    <t>Sankuru</t>
  </si>
  <si>
    <t>CLI-01618</t>
  </si>
  <si>
    <t>Tanganyika</t>
  </si>
  <si>
    <t>CLI-00569</t>
  </si>
  <si>
    <t>Kwango</t>
  </si>
  <si>
    <t>CLI-01349</t>
  </si>
  <si>
    <t>CLI-01128</t>
  </si>
  <si>
    <t>CLI-00361</t>
  </si>
  <si>
    <t>Mai-Ndombe</t>
  </si>
  <si>
    <t>CLI-01320</t>
  </si>
  <si>
    <t>CLI-01746</t>
  </si>
  <si>
    <t>CLI-00087</t>
  </si>
  <si>
    <t>CLI-01974</t>
  </si>
  <si>
    <t>CLI-01480</t>
  </si>
  <si>
    <t>CLI-00996</t>
  </si>
  <si>
    <t>Kwilu</t>
  </si>
  <si>
    <t>CLI-01603</t>
  </si>
  <si>
    <t>CLI-00041</t>
  </si>
  <si>
    <t>CLI-00114</t>
  </si>
  <si>
    <t>CLI-01761</t>
  </si>
  <si>
    <t>CLI-01837</t>
  </si>
  <si>
    <t>Kasai-Oriental</t>
  </si>
  <si>
    <t>CLI-00172</t>
  </si>
  <si>
    <t>CLI-00643</t>
  </si>
  <si>
    <t>Equateur</t>
  </si>
  <si>
    <t>CLI-01233</t>
  </si>
  <si>
    <t>Kongo-Central</t>
  </si>
  <si>
    <t>CLI-00611</t>
  </si>
  <si>
    <t>Kinshasa</t>
  </si>
  <si>
    <t>Lomami</t>
  </si>
  <si>
    <t>CLI-01845</t>
  </si>
  <si>
    <t>CLI-01957</t>
  </si>
  <si>
    <t>CLI-00834</t>
  </si>
  <si>
    <t>CLI-01972</t>
  </si>
  <si>
    <t>CLI-00745</t>
  </si>
  <si>
    <t>Tshopo</t>
  </si>
  <si>
    <t>CLI-01347</t>
  </si>
  <si>
    <t>CLI-01814</t>
  </si>
  <si>
    <t>CLI-00185</t>
  </si>
  <si>
    <t>Maniema</t>
  </si>
  <si>
    <t>CLI-00813</t>
  </si>
  <si>
    <t>CLI-01932</t>
  </si>
  <si>
    <t>CLI-01720</t>
  </si>
  <si>
    <t>CLI-01484</t>
  </si>
  <si>
    <t>CLI-01726</t>
  </si>
  <si>
    <t>CLI-00288</t>
  </si>
  <si>
    <t>Clients_Churn_Part_02.xlsx</t>
  </si>
  <si>
    <t>CLI-00484</t>
  </si>
  <si>
    <t>CLI-00230</t>
  </si>
  <si>
    <t>CLI-01170</t>
  </si>
  <si>
    <t>Nord-Ubangi</t>
  </si>
  <si>
    <t>CLI-01505</t>
  </si>
  <si>
    <t>CLI-01025</t>
  </si>
  <si>
    <t>CLI-01911</t>
  </si>
  <si>
    <t>CLI-00248</t>
  </si>
  <si>
    <t>CLI-01069</t>
  </si>
  <si>
    <t>CLI-01361</t>
  </si>
  <si>
    <t>CLI-01698</t>
  </si>
  <si>
    <t>CLI-01189</t>
  </si>
  <si>
    <t>CLI-01588</t>
  </si>
  <si>
    <t>CLI-01908</t>
  </si>
  <si>
    <t>CLI-00516</t>
  </si>
  <si>
    <t>CLI-01017</t>
  </si>
  <si>
    <t>CLI-01812</t>
  </si>
  <si>
    <t>CLI-01964</t>
  </si>
  <si>
    <t>CLI-00488</t>
  </si>
  <si>
    <t>CLI-00251</t>
  </si>
  <si>
    <t>CLI-01653</t>
  </si>
  <si>
    <t>CLI-00642</t>
  </si>
  <si>
    <t>CLI-00675</t>
  </si>
  <si>
    <t>CLI-01705</t>
  </si>
  <si>
    <t>CLI-01197</t>
  </si>
  <si>
    <t>CLI-01510</t>
  </si>
  <si>
    <t>CLI-00799</t>
  </si>
  <si>
    <t>CLI-01651</t>
  </si>
  <si>
    <t>CLI-01533</t>
  </si>
  <si>
    <t>CLI-01524</t>
  </si>
  <si>
    <t>CLI-01950</t>
  </si>
  <si>
    <t>CLI-01916</t>
  </si>
  <si>
    <t>CLI-00867</t>
  </si>
  <si>
    <t>CLI-00447</t>
  </si>
  <si>
    <t>CLI-00296</t>
  </si>
  <si>
    <t>CLI-00219</t>
  </si>
  <si>
    <t>CLI-00359</t>
  </si>
  <si>
    <t>CLI-00439</t>
  </si>
  <si>
    <t>Haut-Uele</t>
  </si>
  <si>
    <t>CLI-00563</t>
  </si>
  <si>
    <t>CLI-00901</t>
  </si>
  <si>
    <t>CLI-00837</t>
  </si>
  <si>
    <t>Nord-Kivu</t>
  </si>
  <si>
    <t>CLI-01768</t>
  </si>
  <si>
    <t>CLI-00115</t>
  </si>
  <si>
    <t>CLI-01005</t>
  </si>
  <si>
    <t>Lualaba</t>
  </si>
  <si>
    <t>CLI-01093</t>
  </si>
  <si>
    <t>CLI-00768</t>
  </si>
  <si>
    <t>Clients_Churn_Part_03.xlsx</t>
  </si>
  <si>
    <t>CLI-01433</t>
  </si>
  <si>
    <t>CLI-00232</t>
  </si>
  <si>
    <t>CLI-00649</t>
  </si>
  <si>
    <t>CLI-01118</t>
  </si>
  <si>
    <t>CLI-00868</t>
  </si>
  <si>
    <t>CLI-00973</t>
  </si>
  <si>
    <t>CLI-00505</t>
  </si>
  <si>
    <t>CLI-01802</t>
  </si>
  <si>
    <t>CLI-01607</t>
  </si>
  <si>
    <t>CLI-00974</t>
  </si>
  <si>
    <t>CLI-01466</t>
  </si>
  <si>
    <t>CLI-00754</t>
  </si>
  <si>
    <t>CLI-01683</t>
  </si>
  <si>
    <t>CLI-00632</t>
  </si>
  <si>
    <t>CLI-00044</t>
  </si>
  <si>
    <t>CLI-01322</t>
  </si>
  <si>
    <t>CLI-01854</t>
  </si>
  <si>
    <t>CLI-01241</t>
  </si>
  <si>
    <t>CLI-00072</t>
  </si>
  <si>
    <t>CLI-01724</t>
  </si>
  <si>
    <t>CLI-01515</t>
  </si>
  <si>
    <t>CLI-01357</t>
  </si>
  <si>
    <t>CLI-01637</t>
  </si>
  <si>
    <t>CLI-00112</t>
  </si>
  <si>
    <t>CLI-01415</t>
  </si>
  <si>
    <t>CLI-01616</t>
  </si>
  <si>
    <t>CLI-01960</t>
  </si>
  <si>
    <t>CLI-00491</t>
  </si>
  <si>
    <t>CLI-00519</t>
  </si>
  <si>
    <t>CLI-00788</t>
  </si>
  <si>
    <t>CLI-00634</t>
  </si>
  <si>
    <t>CLI-01309</t>
  </si>
  <si>
    <t>CLI-01435</t>
  </si>
  <si>
    <t>CLI-01888</t>
  </si>
  <si>
    <t>CLI-01850</t>
  </si>
  <si>
    <t>CLI-01404</t>
  </si>
  <si>
    <t>CLI-00250</t>
  </si>
  <si>
    <t>CLI-01096</t>
  </si>
  <si>
    <t>CLI-01967</t>
  </si>
  <si>
    <t>CLI-00485</t>
  </si>
  <si>
    <t>CLI-01757</t>
  </si>
  <si>
    <t>CLI-00907</t>
  </si>
  <si>
    <t>CLI-00796</t>
  </si>
  <si>
    <t>CLI-00017</t>
  </si>
  <si>
    <t>Clients_Churn_Part_04.xlsx</t>
  </si>
  <si>
    <t>CLI-00805</t>
  </si>
  <si>
    <t>CLI-00524</t>
  </si>
  <si>
    <t>CLI-01933</t>
  </si>
  <si>
    <t>CLI-01685</t>
  </si>
  <si>
    <t>CLI-01550</t>
  </si>
  <si>
    <t>CLI-00483</t>
  </si>
  <si>
    <t>CLI-00610</t>
  </si>
  <si>
    <t>CLI-00431</t>
  </si>
  <si>
    <t>CLI-01824</t>
  </si>
  <si>
    <t>CLI-00329</t>
  </si>
  <si>
    <t>CLI-00899</t>
  </si>
  <si>
    <t>CLI-01294</t>
  </si>
  <si>
    <t>CLI-00650</t>
  </si>
  <si>
    <t>CLI-01891</t>
  </si>
  <si>
    <t>CLI-01860</t>
  </si>
  <si>
    <t>CLI-01571</t>
  </si>
  <si>
    <t>CLI-01982</t>
  </si>
  <si>
    <t>CLI-00833</t>
  </si>
  <si>
    <t>CLI-01617</t>
  </si>
  <si>
    <t>CLI-00070</t>
  </si>
  <si>
    <t>CLI-00562</t>
  </si>
  <si>
    <t>CLI-01775</t>
  </si>
  <si>
    <t>CLI-00165</t>
  </si>
  <si>
    <t>CLI-01686</t>
  </si>
  <si>
    <t>CLI-01007</t>
  </si>
  <si>
    <t>CLI-00965</t>
  </si>
  <si>
    <t>CLI-01923</t>
  </si>
  <si>
    <t>CLI-00846</t>
  </si>
  <si>
    <t>CLI-01723</t>
  </si>
  <si>
    <t>CLI-00682</t>
  </si>
  <si>
    <t>CLI-01470</t>
  </si>
  <si>
    <t>CLI-00866</t>
  </si>
  <si>
    <t>CLI-01796</t>
  </si>
  <si>
    <t>CLI-01680</t>
  </si>
  <si>
    <t>CLI-00206</t>
  </si>
  <si>
    <t>CLI-01839</t>
  </si>
  <si>
    <t>CLI-01431</t>
  </si>
  <si>
    <t>CLI-00535</t>
  </si>
  <si>
    <t>CLI-01037</t>
  </si>
  <si>
    <t>CLI-00136</t>
  </si>
  <si>
    <t>CLI-00862</t>
  </si>
  <si>
    <t>CLI-01234</t>
  </si>
  <si>
    <t>CLI-01494</t>
  </si>
  <si>
    <t>CLI-01666</t>
  </si>
  <si>
    <t>CLI-01122</t>
  </si>
  <si>
    <t>Clients_Churn_Part_05.xlsx</t>
  </si>
  <si>
    <t>CLI-01511</t>
  </si>
  <si>
    <t>CLI-00670</t>
  </si>
  <si>
    <t>CLI-00929</t>
  </si>
  <si>
    <t>CLI-01424</t>
  </si>
  <si>
    <t>CLI-00057</t>
  </si>
  <si>
    <t>CLI-01561</t>
  </si>
  <si>
    <t>CLI-00107</t>
  </si>
  <si>
    <t>CLI-01314</t>
  </si>
  <si>
    <t>CLI-01793</t>
  </si>
  <si>
    <t>CLI-00377</t>
  </si>
  <si>
    <t>CLI-01291</t>
  </si>
  <si>
    <t>CLI-00909</t>
  </si>
  <si>
    <t>CLI-01621</t>
  </si>
  <si>
    <t>CLI-01313</t>
  </si>
  <si>
    <t>CLI-00279</t>
  </si>
  <si>
    <t>CLI-00007</t>
  </si>
  <si>
    <t>CLI-00821</t>
  </si>
  <si>
    <t>CLI-00410</t>
  </si>
  <si>
    <t>CLI-01287</t>
  </si>
  <si>
    <t>CLI-01970</t>
  </si>
  <si>
    <t>CLI-01180</t>
  </si>
  <si>
    <t>CLI-00169</t>
  </si>
  <si>
    <t>CLI-00227</t>
  </si>
  <si>
    <t>CLI-00324</t>
  </si>
  <si>
    <t>CLI-01058</t>
  </si>
  <si>
    <t>CLI-01462</t>
  </si>
  <si>
    <t>CLI-01573</t>
  </si>
  <si>
    <t>CLI-01702</t>
  </si>
  <si>
    <t>CLI-01330</t>
  </si>
  <si>
    <t>CLI-01563</t>
  </si>
  <si>
    <t>CLI-00267</t>
  </si>
  <si>
    <t>CLI-01735</t>
  </si>
  <si>
    <t>CLI-01217</t>
  </si>
  <si>
    <t>CLI-01405</t>
  </si>
  <si>
    <t>CLI-00841</t>
  </si>
  <si>
    <t>CLI-01624</t>
  </si>
  <si>
    <t>CLI-00655</t>
  </si>
  <si>
    <t>CLI-00925</t>
  </si>
  <si>
    <t>CLI-00980</t>
  </si>
  <si>
    <t>CLI-01506</t>
  </si>
  <si>
    <t>CLI-00274</t>
  </si>
  <si>
    <t>CLI-00534</t>
  </si>
  <si>
    <t>CLI-01408</t>
  </si>
  <si>
    <t>CLI-01694</t>
  </si>
  <si>
    <t>CLI-00671</t>
  </si>
  <si>
    <t>CLI-01638</t>
  </si>
  <si>
    <t>Clients_Churn_Part_06.xlsx</t>
  </si>
  <si>
    <t>CLI-00407</t>
  </si>
  <si>
    <t>CLI-00173</t>
  </si>
  <si>
    <t>CLI-00849</t>
  </si>
  <si>
    <t>CLI-00753</t>
  </si>
  <si>
    <t>CLI-00373</t>
  </si>
  <si>
    <t>CLI-00806</t>
  </si>
  <si>
    <t>CLI-00773</t>
  </si>
  <si>
    <t>CLI-01169</t>
  </si>
  <si>
    <t>CLI-00460</t>
  </si>
  <si>
    <t>CLI-00043</t>
  </si>
  <si>
    <t>CLI-00048</t>
  </si>
  <si>
    <t>CLI-01144</t>
  </si>
  <si>
    <t>CLI-01326</t>
  </si>
  <si>
    <t>CLI-01254</t>
  </si>
  <si>
    <t>CLI-01284</t>
  </si>
  <si>
    <t>CLI-00469</t>
  </si>
  <si>
    <t>CLI-00183</t>
  </si>
  <si>
    <t>CLI-00948</t>
  </si>
  <si>
    <t>CLI-01749</t>
  </si>
  <si>
    <t>CLI-00537</t>
  </si>
  <si>
    <t>CLI-01437</t>
  </si>
  <si>
    <t>CLI-00346</t>
  </si>
  <si>
    <t>CLI-00102</t>
  </si>
  <si>
    <t>CLI-00822</t>
  </si>
  <si>
    <t>CLI-01266</t>
  </si>
  <si>
    <t>CLI-00879</t>
  </si>
  <si>
    <t>CLI-00533</t>
  </si>
  <si>
    <t>CLI-00306</t>
  </si>
  <si>
    <t>CLI-01732</t>
  </si>
  <si>
    <t>CLI-01885</t>
  </si>
  <si>
    <t>CLI-00349</t>
  </si>
  <si>
    <t>CLI-01162</t>
  </si>
  <si>
    <t>CLI-00241</t>
  </si>
  <si>
    <t>CLI-00029</t>
  </si>
  <si>
    <t>CLI-01472</t>
  </si>
  <si>
    <t>CLI-01077</t>
  </si>
  <si>
    <t>CLI-01929</t>
  </si>
  <si>
    <t>CLI-00930</t>
  </si>
  <si>
    <t>CLI-01695</t>
  </si>
  <si>
    <t>CLI-01380</t>
  </si>
  <si>
    <t>CLI-01013</t>
  </si>
  <si>
    <t>CLI-00243</t>
  </si>
  <si>
    <t>CLI-01740</t>
  </si>
  <si>
    <t>CLI-01773</t>
  </si>
  <si>
    <t>CLI-00417</t>
  </si>
  <si>
    <t>CLI-00391</t>
  </si>
  <si>
    <t>Clients_Churn_Part_07.xlsx</t>
  </si>
  <si>
    <t>CLI-01835</t>
  </si>
  <si>
    <t>CLI-01602</t>
  </si>
  <si>
    <t>CLI-00546</t>
  </si>
  <si>
    <t>CLI-00590</t>
  </si>
  <si>
    <t>CLI-01706</t>
  </si>
  <si>
    <t>CLI-00783</t>
  </si>
  <si>
    <t>CLI-01906</t>
  </si>
  <si>
    <t>CLI-00884</t>
  </si>
  <si>
    <t>CLI-00424</t>
  </si>
  <si>
    <t>CLI-01931</t>
  </si>
  <si>
    <t>CLI-00442</t>
  </si>
  <si>
    <t>CLI-01688</t>
  </si>
  <si>
    <t>CLI-00580</t>
  </si>
  <si>
    <t>CLI-01489</t>
  </si>
  <si>
    <t>CLI-00388</t>
  </si>
  <si>
    <t>CLI-00857</t>
  </si>
  <si>
    <t>CLI-00370</t>
  </si>
  <si>
    <t>CLI-01938</t>
  </si>
  <si>
    <t>CLI-01623</t>
  </si>
  <si>
    <t>CLI-00299</t>
  </si>
  <si>
    <t>CLI-00595</t>
  </si>
  <si>
    <t>CLI-01729</t>
  </si>
  <si>
    <t>CLI-01844</t>
  </si>
  <si>
    <t>CLI-01877</t>
  </si>
  <si>
    <t>CLI-00924</t>
  </si>
  <si>
    <t>CLI-00509</t>
  </si>
  <si>
    <t>CLI-01194</t>
  </si>
  <si>
    <t>CLI-01736</t>
  </si>
  <si>
    <t>CLI-00939</t>
  </si>
  <si>
    <t>CLI-00176</t>
  </si>
  <si>
    <t>CLI-00022</t>
  </si>
  <si>
    <t>CLI-00961</t>
  </si>
  <si>
    <t>CLI-00273</t>
  </si>
  <si>
    <t>CLI-00663</t>
  </si>
  <si>
    <t>CLI-01420</t>
  </si>
  <si>
    <t>CLI-00815</t>
  </si>
  <si>
    <t>CLI-01407</t>
  </si>
  <si>
    <t>CLI-00435</t>
  </si>
  <si>
    <t>CLI-01461</t>
  </si>
  <si>
    <t>CLI-00786</t>
  </si>
  <si>
    <t>CLI-01451</t>
  </si>
  <si>
    <t>CLI-01917</t>
  </si>
  <si>
    <t>CLI-01508</t>
  </si>
  <si>
    <t>CLI-01224</t>
  </si>
  <si>
    <t>CLI-00525</t>
  </si>
  <si>
    <t>Clients_Churn_Part_08.xlsx</t>
  </si>
  <si>
    <t>CLI-00150</t>
  </si>
  <si>
    <t>CLI-00196</t>
  </si>
  <si>
    <t>CLI-01141</t>
  </si>
  <si>
    <t>CLI-00121</t>
  </si>
  <si>
    <t>CLI-01818</t>
  </si>
  <si>
    <t>CLI-00481</t>
  </si>
  <si>
    <t>CLI-01822</t>
  </si>
  <si>
    <t>CLI-00726</t>
  </si>
  <si>
    <t>CLI-01242</t>
  </si>
  <si>
    <t>CLI-01374</t>
  </si>
  <si>
    <t>CLI-01226</t>
  </si>
  <si>
    <t>CLI-01920</t>
  </si>
  <si>
    <t>CLI-00094</t>
  </si>
  <si>
    <t>CLI-00520</t>
  </si>
  <si>
    <t>CLI-01034</t>
  </si>
  <si>
    <t>CLI-01270</t>
  </si>
  <si>
    <t>CLI-00781</t>
  </si>
  <si>
    <t>CLI-00620</t>
  </si>
  <si>
    <t>CLI-00809</t>
  </si>
  <si>
    <t>CLI-01375</t>
  </si>
  <si>
    <t>CLI-00760</t>
  </si>
  <si>
    <t>CLI-00271</t>
  </si>
  <si>
    <t>CLI-01146</t>
  </si>
  <si>
    <t>CLI-00085</t>
  </si>
  <si>
    <t>CLI-01940</t>
  </si>
  <si>
    <t>CLI-00368</t>
  </si>
  <si>
    <t>CLI-01880</t>
  </si>
  <si>
    <t>CLI-01032</t>
  </si>
  <si>
    <t>CLI-01010</t>
  </si>
  <si>
    <t>CLI-00695</t>
  </si>
  <si>
    <t>CLI-00959</t>
  </si>
  <si>
    <t>CLI-00184</t>
  </si>
  <si>
    <t>CLI-01836</t>
  </si>
  <si>
    <t>CLI-01455</t>
  </si>
  <si>
    <t>CLI-01087</t>
  </si>
  <si>
    <t>CLI-00887</t>
  </si>
  <si>
    <t>CLI-00291</t>
  </si>
  <si>
    <t>CLI-01788</t>
  </si>
  <si>
    <t>CLI-00240</t>
  </si>
  <si>
    <t>CLI-01927</t>
  </si>
  <si>
    <t>CLI-00091</t>
  </si>
  <si>
    <t>CLI-00262</t>
  </si>
  <si>
    <t>CLI-01023</t>
  </si>
  <si>
    <t>CLI-00576</t>
  </si>
  <si>
    <t>Clients_Churn_Part_09.xlsx</t>
  </si>
  <si>
    <t>CLI-00739</t>
  </si>
  <si>
    <t>CLI-00881</t>
  </si>
  <si>
    <t>CLI-01687</t>
  </si>
  <si>
    <t>CLI-01256</t>
  </si>
  <si>
    <t>CLI-01560</t>
  </si>
  <si>
    <t>CLI-00541</t>
  </si>
  <si>
    <t>CLI-01059</t>
  </si>
  <si>
    <t>CLI-01606</t>
  </si>
  <si>
    <t>CLI-00893</t>
  </si>
  <si>
    <t>CLI-00338</t>
  </si>
  <si>
    <t>CLI-00647</t>
  </si>
  <si>
    <t>CLI-01821</t>
  </si>
  <si>
    <t>CLI-01823</t>
  </si>
  <si>
    <t>CLI-01565</t>
  </si>
  <si>
    <t>CLI-00310</t>
  </si>
  <si>
    <t>CLI-01139</t>
  </si>
  <si>
    <t>CLI-01959</t>
  </si>
  <si>
    <t>CLI-01304</t>
  </si>
  <si>
    <t>CLI-00902</t>
  </si>
  <si>
    <t>CLI-00109</t>
  </si>
  <si>
    <t>CLI-00387</t>
  </si>
  <si>
    <t>CLI-00305</t>
  </si>
  <si>
    <t>CLI-01873</t>
  </si>
  <si>
    <t>CLI-00471</t>
  </si>
  <si>
    <t>CLI-00376</t>
  </si>
  <si>
    <t>CLI-00074</t>
  </si>
  <si>
    <t>CLI-00964</t>
  </si>
  <si>
    <t>CLI-01721</t>
  </si>
  <si>
    <t>CLI-00335</t>
  </si>
  <si>
    <t>CLI-00957</t>
  </si>
  <si>
    <t>CLI-01999</t>
  </si>
  <si>
    <t>CLI-00238</t>
  </si>
  <si>
    <t>CLI-01014</t>
  </si>
  <si>
    <t>CLI-00084</t>
  </si>
  <si>
    <t>CLI-00905</t>
  </si>
  <si>
    <t>CLI-00731</t>
  </si>
  <si>
    <t>CLI-01453</t>
  </si>
  <si>
    <t>CLI-01149</t>
  </si>
  <si>
    <t>CLI-00994</t>
  </si>
  <si>
    <t>CLI-00938</t>
  </si>
  <si>
    <t>CLI-01988</t>
  </si>
  <si>
    <t>CLI-01475</t>
  </si>
  <si>
    <t>CLI-00304</t>
  </si>
  <si>
    <t>CLI-00716</t>
  </si>
  <si>
    <t>CLI-00192</t>
  </si>
  <si>
    <t>CLI-00418</t>
  </si>
  <si>
    <t>Clients_Churn_Part_10.xlsx</t>
  </si>
  <si>
    <t>CLI-00582</t>
  </si>
  <si>
    <t>CLI-01682</t>
  </si>
  <si>
    <t>CLI-01536</t>
  </si>
  <si>
    <t>CLI-01154</t>
  </si>
  <si>
    <t>CLI-01359</t>
  </si>
  <si>
    <t>CLI-01200</t>
  </si>
  <si>
    <t>CLI-01658</t>
  </si>
  <si>
    <t>CLI-01196</t>
  </si>
  <si>
    <t>CLI-00009</t>
  </si>
  <si>
    <t>CLI-01078</t>
  </si>
  <si>
    <t>CLI-01741</t>
  </si>
  <si>
    <t>CLI-01549</t>
  </si>
  <si>
    <t>CLI-00853</t>
  </si>
  <si>
    <t>CLI-00158</t>
  </si>
  <si>
    <t>CLI-01893</t>
  </si>
  <si>
    <t>CLI-01021</t>
  </si>
  <si>
    <t>CLI-01846</t>
  </si>
  <si>
    <t>CLI-00194</t>
  </si>
  <si>
    <t>CLI-00674</t>
  </si>
  <si>
    <t>CLI-00054</t>
  </si>
  <si>
    <t>CLI-01396</t>
  </si>
  <si>
    <t>CLI-01394</t>
  </si>
  <si>
    <t>CLI-01858</t>
  </si>
  <si>
    <t>CLI-00808</t>
  </si>
  <si>
    <t>CLI-00766</t>
  </si>
  <si>
    <t>CLI-01210</t>
  </si>
  <si>
    <t>CLI-00218</t>
  </si>
  <si>
    <t>CLI-01662</t>
  </si>
  <si>
    <t>CLI-00315</t>
  </si>
  <si>
    <t>CLI-01990</t>
  </si>
  <si>
    <t>CLI-01450</t>
  </si>
  <si>
    <t>CLI-01351</t>
  </si>
  <si>
    <t>CLI-01709</t>
  </si>
  <si>
    <t>CLI-01782</t>
  </si>
  <si>
    <t>CLI-00552</t>
  </si>
  <si>
    <t>CLI-00012</t>
  </si>
  <si>
    <t>CLI-01926</t>
  </si>
  <si>
    <t>CLI-00090</t>
  </si>
  <si>
    <t>CLI-01344</t>
  </si>
  <si>
    <t>CLI-01275</t>
  </si>
  <si>
    <t>CLI-00928</t>
  </si>
  <si>
    <t>Clients_Churn_Part_11.xlsx</t>
  </si>
  <si>
    <t>CLI-00666</t>
  </si>
  <si>
    <t>CLI-01166</t>
  </si>
  <si>
    <t>CLI-00265</t>
  </si>
  <si>
    <t>CLI-00433</t>
  </si>
  <si>
    <t>CLI-00100</t>
  </si>
  <si>
    <t>CLI-01319</t>
  </si>
  <si>
    <t>CLI-01598</t>
  </si>
  <si>
    <t>CLI-01979</t>
  </si>
  <si>
    <t>CLI-00145</t>
  </si>
  <si>
    <t>CLI-01121</t>
  </si>
  <si>
    <t>CLI-01804</t>
  </si>
  <si>
    <t>CLI-00782</t>
  </si>
  <si>
    <t>CLI-00190</t>
  </si>
  <si>
    <t>CLI-00523</t>
  </si>
  <si>
    <t>CLI-00365</t>
  </si>
  <si>
    <t>CLI-00492</t>
  </si>
  <si>
    <t>CLI-01485</t>
  </si>
  <si>
    <t>CLI-01719</t>
  </si>
  <si>
    <t>CLI-01739</t>
  </si>
  <si>
    <t>CLI-00334</t>
  </si>
  <si>
    <t>CLI-01852</t>
  </si>
  <si>
    <t>CLI-00825</t>
  </si>
  <si>
    <t>CLI-00584</t>
  </si>
  <si>
    <t>CLI-01668</t>
  </si>
  <si>
    <t>CLI-01340</t>
  </si>
  <si>
    <t>CLI-00316</t>
  </si>
  <si>
    <t>CLI-00247</t>
  </si>
  <si>
    <t>CLI-00612</t>
  </si>
  <si>
    <t>CLI-01006</t>
  </si>
  <si>
    <t>CLI-00886</t>
  </si>
  <si>
    <t>CLI-00636</t>
  </si>
  <si>
    <t>CLI-01403</t>
  </si>
  <si>
    <t>CLI-01236</t>
  </si>
  <si>
    <t>CLI-00269</t>
  </si>
  <si>
    <t>CLI-00736</t>
  </si>
  <si>
    <t>CLI-01363</t>
  </si>
  <si>
    <t>CLI-00197</t>
  </si>
  <si>
    <t>CLI-01981</t>
  </si>
  <si>
    <t>CLI-01050</t>
  </si>
  <si>
    <t>CLI-01783</t>
  </si>
  <si>
    <t>CLI-01003</t>
  </si>
  <si>
    <t>CLI-00795</t>
  </si>
  <si>
    <t>CLI-00550</t>
  </si>
  <si>
    <t>Clients_Churn_Part_12.xlsx</t>
  </si>
  <si>
    <t>CLI-01722</t>
  </si>
  <si>
    <t>CLI-01654</t>
  </si>
  <si>
    <t>CLI-01847</t>
  </si>
  <si>
    <t>CLI-01816</t>
  </si>
  <si>
    <t>CLI-00755</t>
  </si>
  <si>
    <t>CLI-01258</t>
  </si>
  <si>
    <t>CLI-00382</t>
  </si>
  <si>
    <t>CLI-00890</t>
  </si>
  <si>
    <t>CLI-01292</t>
  </si>
  <si>
    <t>CLI-00873</t>
  </si>
  <si>
    <t>CLI-00191</t>
  </si>
  <si>
    <t>CLI-00083</t>
  </si>
  <si>
    <t>CLI-01052</t>
  </si>
  <si>
    <t>CLI-00700</t>
  </si>
  <si>
    <t>CLI-00950</t>
  </si>
  <si>
    <t>CLI-01386</t>
  </si>
  <si>
    <t>CLI-01704</t>
  </si>
  <si>
    <t>CLI-01327</t>
  </si>
  <si>
    <t>CLI-01406</t>
  </si>
  <si>
    <t>CLI-00318</t>
  </si>
  <si>
    <t>CLI-01015</t>
  </si>
  <si>
    <t>CLI-01080</t>
  </si>
  <si>
    <t>CLI-01290</t>
  </si>
  <si>
    <t>CLI-01473</t>
  </si>
  <si>
    <t>CLI-01075</t>
  </si>
  <si>
    <t>CLI-01971</t>
  </si>
  <si>
    <t>CLI-00596</t>
  </si>
  <si>
    <t>CLI-01871</t>
  </si>
  <si>
    <t>CLI-00896</t>
  </si>
  <si>
    <t>CLI-00163</t>
  </si>
  <si>
    <t>CLI-00979</t>
  </si>
  <si>
    <t>CLI-00616</t>
  </si>
  <si>
    <t>CLI-01578</t>
  </si>
  <si>
    <t>CLI-01604</t>
  </si>
  <si>
    <t>CLI-01669</t>
  </si>
  <si>
    <t>CLI-01419</t>
  </si>
  <si>
    <t>CLI-00510</t>
  </si>
  <si>
    <t>CLI-01072</t>
  </si>
  <si>
    <t>CLI-00876</t>
  </si>
  <si>
    <t>CLI-00606</t>
  </si>
  <si>
    <t>CLI-01165</t>
  </si>
  <si>
    <t>CLI-00098</t>
  </si>
  <si>
    <t>CLI-01129</t>
  </si>
  <si>
    <t>CLI-00157</t>
  </si>
  <si>
    <t>CLI-00093</t>
  </si>
  <si>
    <t>CLI-01438</t>
  </si>
  <si>
    <t>CLI-00221</t>
  </si>
  <si>
    <t>CLI-01046</t>
  </si>
  <si>
    <t>CLI-00871</t>
  </si>
  <si>
    <t>CLI-01820</t>
  </si>
  <si>
    <t>Clients_Churn_Part_13.xlsx</t>
  </si>
  <si>
    <t>CLI-01530</t>
  </si>
  <si>
    <t>CLI-00952</t>
  </si>
  <si>
    <t>CLI-01354</t>
  </si>
  <si>
    <t>CLI-01868</t>
  </si>
  <si>
    <t>CLI-00728</t>
  </si>
  <si>
    <t>CLI-00522</t>
  </si>
  <si>
    <t>CLI-01542</t>
  </si>
  <si>
    <t>CLI-00168</t>
  </si>
  <si>
    <t>CLI-01619</t>
  </si>
  <si>
    <t>CLI-00034</t>
  </si>
  <si>
    <t>CLI-00234</t>
  </si>
  <si>
    <t>CLI-01355</t>
  </si>
  <si>
    <t>CLI-01731</t>
  </si>
  <si>
    <t>CLI-01622</t>
  </si>
  <si>
    <t>CLI-00374</t>
  </si>
  <si>
    <t>CLI-01861</t>
  </si>
  <si>
    <t>CLI-01432</t>
  </si>
  <si>
    <t>CLI-00171</t>
  </si>
  <si>
    <t>CLI-01535</t>
  </si>
  <si>
    <t>CLI-01843</t>
  </si>
  <si>
    <t>CLI-01780</t>
  </si>
  <si>
    <t>CLI-01203</t>
  </si>
  <si>
    <t>CLI-00932</t>
  </si>
  <si>
    <t>CLI-01373</t>
  </si>
  <si>
    <t>CLI-00922</t>
  </si>
  <si>
    <t>CLI-01278</t>
  </si>
  <si>
    <t>CLI-00543</t>
  </si>
  <si>
    <t>CLI-01728</t>
  </si>
  <si>
    <t>CLI-00384</t>
  </si>
  <si>
    <t>CLI-01496</t>
  </si>
  <si>
    <t>CLI-00161</t>
  </si>
  <si>
    <t>CLI-01238</t>
  </si>
  <si>
    <t>CLI-00532</t>
  </si>
  <si>
    <t>CLI-01520</t>
  </si>
  <si>
    <t>CLI-01095</t>
  </si>
  <si>
    <t>CLI-00037</t>
  </si>
  <si>
    <t>CLI-01759</t>
  </si>
  <si>
    <t>CLI-01629</t>
  </si>
  <si>
    <t>CLI-00239</t>
  </si>
  <si>
    <t>CLI-00028</t>
  </si>
  <si>
    <t>CLI-00352</t>
  </si>
  <si>
    <t>CLI-01503</t>
  </si>
  <si>
    <t>CLI-00978</t>
  </si>
  <si>
    <t>CLI-01876</t>
  </si>
  <si>
    <t>CLI-00830</t>
  </si>
  <si>
    <t>CLI-01507</t>
  </si>
  <si>
    <t>CLI-01969</t>
  </si>
  <si>
    <t>Clients_Churn_Part_14.xlsx</t>
  </si>
  <si>
    <t>CLI-00997</t>
  </si>
  <si>
    <t>CLI-00621</t>
  </si>
  <si>
    <t>CLI-01267</t>
  </si>
  <si>
    <t>CLI-01264</t>
  </si>
  <si>
    <t>CLI-01600</t>
  </si>
  <si>
    <t>CLI-01360</t>
  </si>
  <si>
    <t>CLI-01630</t>
  </si>
  <si>
    <t>CLI-00257</t>
  </si>
  <si>
    <t>CLI-00277</t>
  </si>
  <si>
    <t>CLI-01714</t>
  </si>
  <si>
    <t>CLI-01701</t>
  </si>
  <si>
    <t>CLI-01949</t>
  </si>
  <si>
    <t>CLI-00386</t>
  </si>
  <si>
    <t>CLI-00429</t>
  </si>
  <si>
    <t>CLI-00986</t>
  </si>
  <si>
    <t>CLI-01329</t>
  </si>
  <si>
    <t>CLI-00298</t>
  </si>
  <si>
    <t>CLI-00496</t>
  </si>
  <si>
    <t>CLI-01591</t>
  </si>
  <si>
    <t>CLI-01283</t>
  </si>
  <si>
    <t>CLI-01104</t>
  </si>
  <si>
    <t>CLI-01339</t>
  </si>
  <si>
    <t>CLI-00177</t>
  </si>
  <si>
    <t>CLI-01848</t>
  </si>
  <si>
    <t>CLI-01436</t>
  </si>
  <si>
    <t>CLI-01555</t>
  </si>
  <si>
    <t>CLI-01998</t>
  </si>
  <si>
    <t>CLI-00045</t>
  </si>
  <si>
    <t>CLI-01543</t>
  </si>
  <si>
    <t>CLI-00341</t>
  </si>
  <si>
    <t>CLI-00313</t>
  </si>
  <si>
    <t>CLI-00912</t>
  </si>
  <si>
    <t>CLI-01595</t>
  </si>
  <si>
    <t>CLI-00966</t>
  </si>
  <si>
    <t>CLI-01975</t>
  </si>
  <si>
    <t>CLI-00921</t>
  </si>
  <si>
    <t>CLI-01199</t>
  </si>
  <si>
    <t>CLI-00413</t>
  </si>
  <si>
    <t>CLI-01167</t>
  </si>
  <si>
    <t>CLI-00803</t>
  </si>
  <si>
    <t>CLI-00105</t>
  </si>
  <si>
    <t>CLI-00684</t>
  </si>
  <si>
    <t>CLI-01851</t>
  </si>
  <si>
    <t>CLI-00211</t>
  </si>
  <si>
    <t>Clients_Churn_Part_15.xlsx</t>
  </si>
  <si>
    <t>CLI-01442</t>
  </si>
  <si>
    <t>CLI-00885</t>
  </si>
  <si>
    <t>CLI-00852</t>
  </si>
  <si>
    <t>CLI-01016</t>
  </si>
  <si>
    <t>CLI-01186</t>
  </si>
  <si>
    <t>CLI-01221</t>
  </si>
  <si>
    <t>CLI-01136</t>
  </si>
  <si>
    <t>CLI-01995</t>
  </si>
  <si>
    <t>CLI-00999</t>
  </si>
  <si>
    <t>CLI-00819</t>
  </si>
  <si>
    <t>CLI-01977</t>
  </si>
  <si>
    <t>CLI-01765</t>
  </si>
  <si>
    <t>CLI-01211</t>
  </si>
  <si>
    <t>CLI-01253</t>
  </si>
  <si>
    <t>CLI-01000</t>
  </si>
  <si>
    <t>CLI-00125</t>
  </si>
  <si>
    <t>CLI-01082</t>
  </si>
  <si>
    <t>CLI-00039</t>
  </si>
  <si>
    <t>CLI-01832</t>
  </si>
  <si>
    <t>CLI-01181</t>
  </si>
  <si>
    <t>CLI-01134</t>
  </si>
  <si>
    <t>CLI-01966</t>
  </si>
  <si>
    <t>CLI-00549</t>
  </si>
  <si>
    <t>CLI-00855</t>
  </si>
  <si>
    <t>CLI-00970</t>
  </si>
  <si>
    <t>CLI-01890</t>
  </si>
  <si>
    <t>CLI-01566</t>
  </si>
  <si>
    <t>CLI-00711</t>
  </si>
  <si>
    <t>CLI-01568</t>
  </si>
  <si>
    <t>CLI-01479</t>
  </si>
  <si>
    <t>CLI-01697</t>
  </si>
  <si>
    <t>CLI-00394</t>
  </si>
  <si>
    <t>CLI-00962</t>
  </si>
  <si>
    <t>CLI-00705</t>
  </si>
  <si>
    <t>CLI-00898</t>
  </si>
  <si>
    <t>CLI-00476</t>
  </si>
  <si>
    <t>CLI-00450</t>
  </si>
  <si>
    <t>CLI-01204</t>
  </si>
  <si>
    <t>CLI-01830</t>
  </si>
  <si>
    <t>CLI-01488</t>
  </si>
  <si>
    <t>CLI-00960</t>
  </si>
  <si>
    <t>CLI-01463</t>
  </si>
  <si>
    <t>CLI-00601</t>
  </si>
  <si>
    <t>Colonne1</t>
  </si>
  <si>
    <t>check_facture</t>
  </si>
  <si>
    <t>Date_Heure_Panne</t>
  </si>
  <si>
    <t>Cell_ID</t>
  </si>
  <si>
    <t>Duree_Panne_Min</t>
  </si>
  <si>
    <t>Statut_Resolution</t>
  </si>
  <si>
    <t>Logs_Reseau_Part_01.xlsx</t>
  </si>
  <si>
    <t>ANT-0465</t>
  </si>
  <si>
    <t>Résolu</t>
  </si>
  <si>
    <t>ANT-0004</t>
  </si>
  <si>
    <t>ANT-0977</t>
  </si>
  <si>
    <t>Non Résolu</t>
  </si>
  <si>
    <t>ANT-0740</t>
  </si>
  <si>
    <t>En Cours</t>
  </si>
  <si>
    <t>ANT-0897</t>
  </si>
  <si>
    <t>ANT-0737</t>
  </si>
  <si>
    <t>ANT-0270</t>
  </si>
  <si>
    <t>ANT-0996</t>
  </si>
  <si>
    <t>ANT-0513</t>
  </si>
  <si>
    <t>ANT-0781</t>
  </si>
  <si>
    <t>ANT-0183</t>
  </si>
  <si>
    <t>ANT-0520</t>
  </si>
  <si>
    <t>ANT-0935</t>
  </si>
  <si>
    <t>ANT-0109</t>
  </si>
  <si>
    <t>ANT-0892</t>
  </si>
  <si>
    <t>ANT-0641</t>
  </si>
  <si>
    <t>ANT-0306</t>
  </si>
  <si>
    <t>ANT-0862</t>
  </si>
  <si>
    <t>ANT-0655</t>
  </si>
  <si>
    <t>ANT-0624</t>
  </si>
  <si>
    <t>ANT-0204</t>
  </si>
  <si>
    <t>ANT-0157</t>
  </si>
  <si>
    <t>ANT-0383</t>
  </si>
  <si>
    <t>ANT-0166</t>
  </si>
  <si>
    <t>ANT-0553</t>
  </si>
  <si>
    <t>ANT-0798</t>
  </si>
  <si>
    <t>ANT-0945</t>
  </si>
  <si>
    <t>ANT-0544</t>
  </si>
  <si>
    <t>ANT-0941</t>
  </si>
  <si>
    <t>ANT-0001</t>
  </si>
  <si>
    <t>ANT-0614</t>
  </si>
  <si>
    <t>ANT-0332</t>
  </si>
  <si>
    <t>ANT-0501</t>
  </si>
  <si>
    <t>ANT-0020</t>
  </si>
  <si>
    <t>ANT-0115</t>
  </si>
  <si>
    <t>ANT-0952</t>
  </si>
  <si>
    <t>ANT-0372</t>
  </si>
  <si>
    <t>ANT-0900</t>
  </si>
  <si>
    <t>ANT-0852</t>
  </si>
  <si>
    <t>ANT-0315</t>
  </si>
  <si>
    <t>ANT-0246</t>
  </si>
  <si>
    <t>ANT-0060</t>
  </si>
  <si>
    <t>ANT-0247</t>
  </si>
  <si>
    <t>ANT-0581</t>
  </si>
  <si>
    <t>ANT-0970</t>
  </si>
  <si>
    <t>Logs_Reseau_Part_02.xlsx</t>
  </si>
  <si>
    <t>ANT-0650</t>
  </si>
  <si>
    <t>ANT-0874</t>
  </si>
  <si>
    <t>ANT-0271</t>
  </si>
  <si>
    <t>ANT-0518</t>
  </si>
  <si>
    <t>ANT-0258</t>
  </si>
  <si>
    <t>ANT-0928</t>
  </si>
  <si>
    <t>ANT-0930</t>
  </si>
  <si>
    <t>ANT-0867</t>
  </si>
  <si>
    <t>ANT-0053</t>
  </si>
  <si>
    <t>ANT-0095</t>
  </si>
  <si>
    <t>ANT-0434</t>
  </si>
  <si>
    <t>ANT-0850</t>
  </si>
  <si>
    <t>ANT-0284</t>
  </si>
  <si>
    <t>ANT-0046</t>
  </si>
  <si>
    <t>ANT-0342</t>
  </si>
  <si>
    <t>ANT-0790</t>
  </si>
  <si>
    <t>ANT-0134</t>
  </si>
  <si>
    <t>ANT-0653</t>
  </si>
  <si>
    <t>ANT-0269</t>
  </si>
  <si>
    <t>ANT-0760</t>
  </si>
  <si>
    <t>ANT-0453</t>
  </si>
  <si>
    <t>ANT-0565</t>
  </si>
  <si>
    <t>ANT-0723</t>
  </si>
  <si>
    <t>ANT-0438</t>
  </si>
  <si>
    <t>ANT-0575</t>
  </si>
  <si>
    <t>ANT-0010</t>
  </si>
  <si>
    <t>ANT-0078</t>
  </si>
  <si>
    <t>ANT-0968</t>
  </si>
  <si>
    <t>ANT-0905</t>
  </si>
  <si>
    <t>ANT-0708</t>
  </si>
  <si>
    <t>ANT-0926</t>
  </si>
  <si>
    <t>ANT-0153</t>
  </si>
  <si>
    <t>ANT-0559</t>
  </si>
  <si>
    <t>ANT-0037</t>
  </si>
  <si>
    <t>ANT-0855</t>
  </si>
  <si>
    <t>ANT-0379</t>
  </si>
  <si>
    <t>ANT-0597</t>
  </si>
  <si>
    <t>ANT-0566</t>
  </si>
  <si>
    <t>ANT-0152</t>
  </si>
  <si>
    <t>ANT-0441</t>
  </si>
  <si>
    <t>ANT-0131</t>
  </si>
  <si>
    <t>ANT-0043</t>
  </si>
  <si>
    <t>ANT-0316</t>
  </si>
  <si>
    <t>Logs_Reseau_Part_03.xlsx</t>
  </si>
  <si>
    <t>ANT-0573</t>
  </si>
  <si>
    <t>ANT-0610</t>
  </si>
  <si>
    <t>ANT-0325</t>
  </si>
  <si>
    <t>ANT-0973</t>
  </si>
  <si>
    <t>ANT-0774</t>
  </si>
  <si>
    <t>ANT-0913</t>
  </si>
  <si>
    <t>ANT-0454</t>
  </si>
  <si>
    <t>ANT-0628</t>
  </si>
  <si>
    <t>ANT-0835</t>
  </si>
  <si>
    <t>ANT-0914</t>
  </si>
  <si>
    <t>ANT-0517</t>
  </si>
  <si>
    <t>ANT-0437</t>
  </si>
  <si>
    <t>ANT-0851</t>
  </si>
  <si>
    <t>ANT-0929</t>
  </si>
  <si>
    <t>ANT-0562</t>
  </si>
  <si>
    <t>ANT-0457</t>
  </si>
  <si>
    <t>ANT-0919</t>
  </si>
  <si>
    <t>ANT-0163</t>
  </si>
  <si>
    <t>ANT-0762</t>
  </si>
  <si>
    <t>ANT-0883</t>
  </si>
  <si>
    <t>ANT-0487</t>
  </si>
  <si>
    <t>ANT-0461</t>
  </si>
  <si>
    <t>ANT-0266</t>
  </si>
  <si>
    <t>ANT-0770</t>
  </si>
  <si>
    <t>ANT-0254</t>
  </si>
  <si>
    <t>ANT-0861</t>
  </si>
  <si>
    <t>ANT-0785</t>
  </si>
  <si>
    <t>ANT-0797</t>
  </si>
  <si>
    <t>ANT-0534</t>
  </si>
  <si>
    <t>ANT-0497</t>
  </si>
  <si>
    <t>ANT-0642</t>
  </si>
  <si>
    <t>ANT-0245</t>
  </si>
  <si>
    <t>ANT-0282</t>
  </si>
  <si>
    <t>ANT-0451</t>
  </si>
  <si>
    <t>ANT-0080</t>
  </si>
  <si>
    <t>ANT-0731</t>
  </si>
  <si>
    <t>ANT-0293</t>
  </si>
  <si>
    <t>Logs_Reseau_Part_04.xlsx</t>
  </si>
  <si>
    <t>ANT-0287</t>
  </si>
  <si>
    <t>ANT-0902</t>
  </si>
  <si>
    <t>ANT-0611</t>
  </si>
  <si>
    <t>ANT-0719</t>
  </si>
  <si>
    <t>ANT-0283</t>
  </si>
  <si>
    <t>ANT-0570</t>
  </si>
  <si>
    <t>ANT-0011</t>
  </si>
  <si>
    <t>ANT-0530</t>
  </si>
  <si>
    <t>ANT-0971</t>
  </si>
  <si>
    <t>ANT-0196</t>
  </si>
  <si>
    <t>ANT-0088</t>
  </si>
  <si>
    <t>ANT-0248</t>
  </si>
  <si>
    <t>ANT-0738</t>
  </si>
  <si>
    <t>ANT-0417</t>
  </si>
  <si>
    <t>ANT-0569</t>
  </si>
  <si>
    <t>ANT-0777</t>
  </si>
  <si>
    <t>ANT-0488</t>
  </si>
  <si>
    <t>ANT-0662</t>
  </si>
  <si>
    <t>ANT-0729</t>
  </si>
  <si>
    <t>ANT-0503</t>
  </si>
  <si>
    <t>ANT-0459</t>
  </si>
  <si>
    <t>ANT-0812</t>
  </si>
  <si>
    <t>ANT-0018</t>
  </si>
  <si>
    <t>ANT-0096</t>
  </si>
  <si>
    <t>ANT-0302</t>
  </si>
  <si>
    <t>ANT-0227</t>
  </si>
  <si>
    <t>ANT-0415</t>
  </si>
  <si>
    <t>ANT-0709</t>
  </si>
  <si>
    <t>ANT-0250</t>
  </si>
  <si>
    <t>ANT-0314</t>
  </si>
  <si>
    <t>ANT-0680</t>
  </si>
  <si>
    <t>ANT-0596</t>
  </si>
  <si>
    <t>ANT-0378</t>
  </si>
  <si>
    <t>ANT-0485</t>
  </si>
  <si>
    <t>ANT-0567</t>
  </si>
  <si>
    <t>ANT-0353</t>
  </si>
  <si>
    <t>ANT-0436</t>
  </si>
  <si>
    <t>ANT-0764</t>
  </si>
  <si>
    <t>ANT-0564</t>
  </si>
  <si>
    <t>ANT-0339</t>
  </si>
  <si>
    <t>Logs_Reseau_Part_05.xlsx</t>
  </si>
  <si>
    <t>ANT-0259</t>
  </si>
  <si>
    <t>ANT-0119</t>
  </si>
  <si>
    <t>ANT-0994</t>
  </si>
  <si>
    <t>ANT-0792</t>
  </si>
  <si>
    <t>ANT-0414</t>
  </si>
  <si>
    <t>ANT-0886</t>
  </si>
  <si>
    <t>ANT-0527</t>
  </si>
  <si>
    <t>ANT-0845</t>
  </si>
  <si>
    <t>ANT-0002</t>
  </si>
  <si>
    <t>ANT-0674</t>
  </si>
  <si>
    <t>ANT-0891</t>
  </si>
  <si>
    <t>ANT-0556</t>
  </si>
  <si>
    <t>ANT-0474</t>
  </si>
  <si>
    <t>ANT-0424</t>
  </si>
  <si>
    <t>ANT-0056</t>
  </si>
  <si>
    <t>ANT-0193</t>
  </si>
  <si>
    <t>ANT-0531</t>
  </si>
  <si>
    <t>ANT-0371</t>
  </si>
  <si>
    <t>ANT-0638</t>
  </si>
  <si>
    <t>ANT-0775</t>
  </si>
  <si>
    <t>ANT-0511</t>
  </si>
  <si>
    <t>ANT-0779</t>
  </si>
  <si>
    <t>ANT-0209</t>
  </si>
  <si>
    <t>ANT-0274</t>
  </si>
  <si>
    <t>ANT-0563</t>
  </si>
  <si>
    <t>ANT-0135</t>
  </si>
  <si>
    <t>ANT-0950</t>
  </si>
  <si>
    <t>ANT-0295</t>
  </si>
  <si>
    <t>ANT-0449</t>
  </si>
  <si>
    <t>ANT-0716</t>
  </si>
  <si>
    <t>ANT-0125</t>
  </si>
  <si>
    <t>ANT-0030</t>
  </si>
  <si>
    <t>ANT-0997</t>
  </si>
  <si>
    <t>ANT-0646</t>
  </si>
  <si>
    <t>ANT-0819</t>
  </si>
  <si>
    <t>ANT-0727</t>
  </si>
  <si>
    <t>Logs_Reseau_Part_06.xlsx</t>
  </si>
  <si>
    <t>ANT-0739</t>
  </si>
  <si>
    <t>ANT-0786</t>
  </si>
  <si>
    <t>ANT-0698</t>
  </si>
  <si>
    <t>ANT-0859</t>
  </si>
  <si>
    <t>ANT-0141</t>
  </si>
  <si>
    <t>ANT-0644</t>
  </si>
  <si>
    <t>ANT-0100</t>
  </si>
  <si>
    <t>ANT-0643</t>
  </si>
  <si>
    <t>ANT-0041</t>
  </si>
  <si>
    <t>ANT-0317</t>
  </si>
  <si>
    <t>ANT-0808</t>
  </si>
  <si>
    <t>ANT-0452</t>
  </si>
  <si>
    <t>ANT-0035</t>
  </si>
  <si>
    <t>ANT-0594</t>
  </si>
  <si>
    <t>ANT-0374</t>
  </si>
  <si>
    <t>ANT-0750</t>
  </si>
  <si>
    <t>ANT-0093</t>
  </si>
  <si>
    <t>ANT-0932</t>
  </si>
  <si>
    <t>ANT-0303</t>
  </si>
  <si>
    <t>ANT-0335</t>
  </si>
  <si>
    <t>ANT-0766</t>
  </si>
  <si>
    <t>ANT-0426</t>
  </si>
  <si>
    <t>ANT-0180</t>
  </si>
  <si>
    <t>ANT-0206</t>
  </si>
  <si>
    <t>ANT-0136</t>
  </si>
  <si>
    <t>ANT-0806</t>
  </si>
  <si>
    <t>ANT-0898</t>
  </si>
  <si>
    <t>ANT-0995</t>
  </si>
  <si>
    <t>ANT-0375</t>
  </si>
  <si>
    <t>ANT-0514</t>
  </si>
  <si>
    <t>ANT-0936</t>
  </si>
  <si>
    <t>ANT-0280</t>
  </si>
  <si>
    <t>ANT-0169</t>
  </si>
  <si>
    <t>ANT-0264</t>
  </si>
  <si>
    <t>ANT-0967</t>
  </si>
  <si>
    <t>ANT-0494</t>
  </si>
  <si>
    <t>ANT-0991</t>
  </si>
  <si>
    <t>ANT-0826</t>
  </si>
  <si>
    <t>Logs_Reseau_Part_07.xlsx</t>
  </si>
  <si>
    <t>ANT-0111</t>
  </si>
  <si>
    <t>ANT-0730</t>
  </si>
  <si>
    <t>ANT-0455</t>
  </si>
  <si>
    <t>ANT-0076</t>
  </si>
  <si>
    <t>ANT-0921</t>
  </si>
  <si>
    <t>ANT-0083</t>
  </si>
  <si>
    <t>ANT-0330</t>
  </si>
  <si>
    <t>ANT-0623</t>
  </si>
  <si>
    <t>ANT-0068</t>
  </si>
  <si>
    <t>ANT-0130</t>
  </si>
  <si>
    <t>ANT-0640</t>
  </si>
  <si>
    <t>ANT-0649</t>
  </si>
  <si>
    <t>ANT-0600</t>
  </si>
  <si>
    <t>ANT-0333</t>
  </si>
  <si>
    <t>ANT-0391</t>
  </si>
  <si>
    <t>ANT-0612</t>
  </si>
  <si>
    <t>ANT-0620</t>
  </si>
  <si>
    <t>ANT-0102</t>
  </si>
  <si>
    <t>ANT-0813</t>
  </si>
  <si>
    <t>ANT-0118</t>
  </si>
  <si>
    <t>Logs_Reseau_Part_08.xlsx</t>
  </si>
  <si>
    <t>ANT-0656</t>
  </si>
  <si>
    <t>ANT-0428</t>
  </si>
  <si>
    <t>ANT-0022</t>
  </si>
  <si>
    <t>ANT-0990</t>
  </si>
  <si>
    <t>ANT-0176</t>
  </si>
  <si>
    <t>ANT-0821</t>
  </si>
  <si>
    <t>ANT-0633</t>
  </si>
  <si>
    <t>ANT-0472</t>
  </si>
  <si>
    <t>ANT-0707</t>
  </si>
  <si>
    <t>ANT-0942</t>
  </si>
  <si>
    <t>ANT-0091</t>
  </si>
  <si>
    <t>ANT-0448</t>
  </si>
  <si>
    <t>ANT-0865</t>
  </si>
  <si>
    <t>ANT-0447</t>
  </si>
  <si>
    <t>ANT-0604</t>
  </si>
  <si>
    <t>ANT-0411</t>
  </si>
  <si>
    <t>ANT-0537</t>
  </si>
  <si>
    <t>ANT-0081</t>
  </si>
  <si>
    <t>ANT-0406</t>
  </si>
  <si>
    <t>ANT-0318</t>
  </si>
  <si>
    <t>ANT-0348</t>
  </si>
  <si>
    <t>ANT-0173</t>
  </si>
  <si>
    <t>ANT-0079</t>
  </si>
  <si>
    <t>ANT-0523</t>
  </si>
  <si>
    <t>Logs_Reseau_Part_09.xlsx</t>
  </si>
  <si>
    <t>ANT-0989</t>
  </si>
  <si>
    <t>ANT-0829</t>
  </si>
  <si>
    <t>ANT-0804</t>
  </si>
  <si>
    <t>ANT-0481</t>
  </si>
  <si>
    <t>ANT-0856</t>
  </si>
  <si>
    <t>ANT-0199</t>
  </si>
  <si>
    <t>ANT-0377</t>
  </si>
  <si>
    <t>ANT-0695</t>
  </si>
  <si>
    <t>ANT-0585</t>
  </si>
  <si>
    <t>ANT-0473</t>
  </si>
  <si>
    <t>ANT-0788</t>
  </si>
  <si>
    <t>ANT-0289</t>
  </si>
  <si>
    <t>ANT-0392</t>
  </si>
  <si>
    <t>ANT-0515</t>
  </si>
  <si>
    <t>ANT-0541</t>
  </si>
  <si>
    <t>ANT-0429</t>
  </si>
  <si>
    <t>ANT-0837</t>
  </si>
  <si>
    <t>ANT-0205</t>
  </si>
  <si>
    <t>ANT-0142</t>
  </si>
  <si>
    <t>ANT-0894</t>
  </si>
  <si>
    <t>ANT-0257</t>
  </si>
  <si>
    <t>ANT-0054</t>
  </si>
  <si>
    <t>ANT-0657</t>
  </si>
  <si>
    <t>ANT-0493</t>
  </si>
  <si>
    <t>ANT-0896</t>
  </si>
  <si>
    <t>ANT-0381</t>
  </si>
  <si>
    <t>ANT-0568</t>
  </si>
  <si>
    <t>ANT-0957</t>
  </si>
  <si>
    <t>ANT-0106</t>
  </si>
  <si>
    <t>ANT-0529</t>
  </si>
  <si>
    <t>ANT-0872</t>
  </si>
  <si>
    <t>ANT-0128</t>
  </si>
  <si>
    <t>ANT-0292</t>
  </si>
  <si>
    <t>ANT-0086</t>
  </si>
  <si>
    <t>Logs_Reseau_Part_10.xlsx</t>
  </si>
  <si>
    <t>ANT-0360</t>
  </si>
  <si>
    <t>ANT-0458</t>
  </si>
  <si>
    <t>ANT-0044</t>
  </si>
  <si>
    <t>ANT-0934</t>
  </si>
  <si>
    <t>ANT-0362</t>
  </si>
  <si>
    <t>ANT-0630</t>
  </si>
  <si>
    <t>ANT-0446</t>
  </si>
  <si>
    <t>ANT-0811</t>
  </si>
  <si>
    <t>ANT-0059</t>
  </si>
  <si>
    <t>ANT-0077</t>
  </si>
  <si>
    <t>ANT-0688</t>
  </si>
  <si>
    <t>ANT-0416</t>
  </si>
  <si>
    <t>ANT-0373</t>
  </si>
  <si>
    <t>ANT-0526</t>
  </si>
  <si>
    <t>ANT-0768</t>
  </si>
  <si>
    <t>ANT-0696</t>
  </si>
  <si>
    <t>ANT-0164</t>
  </si>
  <si>
    <t>ANT-0976</t>
  </si>
  <si>
    <t>ANT-0032</t>
  </si>
  <si>
    <t>ANT-0147</t>
  </si>
  <si>
    <t>ANT-0870</t>
  </si>
  <si>
    <t>ANT-0801</t>
  </si>
  <si>
    <t>ANT-0036</t>
  </si>
  <si>
    <t>ANT-0069</t>
  </si>
  <si>
    <t>ANT-0242</t>
  </si>
  <si>
    <t>ANT-0661</t>
  </si>
  <si>
    <t>Logs_Reseau_Part_11.xlsx</t>
  </si>
  <si>
    <t>ANT-0126</t>
  </si>
  <si>
    <t>ANT-0145</t>
  </si>
  <si>
    <t>ANT-0052</t>
  </si>
  <si>
    <t>ANT-0298</t>
  </si>
  <si>
    <t>ANT-0969</t>
  </si>
  <si>
    <t>ANT-0394</t>
  </si>
  <si>
    <t>ANT-0885</t>
  </si>
  <si>
    <t>ANT-0631</t>
  </si>
  <si>
    <t>ANT-0255</t>
  </si>
  <si>
    <t>ANT-0986</t>
  </si>
  <si>
    <t>ANT-0887</t>
  </si>
  <si>
    <t>ANT-0924</t>
  </si>
  <si>
    <t>ANT-0834</t>
  </si>
  <si>
    <t>ANT-0336</t>
  </si>
  <si>
    <t>ANT-0592</t>
  </si>
  <si>
    <t>ANT-0321</t>
  </si>
  <si>
    <t>ANT-0195</t>
  </si>
  <si>
    <t>ANT-0782</t>
  </si>
  <si>
    <t>ANT-0528</t>
  </si>
  <si>
    <t>ANT-0479</t>
  </si>
  <si>
    <t>ANT-0901</t>
  </si>
  <si>
    <t>ANT-0510</t>
  </si>
  <si>
    <t>ANT-0024</t>
  </si>
  <si>
    <t>ANT-0403</t>
  </si>
  <si>
    <t>ANT-0469</t>
  </si>
  <si>
    <t>ANT-0221</t>
  </si>
  <si>
    <t>ANT-0598</t>
  </si>
  <si>
    <t>Logs_Reseau_Part_12.xlsx</t>
  </si>
  <si>
    <t>ANT-0686</t>
  </si>
  <si>
    <t>ANT-0927</t>
  </si>
  <si>
    <t>ANT-0232</t>
  </si>
  <si>
    <t>ANT-0654</t>
  </si>
  <si>
    <t>ANT-0239</t>
  </si>
  <si>
    <t>ANT-0103</t>
  </si>
  <si>
    <t>ANT-0735</t>
  </si>
  <si>
    <t>ANT-0484</t>
  </si>
  <si>
    <t>ANT-0006</t>
  </si>
  <si>
    <t>ANT-0988</t>
  </si>
  <si>
    <t>ANT-0162</t>
  </si>
  <si>
    <t>ANT-0669</t>
  </si>
  <si>
    <t>ANT-0958</t>
  </si>
  <si>
    <t>ANT-0489</t>
  </si>
  <si>
    <t>ANT-0667</t>
  </si>
  <si>
    <t>ANT-0329</t>
  </si>
  <si>
    <t>ANT-0061</t>
  </si>
  <si>
    <t>ANT-0092</t>
  </si>
  <si>
    <t>ANT-0668</t>
  </si>
  <si>
    <t>ANT-0588</t>
  </si>
  <si>
    <t>ANT-0238</t>
  </si>
  <si>
    <t>ANT-0548</t>
  </si>
  <si>
    <t>ANT-0757</t>
  </si>
  <si>
    <t>Logs_Reseau_Part_13.xlsx</t>
  </si>
  <si>
    <t>ANT-0670</t>
  </si>
  <si>
    <t>ANT-0881</t>
  </si>
  <si>
    <t>ANT-0357</t>
  </si>
  <si>
    <t>ANT-0122</t>
  </si>
  <si>
    <t>ANT-0551</t>
  </si>
  <si>
    <t>ANT-0542</t>
  </si>
  <si>
    <t>ANT-0746</t>
  </si>
  <si>
    <t>ANT-0229</t>
  </si>
  <si>
    <t>ANT-0475</t>
  </si>
  <si>
    <t>ANT-0690</t>
  </si>
  <si>
    <t>ANT-0558</t>
  </si>
  <si>
    <t>ANT-0435</t>
  </si>
  <si>
    <t>ANT-0545</t>
  </si>
  <si>
    <t>ANT-0389</t>
  </si>
  <si>
    <t>ANT-0844</t>
  </si>
  <si>
    <t>ANT-0236</t>
  </si>
  <si>
    <t>ANT-0355</t>
  </si>
  <si>
    <t>ANT-0159</t>
  </si>
  <si>
    <t>ANT-0194</t>
  </si>
  <si>
    <t>ANT-0960</t>
  </si>
  <si>
    <t>ANT-0743</t>
  </si>
  <si>
    <t>ANT-0784</t>
  </si>
  <si>
    <t>ANT-0116</t>
  </si>
  <si>
    <t>ANT-0033</t>
  </si>
  <si>
    <t>ANT-0677</t>
  </si>
  <si>
    <t>ANT-0430</t>
  </si>
  <si>
    <t>Logs_Reseau_Part_14.xlsx</t>
  </si>
  <si>
    <t>ANT-0007</t>
  </si>
  <si>
    <t>ANT-0422</t>
  </si>
  <si>
    <t>ANT-0013</t>
  </si>
  <si>
    <t>ANT-0543</t>
  </si>
  <si>
    <t>ANT-0549</t>
  </si>
  <si>
    <t>ANT-0294</t>
  </si>
  <si>
    <t>ANT-0833</t>
  </si>
  <si>
    <t>ANT-0715</t>
  </si>
  <si>
    <t>ANT-0691</t>
  </si>
  <si>
    <t>ANT-0963</t>
  </si>
  <si>
    <t>ANT-0184</t>
  </si>
  <si>
    <t>ANT-0110</t>
  </si>
  <si>
    <t>ANT-0099</t>
  </si>
  <si>
    <t>ANT-0197</t>
  </si>
  <si>
    <t>ANT-0635</t>
  </si>
  <si>
    <t>ANT-0540</t>
  </si>
  <si>
    <t>ANT-0363</t>
  </si>
  <si>
    <t>ANT-0815</t>
  </si>
  <si>
    <t>ANT-0407</t>
  </si>
  <si>
    <t>ANT-0983</t>
  </si>
  <si>
    <t>ANT-0471</t>
  </si>
  <si>
    <t>ANT-0579</t>
  </si>
  <si>
    <t>ANT-0714</t>
  </si>
  <si>
    <t>ANT-0308</t>
  </si>
  <si>
    <t>ANT-0701</t>
  </si>
  <si>
    <t>ANT-0848</t>
  </si>
  <si>
    <t>ANT-0869</t>
  </si>
  <si>
    <t>Logs_Reseau_Part_15.xlsx</t>
  </si>
  <si>
    <t>ANT-0334</t>
  </si>
  <si>
    <t>ANT-0386</t>
  </si>
  <si>
    <t>ANT-0288</t>
  </si>
  <si>
    <t>ANT-0805</t>
  </si>
  <si>
    <t>ANT-0117</t>
  </si>
  <si>
    <t>ANT-0955</t>
  </si>
  <si>
    <t>ANT-0578</t>
  </si>
  <si>
    <t>ANT-0607</t>
  </si>
  <si>
    <t>ANT-0185</t>
  </si>
  <si>
    <t>ANT-0699</t>
  </si>
  <si>
    <t>ANT-0787</t>
  </si>
  <si>
    <t>ANT-0028</t>
  </si>
  <si>
    <t>ANT-0745</t>
  </si>
  <si>
    <t>ANT-0966</t>
  </si>
  <si>
    <t>ANT-0726</t>
  </si>
  <si>
    <t>ANT-0215</t>
  </si>
  <si>
    <t>ANT-0817</t>
  </si>
  <si>
    <t>ANT-0299</t>
  </si>
  <si>
    <t>ANT-0710</t>
  </si>
  <si>
    <t>ANT-0071</t>
  </si>
  <si>
    <t>ANT-0839</t>
  </si>
  <si>
    <t>ANT-0419</t>
  </si>
  <si>
    <t>ANT-0512</t>
  </si>
  <si>
    <t>ANT-0143</t>
  </si>
  <si>
    <t>ANT-0311</t>
  </si>
  <si>
    <t>Logs_Reseau_Part_16.xlsx</t>
  </si>
  <si>
    <t>ANT-0231</t>
  </si>
  <si>
    <t>ANT-0296</t>
  </si>
  <si>
    <t>ANT-0800</t>
  </si>
  <si>
    <t>ANT-0580</t>
  </si>
  <si>
    <t>ANT-0761</t>
  </si>
  <si>
    <t>ANT-0508</t>
  </si>
  <si>
    <t>ANT-0524</t>
  </si>
  <si>
    <t>ANT-0587</t>
  </si>
  <si>
    <t>ANT-0275</t>
  </si>
  <si>
    <t>ANT-0794</t>
  </si>
  <si>
    <t>ANT-0557</t>
  </si>
  <si>
    <t>ANT-0376</t>
  </si>
  <si>
    <t>ANT-0843</t>
  </si>
  <si>
    <t>ANT-0560</t>
  </si>
  <si>
    <t>ANT-0224</t>
  </si>
  <si>
    <t>ANT-0105</t>
  </si>
  <si>
    <t>ANT-0754</t>
  </si>
  <si>
    <t>ANT-0305</t>
  </si>
  <si>
    <t>ANT-0034</t>
  </si>
  <si>
    <t>ANT-0090</t>
  </si>
  <si>
    <t>ANT-0450</t>
  </si>
  <si>
    <t>Logs_Reseau_Part_17.xlsx</t>
  </si>
  <si>
    <t>ANT-0964</t>
  </si>
  <si>
    <t>ANT-0868</t>
  </si>
  <si>
    <t>ANT-0675</t>
  </si>
  <si>
    <t>ANT-0309</t>
  </si>
  <si>
    <t>ANT-0211</t>
  </si>
  <si>
    <t>ANT-0622</t>
  </si>
  <si>
    <t>ANT-0522</t>
  </si>
  <si>
    <t>ANT-0402</t>
  </si>
  <si>
    <t>ANT-0803</t>
  </si>
  <si>
    <t>ANT-0920</t>
  </si>
  <si>
    <t>ANT-0978</t>
  </si>
  <si>
    <t>ANT-0507</t>
  </si>
  <si>
    <t>ANT-0396</t>
  </si>
  <si>
    <t>ANT-0609</t>
  </si>
  <si>
    <t>ANT-0073</t>
  </si>
  <si>
    <t>ANT-0911</t>
  </si>
  <si>
    <t>ANT-0370</t>
  </si>
  <si>
    <t>ANT-0397</t>
  </si>
  <si>
    <t>ANT-0882</t>
  </si>
  <si>
    <t>Logs_Reseau_Part_18.xlsx</t>
  </si>
  <si>
    <t>ANT-0244</t>
  </si>
  <si>
    <t>ANT-0504</t>
  </si>
  <si>
    <t>ANT-0985</t>
  </si>
  <si>
    <t>ANT-0062</t>
  </si>
  <si>
    <t>ANT-0146</t>
  </si>
  <si>
    <t>ANT-0045</t>
  </si>
  <si>
    <t>ANT-0944</t>
  </si>
  <si>
    <t>ANT-0866</t>
  </si>
  <si>
    <t>ANT-0533</t>
  </si>
  <si>
    <t>ANT-0423</t>
  </si>
  <si>
    <t>ANT-0718</t>
  </si>
  <si>
    <t>ANT-0918</t>
  </si>
  <si>
    <t>ANT-0382</t>
  </si>
  <si>
    <t>ANT-0470</t>
  </si>
  <si>
    <t>ANT-0998</t>
  </si>
  <si>
    <t>ANT-0087</t>
  </si>
  <si>
    <t>ANT-0595</t>
  </si>
  <si>
    <t>ANT-0098</t>
  </si>
  <si>
    <t>ANT-0137</t>
  </si>
  <si>
    <t>ANT-0840</t>
  </si>
  <si>
    <t>ANT-0404</t>
  </si>
  <si>
    <t>ANT-0582</t>
  </si>
  <si>
    <t>ANT-0064</t>
  </si>
  <si>
    <t>ANT-0679</t>
  </si>
  <si>
    <t>ANT-0243</t>
  </si>
  <si>
    <t>ANT-0268</t>
  </si>
  <si>
    <t>Logs_Reseau_Part_19.xlsx</t>
  </si>
  <si>
    <t>ANT-0326</t>
  </si>
  <si>
    <t>ANT-0756</t>
  </si>
  <si>
    <t>ANT-0368</t>
  </si>
  <si>
    <t>ANT-0606</t>
  </si>
  <si>
    <t>ANT-0029</t>
  </si>
  <si>
    <t>ANT-0721</t>
  </si>
  <si>
    <t>ANT-0361</t>
  </si>
  <si>
    <t>ANT-0577</t>
  </si>
  <si>
    <t>ANT-0972</t>
  </si>
  <si>
    <t>ANT-0857</t>
  </si>
  <si>
    <t>ANT-0830</t>
  </si>
  <si>
    <t>ANT-0903</t>
  </si>
  <si>
    <t>ANT-0505</t>
  </si>
  <si>
    <t>ANT-0039</t>
  </si>
  <si>
    <t>ANT-0058</t>
  </si>
  <si>
    <t>ANT-0617</t>
  </si>
  <si>
    <t>ANT-0225</t>
  </si>
  <si>
    <t>ANT-0021</t>
  </si>
  <si>
    <t>ANT-0490</t>
  </si>
  <si>
    <t>Logs_Reseau_Part_20.xlsx</t>
  </si>
  <si>
    <t>ANT-0276</t>
  </si>
  <si>
    <t>ANT-0155</t>
  </si>
  <si>
    <t>ANT-0771</t>
  </si>
  <si>
    <t>ANT-0684</t>
  </si>
  <si>
    <t>ANT-0685</t>
  </si>
  <si>
    <t>ANT-0828</t>
  </si>
  <si>
    <t>ANT-0555</t>
  </si>
  <si>
    <t>ANT-0233</t>
  </si>
  <si>
    <t>ANT-0063</t>
  </si>
  <si>
    <t>ANT-0536</t>
  </si>
  <si>
    <t>ANT-0704</t>
  </si>
  <si>
    <t>ANT-0888</t>
  </si>
  <si>
    <t>ANT-0959</t>
  </si>
  <si>
    <t>ANT-0307</t>
  </si>
  <si>
    <t>ANT-0405</t>
  </si>
  <si>
    <t>ANT-0925</t>
  </si>
  <si>
    <t>ANT-0875</t>
  </si>
  <si>
    <t>ANT-0732</t>
  </si>
  <si>
    <t>ANT-0923</t>
  </si>
  <si>
    <t>ANT-0820</t>
  </si>
  <si>
    <t>ANT-0586</t>
  </si>
  <si>
    <t>Logs_Reseau_Part_21.xlsx</t>
  </si>
  <si>
    <t>ANT-0639</t>
  </si>
  <si>
    <t>ANT-0599</t>
  </si>
  <si>
    <t>ANT-0008</t>
  </si>
  <si>
    <t>ANT-0864</t>
  </si>
  <si>
    <t>ANT-0860</t>
  </si>
  <si>
    <t>ANT-0384</t>
  </si>
  <si>
    <t>ANT-0663</t>
  </si>
  <si>
    <t>ANT-0290</t>
  </si>
  <si>
    <t>ANT-0066</t>
  </si>
  <si>
    <t>ANT-0345</t>
  </si>
  <si>
    <t>ANT-0672</t>
  </si>
  <si>
    <t>ANT-0154</t>
  </si>
  <si>
    <t>ANT-0922</t>
  </si>
  <si>
    <t>ANT-0825</t>
  </si>
  <si>
    <t>Logs_Reseau_Part_22.xlsx</t>
  </si>
  <si>
    <t>ANT-0050</t>
  </si>
  <si>
    <t>ANT-0427</t>
  </si>
  <si>
    <t>ANT-0390</t>
  </si>
  <si>
    <t>ANT-0127</t>
  </si>
  <si>
    <t>ANT-0561</t>
  </si>
  <si>
    <t>ANT-0486</t>
  </si>
  <si>
    <t>ANT-0712</t>
  </si>
  <si>
    <t>ANT-0703</t>
  </si>
  <si>
    <t>ANT-0431</t>
  </si>
  <si>
    <t>ANT-0678</t>
  </si>
  <si>
    <t>ANT-0104</t>
  </si>
  <si>
    <t>ANT-0277</t>
  </si>
  <si>
    <t>ANT-0621</t>
  </si>
  <si>
    <t>ANT-0108</t>
  </si>
  <si>
    <t>ANT-0121</t>
  </si>
  <si>
    <t>Logs_Reseau_Part_23.xlsx</t>
  </si>
  <si>
    <t>ANT-0019</t>
  </si>
  <si>
    <t>ANT-0571</t>
  </si>
  <si>
    <t>ANT-0846</t>
  </si>
  <si>
    <t>ANT-0094</t>
  </si>
  <si>
    <t>ANT-0619</t>
  </si>
  <si>
    <t>ANT-0987</t>
  </si>
  <si>
    <t>ANT-0634</t>
  </si>
  <si>
    <t>ANT-0312</t>
  </si>
  <si>
    <t>ANT-0912</t>
  </si>
  <si>
    <t>ANT-0521</t>
  </si>
  <si>
    <t>ANT-0576</t>
  </si>
  <si>
    <t>ANT-0212</t>
  </si>
  <si>
    <t>ANT-0671</t>
  </si>
  <si>
    <t>ANT-0468</t>
  </si>
  <si>
    <t>ANT-0974</t>
  </si>
  <si>
    <t>ANT-0350</t>
  </si>
  <si>
    <t>ANT-0466</t>
  </si>
  <si>
    <t>ANT-0340</t>
  </si>
  <si>
    <t>ANT-0574</t>
  </si>
  <si>
    <t>ANT-0615</t>
  </si>
  <si>
    <t>Logs_Reseau_Part_24.xlsx</t>
  </si>
  <si>
    <t>ANT-0753</t>
  </si>
  <si>
    <t>ANT-0123</t>
  </si>
  <si>
    <t>ANT-0387</t>
  </si>
  <si>
    <t>ANT-0042</t>
  </si>
  <si>
    <t>ANT-0439</t>
  </si>
  <si>
    <t>ANT-0165</t>
  </si>
  <si>
    <t>ANT-0262</t>
  </si>
  <si>
    <t>ANT-0478</t>
  </si>
  <si>
    <t>ANT-0158</t>
  </si>
  <si>
    <t>ANT-0951</t>
  </si>
  <si>
    <t>ANT-0331</t>
  </si>
  <si>
    <t>ANT-0793</t>
  </si>
  <si>
    <t>ANT-0809</t>
  </si>
  <si>
    <t>ANT-0367</t>
  </si>
  <si>
    <t>ANT-0075</t>
  </si>
  <si>
    <t>ANT-0725</t>
  </si>
  <si>
    <t>ANT-0539</t>
  </si>
  <si>
    <t>ANT-0226</t>
  </si>
  <si>
    <t>ANT-0980</t>
  </si>
  <si>
    <t>ANT-0189</t>
  </si>
  <si>
    <t>ANT-0070</t>
  </si>
  <si>
    <t>Logs_Reseau_Part_25.xlsx</t>
  </si>
  <si>
    <t>ANT-0186</t>
  </si>
  <si>
    <t>ANT-0873</t>
  </si>
  <si>
    <t>ANT-0101</t>
  </si>
  <si>
    <t>ANT-0203</t>
  </si>
  <si>
    <t>ANT-0744</t>
  </si>
  <si>
    <t>ANT-0499</t>
  </si>
  <si>
    <t>ANT-0975</t>
  </si>
  <si>
    <t>ANT-0366</t>
  </si>
  <si>
    <t>ANT-0132</t>
  </si>
  <si>
    <t>ANT-0241</t>
  </si>
  <si>
    <t>Date_Panne</t>
  </si>
  <si>
    <t>Colonne2</t>
  </si>
  <si>
    <t>ID_Antenne</t>
  </si>
  <si>
    <t>Province_RDC</t>
  </si>
  <si>
    <t>Latitude</t>
  </si>
  <si>
    <t>Longitude</t>
  </si>
  <si>
    <t>Technologie</t>
  </si>
  <si>
    <t>Equipementier</t>
  </si>
  <si>
    <t>Registre_Maintenance_Part_01.xlsx</t>
  </si>
  <si>
    <t>5G</t>
  </si>
  <si>
    <t>Ericsson</t>
  </si>
  <si>
    <t>ANT-0084</t>
  </si>
  <si>
    <t>4G</t>
  </si>
  <si>
    <t>Huawei</t>
  </si>
  <si>
    <t>3G</t>
  </si>
  <si>
    <t>ZTE</t>
  </si>
  <si>
    <t>ANT-0880</t>
  </si>
  <si>
    <t>ANT-0847</t>
  </si>
  <si>
    <t>ANT-0144</t>
  </si>
  <si>
    <t>ANT-0202</t>
  </si>
  <si>
    <t>ANT-0752</t>
  </si>
  <si>
    <t>Nokia</t>
  </si>
  <si>
    <t>ANT-0647</t>
  </si>
  <si>
    <t>ANT-0593</t>
  </si>
  <si>
    <t>ANT-0605</t>
  </si>
  <si>
    <t>ANT-0038</t>
  </si>
  <si>
    <t>ANT-0267</t>
  </si>
  <si>
    <t>ANT-0916</t>
  </si>
  <si>
    <t>ANT-0993</t>
  </si>
  <si>
    <t>ANT-0751</t>
  </si>
  <si>
    <t>Registre_Maintenance_Part_02.xlsx</t>
  </si>
  <si>
    <t>ANT-0138</t>
  </si>
  <si>
    <t>ANT-0476</t>
  </si>
  <si>
    <t>ANT-0629</t>
  </si>
  <si>
    <t>ANT-0170</t>
  </si>
  <si>
    <t>ANT-0776</t>
  </si>
  <si>
    <t>ANT-0676</t>
  </si>
  <si>
    <t>ANT-0150</t>
  </si>
  <si>
    <t>ANT-0780</t>
  </si>
  <si>
    <t>ANT-0500</t>
  </si>
  <si>
    <t>ANT-0065</t>
  </si>
  <si>
    <t>ANT-0048</t>
  </si>
  <si>
    <t>Registre_Maintenance_Part_03.xlsx</t>
  </si>
  <si>
    <t>ANT-0665</t>
  </si>
  <si>
    <t>ANT-0281</t>
  </si>
  <si>
    <t>ANT-0179</t>
  </si>
  <si>
    <t>ANT-0962</t>
  </si>
  <si>
    <t>ANT-0388</t>
  </si>
  <si>
    <t>ANT-0602</t>
  </si>
  <si>
    <t>ANT-0354</t>
  </si>
  <si>
    <t>ANT-0948</t>
  </si>
  <si>
    <t>ANT-0659</t>
  </si>
  <si>
    <t>ANT-0217</t>
  </si>
  <si>
    <t>ANT-0192</t>
  </si>
  <si>
    <t>Registre_Maintenance_Part_04.xlsx</t>
  </si>
  <si>
    <t>ANT-0939</t>
  </si>
  <si>
    <t>ANT-0425</t>
  </si>
  <si>
    <t>ANT-0491</t>
  </si>
  <si>
    <t>ANT-0216</t>
  </si>
  <si>
    <t>ANT-0525</t>
  </si>
  <si>
    <t>ANT-0151</t>
  </si>
  <si>
    <t>ANT-0171</t>
  </si>
  <si>
    <t>ANT-0265</t>
  </si>
  <si>
    <t>ANT-0876</t>
  </si>
  <si>
    <t>ANT-0291</t>
  </si>
  <si>
    <t>Registre_Maintenance_Part_05.xlsx</t>
  </si>
  <si>
    <t xml:space="preserve">ANT-0222 </t>
  </si>
  <si>
    <t>ANT-0460</t>
  </si>
  <si>
    <t>ANT-1000</t>
  </si>
  <si>
    <t>ANT-0483</t>
  </si>
  <si>
    <t>ANT-0175</t>
  </si>
  <si>
    <t>ANT-0616</t>
  </si>
  <si>
    <t>ANT-0956</t>
  </si>
  <si>
    <t>ANT-0172</t>
  </si>
  <si>
    <t>ANT-0742</t>
  </si>
  <si>
    <t>ANT-0351</t>
  </si>
  <si>
    <t>ANT-0832</t>
  </si>
  <si>
    <t>ANT-0395</t>
  </si>
  <si>
    <t>ANT-0112</t>
  </si>
  <si>
    <t>ANT-0017</t>
  </si>
  <si>
    <t>ANT-0208</t>
  </si>
  <si>
    <t>ANT-0182</t>
  </si>
  <si>
    <t>ANT-0796</t>
  </si>
  <si>
    <t>ANT-0789</t>
  </si>
  <si>
    <t>Registre_Maintenance_Part_06.xlsx</t>
  </si>
  <si>
    <t>ANT-0618</t>
  </si>
  <si>
    <t>ANT-0442</t>
  </si>
  <si>
    <t>ANT-0535</t>
  </si>
  <si>
    <t>ANT-0380</t>
  </si>
  <si>
    <t>ANT-0938</t>
  </si>
  <si>
    <t>ANT-0235</t>
  </si>
  <si>
    <t>ANT-0359</t>
  </si>
  <si>
    <t>ANT-0954</t>
  </si>
  <si>
    <t>ANT-0590</t>
  </si>
  <si>
    <t>ANT-0261</t>
  </si>
  <si>
    <t>ANT-0802</t>
  </si>
  <si>
    <t>ANT-0613</t>
  </si>
  <si>
    <t xml:space="preserve">ANT-0739 </t>
  </si>
  <si>
    <t>ANT-0385</t>
  </si>
  <si>
    <t>ANT-0849</t>
  </si>
  <si>
    <t>Registre_Maintenance_Part_07.xlsx</t>
  </si>
  <si>
    <t>ANT-0260</t>
  </si>
  <si>
    <t>ANT-0495</t>
  </si>
  <si>
    <t>ANT-0697</t>
  </si>
  <si>
    <t>ANT-0408</t>
  </si>
  <si>
    <t>ANT-0841</t>
  </si>
  <si>
    <t>ANT-0220</t>
  </si>
  <si>
    <t>ANT-0347</t>
  </si>
  <si>
    <t>ANT-0822</t>
  </si>
  <si>
    <t>ANT-0399</t>
  </si>
  <si>
    <t>ANT-0149</t>
  </si>
  <si>
    <t>ANT-0758</t>
  </si>
  <si>
    <t>Registre_Maintenance_Part_08.xlsx</t>
  </si>
  <si>
    <t>ANT-0889</t>
  </si>
  <si>
    <t>ANT-0228</t>
  </si>
  <si>
    <t>ANT-0682</t>
  </si>
  <si>
    <t>ANT-0082</t>
  </si>
  <si>
    <t>ANT-0895</t>
  </si>
  <si>
    <t>ANT-0907</t>
  </si>
  <si>
    <t>ANT-0947</t>
  </si>
  <si>
    <t>ANT-0915</t>
  </si>
  <si>
    <t>ANT-0369</t>
  </si>
  <si>
    <t>ANT-0940</t>
  </si>
  <si>
    <t>ANT-0893</t>
  </si>
  <si>
    <t xml:space="preserve">ANT-0089 </t>
  </si>
  <si>
    <t>ANT-0410</t>
  </si>
  <si>
    <t>ANT-0981</t>
  </si>
  <si>
    <t>ANT-0810</t>
  </si>
  <si>
    <t>ANT-0016</t>
  </si>
  <si>
    <t>ANT-0946</t>
  </si>
  <si>
    <t>Registre_Maintenance_Part_09.xlsx</t>
  </si>
  <si>
    <t>ANT-0356</t>
  </si>
  <si>
    <t>ANT-0589</t>
  </si>
  <si>
    <t>ANT-0005</t>
  </si>
  <si>
    <t>ANT-0636</t>
  </si>
  <si>
    <t>ANT-0519</t>
  </si>
  <si>
    <t>ANT-0603</t>
  </si>
  <si>
    <t>ANT-0755</t>
  </si>
  <si>
    <t>ANT-0349</t>
  </si>
  <si>
    <t>ANT-0120</t>
  </si>
  <si>
    <t>ANT-0827</t>
  </si>
  <si>
    <t>ANT-0409</t>
  </si>
  <si>
    <t>ANT-0917</t>
  </si>
  <si>
    <t>Registre_Maintenance_Part_10.xlsx</t>
  </si>
  <si>
    <t>ANT-0984</t>
  </si>
  <si>
    <t>ANT-0890</t>
  </si>
  <si>
    <t>ANT-0322</t>
  </si>
  <si>
    <t>ANT-0188</t>
  </si>
  <si>
    <t>ANT-0272</t>
  </si>
  <si>
    <t>ANT-0736</t>
  </si>
  <si>
    <t>ANT-0256</t>
  </si>
  <si>
    <t>ANT-0824</t>
  </si>
  <si>
    <t>ANT-0863</t>
  </si>
  <si>
    <t>ANT-0910</t>
  </si>
  <si>
    <t>ANT-0323</t>
  </si>
  <si>
    <t>ANT-0648</t>
  </si>
  <si>
    <t>ANT-0482</t>
  </si>
  <si>
    <t>ANT-0178</t>
  </si>
  <si>
    <t>ANT-0904</t>
  </si>
  <si>
    <t>Étiquettes de lignes</t>
  </si>
  <si>
    <t>Total général</t>
  </si>
  <si>
    <t>Nombre de Cell_ID</t>
  </si>
  <si>
    <t>Heure_Panne</t>
  </si>
  <si>
    <t>type_client</t>
  </si>
  <si>
    <t>moyenne</t>
  </si>
  <si>
    <t>Anciennete_annee</t>
  </si>
  <si>
    <t>Duree_cumule_heure</t>
  </si>
  <si>
    <t>Remise</t>
  </si>
  <si>
    <t>Montant_Remise</t>
  </si>
  <si>
    <t>duree_panne_heure</t>
  </si>
  <si>
    <t>Somme de duree_panne_heure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</si>
</sst>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274320</xdr:colOff>
      <xdr:row>1</xdr:row>
      <xdr:rowOff>76199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vince_RDC">
              <a:extLst>
                <a:ext uri="{FF2B5EF4-FFF2-40B4-BE49-F238E27FC236}">
                  <a16:creationId xmlns:a16="http://schemas.microsoft.com/office/drawing/2014/main" id="{05B35C1F-D0B6-A427-2FFC-BADBEF7146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vince_RDC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9867900" cy="10667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NGANDA" refreshedDate="46110.999619097223" backgroundQuery="1" createdVersion="8" refreshedVersion="8" minRefreshableVersion="3" recordCount="0" supportSubquery="1" supportAdvancedDrill="1" xr:uid="{98B21F45-9A7B-450A-AD9C-518AF167F97E}">
  <cacheSource type="external" connectionId="18"/>
  <cacheFields count="4">
    <cacheField name="[Logs_Reseau_Part56].[Statut_Resolution].[Statut_Resolution]" caption="Statut_Resolution" numFmtId="0" hierarchy="5" level="1">
      <sharedItems count="2">
        <s v="Non Résolu"/>
        <s v="Résolu"/>
      </sharedItems>
    </cacheField>
    <cacheField name="[Logs_Reseau_Part56].[Province_RDC].[Province_RDC]" caption="Province_RDC" numFmtId="0" hierarchy="6" level="1">
      <sharedItems count="26">
        <s v="Bas-Uele"/>
        <s v="Equateur"/>
        <s v="Haut-Katanga"/>
        <s v="Haut-Lomami"/>
        <s v="Haut-Uele"/>
        <s v="Ituri"/>
        <s v="Kasai"/>
        <s v="Kasai-Central"/>
        <s v="Kasai-Oriental"/>
        <s v="Kinshasa"/>
        <s v="Kongo-Central"/>
        <s v="Kwango"/>
        <s v="Kwilu"/>
        <s v="Lomami"/>
        <s v="Lualaba"/>
        <s v="Mai-Ndombe"/>
        <s v="Maniema"/>
        <s v="Mongala"/>
        <s v="Nord-Kivu"/>
        <s v="Nord-Ubangi"/>
        <s v="Sankuru"/>
        <s v="Sud-Kivu"/>
        <s v="Sud-Ubangi"/>
        <s v="Tanganyika"/>
        <s v="Tshopo"/>
        <s v="Tshuapa"/>
      </sharedItems>
    </cacheField>
    <cacheField name="[Measures].[Nombre de Cell_ID]" caption="Nombre de Cell_ID" numFmtId="0" hierarchy="11" level="32767"/>
    <cacheField name="[Measures].[moyenne]" caption="moyenne" numFmtId="0" hierarchy="12" level="32767"/>
  </cacheFields>
  <cacheHierarchies count="15">
    <cacheHierarchy uniqueName="[Logs_Reseau_Part56].[Source.Name]" caption="Source.Name" attribute="1" defaultMemberUniqueName="[Logs_Reseau_Part56].[Source.Name].[All]" allUniqueName="[Logs_Reseau_Part56].[Source.Name].[All]" dimensionUniqueName="[Logs_Reseau_Part56]" displayFolder="" count="0" memberValueDatatype="130" unbalanced="0"/>
    <cacheHierarchy uniqueName="[Logs_Reseau_Part56].[Date_Panne]" caption="Date_Panne" attribute="1" time="1" defaultMemberUniqueName="[Logs_Reseau_Part56].[Date_Panne].[All]" allUniqueName="[Logs_Reseau_Part56].[Date_Panne].[All]" dimensionUniqueName="[Logs_Reseau_Part56]" displayFolder="" count="0" memberValueDatatype="7" unbalanced="0"/>
    <cacheHierarchy uniqueName="[Logs_Reseau_Part56].[Heure_Panne]" caption="Heure_Panne" attribute="1" time="1" defaultMemberUniqueName="[Logs_Reseau_Part56].[Heure_Panne].[All]" allUniqueName="[Logs_Reseau_Part56].[Heure_Panne].[All]" dimensionUniqueName="[Logs_Reseau_Part56]" displayFolder="" count="0" memberValueDatatype="7" unbalanced="0"/>
    <cacheHierarchy uniqueName="[Logs_Reseau_Part56].[Cell_ID]" caption="Cell_ID" attribute="1" defaultMemberUniqueName="[Logs_Reseau_Part56].[Cell_ID].[All]" allUniqueName="[Logs_Reseau_Part56].[Cell_ID].[All]" dimensionUniqueName="[Logs_Reseau_Part56]" displayFolder="" count="0" memberValueDatatype="130" unbalanced="0"/>
    <cacheHierarchy uniqueName="[Logs_Reseau_Part56].[Duree_Panne_Min]" caption="Duree_Panne_Min" attribute="1" defaultMemberUniqueName="[Logs_Reseau_Part56].[Duree_Panne_Min].[All]" allUniqueName="[Logs_Reseau_Part56].[Duree_Panne_Min].[All]" dimensionUniqueName="[Logs_Reseau_Part56]" displayFolder="" count="0" memberValueDatatype="20" unbalanced="0"/>
    <cacheHierarchy uniqueName="[Logs_Reseau_Part56].[Statut_Resolution]" caption="Statut_Resolution" attribute="1" defaultMemberUniqueName="[Logs_Reseau_Part56].[Statut_Resolution].[All]" allUniqueName="[Logs_Reseau_Part56].[Statut_Resolution].[All]" dimensionUniqueName="[Logs_Reseau_Part56]" displayFolder="" count="2" memberValueDatatype="130" unbalanced="0">
      <fieldsUsage count="2">
        <fieldUsage x="-1"/>
        <fieldUsage x="0"/>
      </fieldsUsage>
    </cacheHierarchy>
    <cacheHierarchy uniqueName="[Logs_Reseau_Part56].[Province_RDC]" caption="Province_RDC" attribute="1" defaultMemberUniqueName="[Logs_Reseau_Part56].[Province_RDC].[All]" allUniqueName="[Logs_Reseau_Part56].[Province_RDC].[All]" dimensionUniqueName="[Logs_Reseau_Part56]" displayFolder="" count="2" memberValueDatatype="130" unbalanced="0">
      <fieldsUsage count="2">
        <fieldUsage x="-1"/>
        <fieldUsage x="1"/>
      </fieldsUsage>
    </cacheHierarchy>
    <cacheHierarchy uniqueName="[Logs_Reseau_Part56].[Latitude]" caption="Latitude" attribute="1" defaultMemberUniqueName="[Logs_Reseau_Part56].[Latitude].[All]" allUniqueName="[Logs_Reseau_Part56].[Latitude].[All]" dimensionUniqueName="[Logs_Reseau_Part56]" displayFolder="" count="0" memberValueDatatype="5" unbalanced="0"/>
    <cacheHierarchy uniqueName="[Logs_Reseau_Part56].[Longitude]" caption="Longitude" attribute="1" defaultMemberUniqueName="[Logs_Reseau_Part56].[Longitude].[All]" allUniqueName="[Logs_Reseau_Part56].[Longitude].[All]" dimensionUniqueName="[Logs_Reseau_Part56]" displayFolder="" count="0" memberValueDatatype="5" unbalanced="0"/>
    <cacheHierarchy uniqueName="[Logs_Reseau_Part56].[Technologie]" caption="Technologie" attribute="1" defaultMemberUniqueName="[Logs_Reseau_Part56].[Technologie].[All]" allUniqueName="[Logs_Reseau_Part56].[Technologie].[All]" dimensionUniqueName="[Logs_Reseau_Part56]" displayFolder="" count="0" memberValueDatatype="130" unbalanced="0"/>
    <cacheHierarchy uniqueName="[Logs_Reseau_Part56].[Equipementier]" caption="Equipementier" attribute="1" defaultMemberUniqueName="[Logs_Reseau_Part56].[Equipementier].[All]" allUniqueName="[Logs_Reseau_Part56].[Equipementier].[All]" dimensionUniqueName="[Logs_Reseau_Part56]" displayFolder="" count="0" memberValueDatatype="130" unbalanced="0"/>
    <cacheHierarchy uniqueName="[Measures].[Nombre de Cell_ID]" caption="Nombre de Cell_ID" measure="1" displayFolder="" measureGroup="Logs_Reseau_Part56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oyenne]" caption="moyenne" measure="1" displayFolder="" measureGroup="Logs_Reseau_Part56" count="0" oneField="1">
      <fieldsUsage count="1">
        <fieldUsage x="3"/>
      </fieldsUsage>
    </cacheHierarchy>
    <cacheHierarchy uniqueName="[Measures].[__XL_Count Logs_Reseau_Part56]" caption="__XL_Count Logs_Reseau_Part56" measure="1" displayFolder="" measureGroup="Logs_Reseau_Part56" count="0" hidden="1"/>
    <cacheHierarchy uniqueName="[Measures].[__No measures defined]" caption="__No measures defined" measure="1" displayFolder="" count="0" hidden="1"/>
  </cacheHierarchies>
  <kpis count="0"/>
  <dimensions count="2">
    <dimension name="Logs_Reseau_Part56" uniqueName="[Logs_Reseau_Part56]" caption="Logs_Reseau_Part56"/>
    <dimension measure="1" name="Measures" uniqueName="[Measures]" caption="Measures"/>
  </dimensions>
  <measureGroups count="1">
    <measureGroup name="Logs_Reseau_Part56" caption="Logs_Reseau_Part56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GANDA" refreshedDate="46112.82521909722" createdVersion="8" refreshedVersion="8" minRefreshableVersion="3" recordCount="478" xr:uid="{81D5E91F-8642-4CF7-91DC-A3E96BE6855B}">
  <cacheSource type="worksheet">
    <worksheetSource name="Logs_Reseau_Part56"/>
  </cacheSource>
  <cacheFields count="12">
    <cacheField name="Date_Panne" numFmtId="14">
      <sharedItems containsSemiMixedTypes="0" containsNonDate="0" containsDate="1" containsString="0" minDate="2023-10-01T01:53:00" maxDate="2023-10-31T23:57:00"/>
    </cacheField>
    <cacheField name="Heure_Panne" numFmtId="164">
      <sharedItems containsSemiMixedTypes="0" containsNonDate="0" containsDate="1" containsString="0" minDate="2023-10-01T01:53:00" maxDate="2023-10-31T23:57:00"/>
    </cacheField>
    <cacheField name="Cell_ID" numFmtId="0">
      <sharedItems/>
    </cacheField>
    <cacheField name="Duree_Panne_Min" numFmtId="0">
      <sharedItems containsSemiMixedTypes="0" containsString="0" containsNumber="1" containsInteger="1" minValue="5" maxValue="120"/>
    </cacheField>
    <cacheField name="duree_panne_heure" numFmtId="0">
      <sharedItems containsSemiMixedTypes="0" containsString="0" containsNumber="1" minValue="8.3333333333333329E-2" maxValue="2"/>
    </cacheField>
    <cacheField name="Statut_Resolution" numFmtId="0">
      <sharedItems/>
    </cacheField>
    <cacheField name="Province_RDC" numFmtId="0">
      <sharedItems count="26">
        <s v="Bas-Uele"/>
        <s v="Equateur"/>
        <s v="Haut-Katanga"/>
        <s v="Haut-Lomami"/>
        <s v="Haut-Uele"/>
        <s v="Ituri"/>
        <s v="Kasai"/>
        <s v="Kasai-Central"/>
        <s v="Kasai-Oriental"/>
        <s v="Kinshasa"/>
        <s v="Kongo-Central"/>
        <s v="Kwango"/>
        <s v="Kwilu"/>
        <s v="Lomami"/>
        <s v="Lualaba"/>
        <s v="Mai-Ndombe"/>
        <s v="Maniema"/>
        <s v="Mongala"/>
        <s v="Nord-Kivu"/>
        <s v="Nord-Ubangi"/>
        <s v="Sankuru"/>
        <s v="Sud-Kivu"/>
        <s v="Sud-Ubangi"/>
        <s v="Tanganyika"/>
        <s v="Tshopo"/>
        <s v="Tshuapa"/>
      </sharedItems>
    </cacheField>
    <cacheField name="Latitude" numFmtId="0">
      <sharedItems containsSemiMixedTypes="0" containsString="0" containsNumber="1" minValue="-12.839263000000001" maxValue="4.9455159999999996"/>
    </cacheField>
    <cacheField name="Longitude" numFmtId="0">
      <sharedItems containsSemiMixedTypes="0" containsString="0" containsNumber="1" minValue="12.013676999999999" maxValue="30.661662"/>
    </cacheField>
    <cacheField name="Technologie" numFmtId="0">
      <sharedItems count="3">
        <s v="3G"/>
        <s v="4G"/>
        <s v="5G"/>
      </sharedItems>
    </cacheField>
    <cacheField name="Equipementier" numFmtId="0">
      <sharedItems/>
    </cacheField>
    <cacheField name="Colonne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3929266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8">
  <r>
    <d v="2023-10-01T23:39:00"/>
    <d v="2023-10-01T23:39:00"/>
    <s v="ANT-0775"/>
    <n v="29"/>
    <n v="0.48333333333333334"/>
    <s v="En Cours"/>
    <x v="0"/>
    <n v="1.5278670000000001"/>
    <n v="13.899388999999999"/>
    <x v="0"/>
    <s v="Huawei"/>
    <m/>
  </r>
  <r>
    <d v="2023-10-02T12:40:00"/>
    <d v="2023-10-02T12:40:00"/>
    <s v="ANT-0507"/>
    <n v="20"/>
    <n v="0.33333333333333331"/>
    <s v="Non Résolu"/>
    <x v="0"/>
    <n v="0.45116099999999998"/>
    <n v="17.265761000000001"/>
    <x v="1"/>
    <s v="Huawei"/>
    <m/>
  </r>
  <r>
    <d v="2023-10-02T22:08:00"/>
    <d v="2023-10-02T22:08:00"/>
    <s v="ANT-0775"/>
    <n v="32"/>
    <n v="0.53333333333333333"/>
    <s v="Résolu"/>
    <x v="0"/>
    <n v="1.5278670000000001"/>
    <n v="13.899388999999999"/>
    <x v="0"/>
    <s v="Huawei"/>
    <m/>
  </r>
  <r>
    <d v="2023-10-03T09:54:00"/>
    <d v="2023-10-03T09:54:00"/>
    <s v="ANT-0292"/>
    <n v="35"/>
    <n v="0.58333333333333337"/>
    <s v="Résolu"/>
    <x v="0"/>
    <n v="-6.4197189999999997"/>
    <n v="22.287264"/>
    <x v="0"/>
    <s v="Ericsson"/>
    <m/>
  </r>
  <r>
    <d v="2023-10-04T01:00:00"/>
    <d v="2023-10-04T01:00:00"/>
    <s v="ANT-0106"/>
    <n v="69"/>
    <n v="1.1499999999999999"/>
    <s v="En Cours"/>
    <x v="0"/>
    <n v="-2.2876210000000001"/>
    <n v="27.582545"/>
    <x v="1"/>
    <s v="Huawei"/>
    <m/>
  </r>
  <r>
    <d v="2023-10-05T15:00:00"/>
    <d v="2023-10-05T15:00:00"/>
    <s v="ANT-0123"/>
    <n v="94"/>
    <n v="1.5666666666666667"/>
    <s v="En Cours"/>
    <x v="0"/>
    <n v="-1.6893210000000001"/>
    <n v="30.446543999999999"/>
    <x v="1"/>
    <s v="Huawei"/>
    <m/>
  </r>
  <r>
    <d v="2023-10-05T21:44:00"/>
    <d v="2023-10-05T21:44:00"/>
    <s v="ANT-0381"/>
    <n v="61"/>
    <n v="1.0166666666666666"/>
    <s v="Résolu"/>
    <x v="0"/>
    <n v="4.497306"/>
    <n v="12.857251"/>
    <x v="2"/>
    <s v="Ericsson"/>
    <m/>
  </r>
  <r>
    <d v="2023-10-06T00:26:00"/>
    <d v="2023-10-06T00:26:00"/>
    <s v="ANT-0775"/>
    <n v="67"/>
    <n v="1.1166666666666667"/>
    <s v="En Cours"/>
    <x v="0"/>
    <n v="1.5278670000000001"/>
    <n v="13.899388999999999"/>
    <x v="0"/>
    <s v="Huawei"/>
    <m/>
  </r>
  <r>
    <d v="2023-10-08T08:13:00"/>
    <d v="2023-10-08T08:13:00"/>
    <s v="ANT-0833"/>
    <n v="28"/>
    <n v="0.46666666666666667"/>
    <s v="Résolu"/>
    <x v="0"/>
    <n v="0.40267799999999998"/>
    <n v="16.000858000000001"/>
    <x v="0"/>
    <s v="Nokia"/>
    <m/>
  </r>
  <r>
    <d v="2023-10-09T23:05:00"/>
    <d v="2023-10-09T23:05:00"/>
    <s v="ANT-0571"/>
    <n v="68"/>
    <n v="1.1333333333333333"/>
    <s v="Résolu"/>
    <x v="0"/>
    <n v="-2.3269820000000001"/>
    <n v="14.609259"/>
    <x v="0"/>
    <s v="Nokia"/>
    <m/>
  </r>
  <r>
    <d v="2023-10-10T21:56:00"/>
    <d v="2023-10-10T21:56:00"/>
    <s v="ANT-0292"/>
    <n v="111"/>
    <n v="1.85"/>
    <s v="En Cours"/>
    <x v="0"/>
    <n v="-6.4197189999999997"/>
    <n v="22.287264"/>
    <x v="0"/>
    <s v="Ericsson"/>
    <m/>
  </r>
  <r>
    <d v="2023-10-10T22:07:00"/>
    <d v="2023-10-10T22:07:00"/>
    <s v="ANT-0775"/>
    <n v="119"/>
    <n v="1.9833333333333334"/>
    <s v="Résolu"/>
    <x v="0"/>
    <n v="1.5278670000000001"/>
    <n v="13.899388999999999"/>
    <x v="0"/>
    <s v="Huawei"/>
    <m/>
  </r>
  <r>
    <d v="2023-10-15T04:08:00"/>
    <d v="2023-10-15T04:08:00"/>
    <s v="ANT-0339"/>
    <n v="6"/>
    <n v="0.1"/>
    <s v="Résolu"/>
    <x v="0"/>
    <n v="-3.6945459999999999"/>
    <n v="16.809108999999999"/>
    <x v="2"/>
    <s v="ZTE"/>
    <m/>
  </r>
  <r>
    <d v="2023-10-17T23:17:00"/>
    <d v="2023-10-17T23:17:00"/>
    <s v="ANT-0292"/>
    <n v="13"/>
    <n v="0.21666666666666667"/>
    <s v="En Cours"/>
    <x v="0"/>
    <n v="-6.4197189999999997"/>
    <n v="22.287264"/>
    <x v="0"/>
    <s v="Ericsson"/>
    <m/>
  </r>
  <r>
    <d v="2023-10-20T02:18:00"/>
    <d v="2023-10-20T02:18:00"/>
    <s v="ANT-0339"/>
    <n v="113"/>
    <n v="1.8833333333333333"/>
    <s v="En Cours"/>
    <x v="0"/>
    <n v="-3.6945459999999999"/>
    <n v="16.809108999999999"/>
    <x v="2"/>
    <s v="ZTE"/>
    <m/>
  </r>
  <r>
    <d v="2023-10-21T21:27:00"/>
    <d v="2023-10-21T21:27:00"/>
    <s v="ANT-0106"/>
    <n v="101"/>
    <n v="1.6833333333333333"/>
    <s v="En Cours"/>
    <x v="0"/>
    <n v="-2.2876210000000001"/>
    <n v="27.582545"/>
    <x v="1"/>
    <s v="Huawei"/>
    <m/>
  </r>
  <r>
    <d v="2023-10-23T10:15:00"/>
    <d v="2023-10-23T10:15:00"/>
    <s v="ANT-0566"/>
    <n v="82"/>
    <n v="1.3666666666666667"/>
    <s v="Résolu"/>
    <x v="0"/>
    <n v="-4.4697000000000001E-2"/>
    <n v="22.943373000000001"/>
    <x v="0"/>
    <s v="Huawei"/>
    <m/>
  </r>
  <r>
    <d v="2023-10-23T18:19:00"/>
    <d v="2023-10-23T18:19:00"/>
    <s v="ANT-0339"/>
    <n v="91"/>
    <n v="1.5166666666666666"/>
    <s v="En Cours"/>
    <x v="0"/>
    <n v="-3.6945459999999999"/>
    <n v="16.809108999999999"/>
    <x v="2"/>
    <s v="ZTE"/>
    <m/>
  </r>
  <r>
    <d v="2023-10-24T10:28:00"/>
    <d v="2023-10-24T10:28:00"/>
    <s v="ANT-0775"/>
    <n v="26"/>
    <n v="0.43333333333333335"/>
    <s v="Résolu"/>
    <x v="0"/>
    <n v="1.5278670000000001"/>
    <n v="13.899388999999999"/>
    <x v="0"/>
    <s v="Huawei"/>
    <m/>
  </r>
  <r>
    <d v="2023-10-25T04:41:00"/>
    <d v="2023-10-25T04:41:00"/>
    <s v="ANT-0882"/>
    <n v="81"/>
    <n v="1.35"/>
    <s v="Non Résolu"/>
    <x v="0"/>
    <n v="-1.500685"/>
    <n v="26.563376000000002"/>
    <x v="2"/>
    <s v="Nokia"/>
    <m/>
  </r>
  <r>
    <d v="2023-10-29T14:45:00"/>
    <d v="2023-10-29T14:45:00"/>
    <s v="ANT-0339"/>
    <n v="48"/>
    <n v="0.8"/>
    <s v="Non Résolu"/>
    <x v="0"/>
    <n v="-3.6945459999999999"/>
    <n v="16.809108999999999"/>
    <x v="2"/>
    <s v="ZTE"/>
    <m/>
  </r>
  <r>
    <d v="2023-10-31T09:29:00"/>
    <d v="2023-10-31T09:29:00"/>
    <s v="ANT-0121"/>
    <n v="89"/>
    <n v="1.4833333333333334"/>
    <s v="En Cours"/>
    <x v="0"/>
    <n v="-7.3952039999999997"/>
    <n v="21.651043999999999"/>
    <x v="1"/>
    <s v="Huawei"/>
    <m/>
  </r>
  <r>
    <d v="2023-10-31T10:18:00"/>
    <d v="2023-10-31T10:18:00"/>
    <s v="ANT-0006"/>
    <n v="11"/>
    <n v="0.18333333333333332"/>
    <s v="En Cours"/>
    <x v="0"/>
    <n v="-2.8532869999999999"/>
    <n v="22.117896000000002"/>
    <x v="2"/>
    <s v="Huawei"/>
    <m/>
  </r>
  <r>
    <d v="2023-10-31T20:50:00"/>
    <d v="2023-10-31T20:50:00"/>
    <s v="ANT-0006"/>
    <n v="103"/>
    <n v="1.7166666666666666"/>
    <s v="En Cours"/>
    <x v="0"/>
    <n v="-2.8532869999999999"/>
    <n v="22.117896000000002"/>
    <x v="2"/>
    <s v="Huawei"/>
    <m/>
  </r>
  <r>
    <d v="2023-10-03T06:58:00"/>
    <d v="2023-10-03T06:58:00"/>
    <s v="ANT-0315"/>
    <n v="103"/>
    <n v="1.7166666666666666"/>
    <s v="Non Résolu"/>
    <x v="1"/>
    <n v="4.9250049999999996"/>
    <n v="19.887931999999999"/>
    <x v="1"/>
    <s v="Huawei"/>
    <m/>
  </r>
  <r>
    <d v="2023-10-05T02:57:00"/>
    <d v="2023-10-05T02:57:00"/>
    <s v="ANT-0578"/>
    <n v="34"/>
    <n v="0.56666666666666665"/>
    <s v="Résolu"/>
    <x v="1"/>
    <n v="-6.1490739999999997"/>
    <n v="23.304411000000002"/>
    <x v="2"/>
    <s v="ZTE"/>
    <m/>
  </r>
  <r>
    <d v="2023-10-10T07:51:00"/>
    <d v="2023-10-10T07:51:00"/>
    <s v="ANT-0451"/>
    <n v="107"/>
    <n v="1.7833333333333334"/>
    <s v="Non Résolu"/>
    <x v="1"/>
    <n v="-5.0402180000000003"/>
    <n v="13.892471"/>
    <x v="0"/>
    <s v="ZTE"/>
    <m/>
  </r>
  <r>
    <d v="2023-10-10T23:44:00"/>
    <d v="2023-10-10T23:44:00"/>
    <s v="ANT-0578"/>
    <n v="51"/>
    <n v="0.85"/>
    <s v="Non Résolu"/>
    <x v="1"/>
    <n v="-6.1490739999999997"/>
    <n v="23.304411000000002"/>
    <x v="2"/>
    <s v="ZTE"/>
    <m/>
  </r>
  <r>
    <d v="2023-10-11T16:53:00"/>
    <d v="2023-10-11T16:53:00"/>
    <s v="ANT-0103"/>
    <n v="20"/>
    <n v="0.33333333333333331"/>
    <s v="Résolu"/>
    <x v="1"/>
    <n v="-0.79459900000000006"/>
    <n v="26.775570999999999"/>
    <x v="2"/>
    <s v="Huawei"/>
    <m/>
  </r>
  <r>
    <d v="2023-10-12T14:06:00"/>
    <d v="2023-10-12T14:06:00"/>
    <s v="ANT-0226"/>
    <n v="27"/>
    <n v="0.45"/>
    <s v="En Cours"/>
    <x v="1"/>
    <n v="-7.8215969999999997"/>
    <n v="26.797349000000001"/>
    <x v="0"/>
    <s v="Ericsson"/>
    <m/>
  </r>
  <r>
    <d v="2023-10-14T18:19:00"/>
    <d v="2023-10-14T18:19:00"/>
    <s v="ANT-0103"/>
    <n v="119"/>
    <n v="1.9833333333333334"/>
    <s v="En Cours"/>
    <x v="1"/>
    <n v="-0.79459900000000006"/>
    <n v="26.775570999999999"/>
    <x v="2"/>
    <s v="Huawei"/>
    <m/>
  </r>
  <r>
    <d v="2023-10-15T06:58:00"/>
    <d v="2023-10-15T06:58:00"/>
    <s v="ANT-0701"/>
    <n v="27"/>
    <n v="0.45"/>
    <s v="Non Résolu"/>
    <x v="1"/>
    <n v="-12.839263000000001"/>
    <n v="12.355677"/>
    <x v="0"/>
    <s v="Huawei"/>
    <m/>
  </r>
  <r>
    <d v="2023-10-15T15:14:00"/>
    <d v="2023-10-15T15:14:00"/>
    <s v="ANT-0578"/>
    <n v="112"/>
    <n v="1.8666666666666667"/>
    <s v="Non Résolu"/>
    <x v="1"/>
    <n v="-6.1490739999999997"/>
    <n v="23.304411000000002"/>
    <x v="2"/>
    <s v="ZTE"/>
    <m/>
  </r>
  <r>
    <d v="2023-10-17T06:35:00"/>
    <d v="2023-10-17T06:35:00"/>
    <s v="ANT-0988"/>
    <n v="30"/>
    <n v="0.5"/>
    <s v="Non Résolu"/>
    <x v="1"/>
    <n v="-5.7200150000000001"/>
    <n v="25.022109"/>
    <x v="2"/>
    <s v="ZTE"/>
    <m/>
  </r>
  <r>
    <d v="2023-10-21T04:58:00"/>
    <d v="2023-10-21T04:58:00"/>
    <s v="ANT-0950"/>
    <n v="25"/>
    <n v="0.41666666666666669"/>
    <s v="Résolu"/>
    <x v="1"/>
    <n v="3.3289240000000002"/>
    <n v="24.412261000000001"/>
    <x v="2"/>
    <s v="Nokia"/>
    <m/>
  </r>
  <r>
    <d v="2023-10-23T14:02:00"/>
    <d v="2023-10-23T14:02:00"/>
    <s v="ANT-0870"/>
    <n v="15"/>
    <n v="0.25"/>
    <s v="En Cours"/>
    <x v="1"/>
    <n v="-9.1215879999999991"/>
    <n v="16.457916999999998"/>
    <x v="1"/>
    <s v="Nokia"/>
    <m/>
  </r>
  <r>
    <d v="2023-10-25T18:36:00"/>
    <d v="2023-10-25T18:36:00"/>
    <s v="ANT-0988"/>
    <n v="107"/>
    <n v="1.7833333333333334"/>
    <s v="En Cours"/>
    <x v="1"/>
    <n v="-5.7200150000000001"/>
    <n v="25.022109"/>
    <x v="2"/>
    <s v="ZTE"/>
    <m/>
  </r>
  <r>
    <d v="2023-10-27T07:31:00"/>
    <d v="2023-10-27T07:31:00"/>
    <s v="ANT-0701"/>
    <n v="66"/>
    <n v="1.1000000000000001"/>
    <s v="En Cours"/>
    <x v="1"/>
    <n v="-12.839263000000001"/>
    <n v="12.355677"/>
    <x v="0"/>
    <s v="Huawei"/>
    <m/>
  </r>
  <r>
    <d v="2023-10-27T18:58:00"/>
    <d v="2023-10-27T18:58:00"/>
    <s v="ANT-0716"/>
    <n v="68"/>
    <n v="1.1333333333333333"/>
    <s v="En Cours"/>
    <x v="1"/>
    <n v="-0.37665700000000002"/>
    <n v="25.154807999999999"/>
    <x v="0"/>
    <s v="Nokia"/>
    <m/>
  </r>
  <r>
    <d v="2023-10-31T12:04:00"/>
    <d v="2023-10-31T12:04:00"/>
    <s v="ANT-0988"/>
    <n v="99"/>
    <n v="1.65"/>
    <s v="Résolu"/>
    <x v="1"/>
    <n v="-5.7200150000000001"/>
    <n v="25.022109"/>
    <x v="2"/>
    <s v="ZTE"/>
    <m/>
  </r>
  <r>
    <d v="2023-10-31T20:09:00"/>
    <d v="2023-10-31T20:09:00"/>
    <s v="ANT-0103"/>
    <n v="83"/>
    <n v="1.3833333333333333"/>
    <s v="En Cours"/>
    <x v="1"/>
    <n v="-0.79459900000000006"/>
    <n v="26.775570999999999"/>
    <x v="2"/>
    <s v="Huawei"/>
    <m/>
  </r>
  <r>
    <d v="2023-10-01T10:41:00"/>
    <d v="2023-10-01T10:41:00"/>
    <s v="ANT-0587"/>
    <n v="112"/>
    <n v="1.8666666666666667"/>
    <s v="Résolu"/>
    <x v="2"/>
    <n v="-10.945031"/>
    <n v="27.922274000000002"/>
    <x v="1"/>
    <s v="Ericsson"/>
    <m/>
  </r>
  <r>
    <d v="2023-10-01T12:09:00"/>
    <d v="2023-10-01T12:09:00"/>
    <s v="ANT-0587"/>
    <n v="99"/>
    <n v="1.65"/>
    <s v="Résolu"/>
    <x v="2"/>
    <n v="-10.945031"/>
    <n v="27.922274000000002"/>
    <x v="1"/>
    <s v="Ericsson"/>
    <m/>
  </r>
  <r>
    <d v="2023-10-02T01:23:00"/>
    <d v="2023-10-02T01:23:00"/>
    <s v="ANT-0989"/>
    <n v="103"/>
    <n v="1.7166666666666666"/>
    <s v="Résolu"/>
    <x v="2"/>
    <n v="-11.594525000000001"/>
    <n v="29.744895"/>
    <x v="0"/>
    <s v="ZTE"/>
    <m/>
  </r>
  <r>
    <d v="2023-10-02T11:14:00"/>
    <d v="2023-10-02T11:14:00"/>
    <s v="ANT-0569"/>
    <n v="80"/>
    <n v="1.3333333333333333"/>
    <s v="Résolu"/>
    <x v="2"/>
    <n v="-3.3890790000000002"/>
    <n v="18.374571"/>
    <x v="2"/>
    <s v="ZTE"/>
    <m/>
  </r>
  <r>
    <d v="2023-10-02T13:47:00"/>
    <d v="2023-10-02T13:47:00"/>
    <s v="ANT-0624"/>
    <n v="75"/>
    <n v="1.25"/>
    <s v="En Cours"/>
    <x v="2"/>
    <n v="0.172153"/>
    <n v="21.091376"/>
    <x v="0"/>
    <s v="Ericsson"/>
    <m/>
  </r>
  <r>
    <d v="2023-10-04T14:29:00"/>
    <d v="2023-10-04T14:29:00"/>
    <s v="ANT-0753"/>
    <n v="106"/>
    <n v="1.7666666666666666"/>
    <s v="Non Résolu"/>
    <x v="2"/>
    <n v="-5.1507670000000001"/>
    <n v="28.075324999999999"/>
    <x v="2"/>
    <s v="Huawei"/>
    <m/>
  </r>
  <r>
    <d v="2023-10-04T15:39:00"/>
    <d v="2023-10-04T15:39:00"/>
    <s v="ANT-0921"/>
    <n v="65"/>
    <n v="1.0833333333333333"/>
    <s v="En Cours"/>
    <x v="2"/>
    <n v="2.016505"/>
    <n v="14.294164"/>
    <x v="2"/>
    <s v="Huawei"/>
    <m/>
  </r>
  <r>
    <d v="2023-10-06T17:30:00"/>
    <d v="2023-10-06T17:30:00"/>
    <s v="ANT-0543"/>
    <n v="106"/>
    <n v="1.7666666666666666"/>
    <s v="En Cours"/>
    <x v="2"/>
    <n v="-4.4958720000000003"/>
    <n v="18.514112000000001"/>
    <x v="1"/>
    <s v="Nokia"/>
    <m/>
  </r>
  <r>
    <d v="2023-10-07T06:53:00"/>
    <d v="2023-10-07T06:53:00"/>
    <s v="ANT-0284"/>
    <n v="96"/>
    <n v="1.6"/>
    <s v="Non Résolu"/>
    <x v="2"/>
    <n v="-5.5445120000000001"/>
    <n v="27.547335"/>
    <x v="1"/>
    <s v="Ericsson"/>
    <m/>
  </r>
  <r>
    <d v="2023-10-07T23:23:00"/>
    <d v="2023-10-07T23:23:00"/>
    <s v="ANT-0621"/>
    <n v="53"/>
    <n v="0.8833333333333333"/>
    <s v="Non Résolu"/>
    <x v="2"/>
    <n v="-2.926736"/>
    <n v="18.170461"/>
    <x v="2"/>
    <s v="Ericsson"/>
    <m/>
  </r>
  <r>
    <d v="2023-10-08T12:38:00"/>
    <d v="2023-10-08T12:38:00"/>
    <s v="ANT-0523"/>
    <n v="78"/>
    <n v="1.3"/>
    <s v="En Cours"/>
    <x v="2"/>
    <n v="-9.4229749999999992"/>
    <n v="29.375005999999999"/>
    <x v="0"/>
    <s v="Ericsson"/>
    <m/>
  </r>
  <r>
    <d v="2023-10-08T22:56:00"/>
    <d v="2023-10-08T22:56:00"/>
    <s v="ANT-0921"/>
    <n v="73"/>
    <n v="1.2166666666666666"/>
    <s v="Non Résolu"/>
    <x v="2"/>
    <n v="2.016505"/>
    <n v="14.294164"/>
    <x v="2"/>
    <s v="Huawei"/>
    <m/>
  </r>
  <r>
    <d v="2023-10-10T22:32:00"/>
    <d v="2023-10-10T22:32:00"/>
    <s v="ANT-0284"/>
    <n v="37"/>
    <n v="0.6166666666666667"/>
    <s v="Non Résolu"/>
    <x v="2"/>
    <n v="-5.5445120000000001"/>
    <n v="27.547335"/>
    <x v="1"/>
    <s v="Ericsson"/>
    <m/>
  </r>
  <r>
    <d v="2023-10-11T20:03:00"/>
    <d v="2023-10-11T20:03:00"/>
    <s v="ANT-0010"/>
    <n v="80"/>
    <n v="1.3333333333333333"/>
    <s v="Non Résolu"/>
    <x v="2"/>
    <n v="4.4712560000000003"/>
    <n v="27.107028"/>
    <x v="0"/>
    <s v="Ericsson"/>
    <m/>
  </r>
  <r>
    <d v="2023-10-14T15:30:00"/>
    <d v="2023-10-14T15:30:00"/>
    <s v="ANT-0790"/>
    <n v="95"/>
    <n v="1.5833333333333333"/>
    <s v="Résolu"/>
    <x v="2"/>
    <n v="-2.9417719999999998"/>
    <n v="18.587305000000001"/>
    <x v="2"/>
    <s v="Ericsson"/>
    <m/>
  </r>
  <r>
    <d v="2023-10-15T17:07:00"/>
    <d v="2023-10-15T17:07:00"/>
    <s v="ANT-0624"/>
    <n v="25"/>
    <n v="0.41666666666666669"/>
    <s v="Résolu"/>
    <x v="2"/>
    <n v="0.172153"/>
    <n v="21.091376"/>
    <x v="0"/>
    <s v="Ericsson"/>
    <m/>
  </r>
  <r>
    <d v="2023-10-17T14:00:00"/>
    <d v="2023-10-17T14:00:00"/>
    <s v="ANT-0041"/>
    <n v="78"/>
    <n v="1.3"/>
    <s v="En Cours"/>
    <x v="2"/>
    <n v="0.16841400000000001"/>
    <n v="30.029876999999999"/>
    <x v="2"/>
    <s v="Huawei"/>
    <m/>
  </r>
  <r>
    <d v="2023-10-21T10:29:00"/>
    <d v="2023-10-21T10:29:00"/>
    <s v="ANT-0284"/>
    <n v="64"/>
    <n v="1.0666666666666667"/>
    <s v="Non Résolu"/>
    <x v="2"/>
    <n v="-5.5445120000000001"/>
    <n v="27.547335"/>
    <x v="1"/>
    <s v="Ericsson"/>
    <m/>
  </r>
  <r>
    <d v="2023-10-23T17:58:00"/>
    <d v="2023-10-23T17:58:00"/>
    <s v="ANT-0558"/>
    <n v="28"/>
    <n v="0.46666666666666667"/>
    <s v="Non Résolu"/>
    <x v="2"/>
    <n v="-11.468578000000001"/>
    <n v="16.914501999999999"/>
    <x v="1"/>
    <s v="Ericsson"/>
    <m/>
  </r>
  <r>
    <d v="2023-10-23T20:01:00"/>
    <d v="2023-10-23T20:01:00"/>
    <s v="ANT-0790"/>
    <n v="109"/>
    <n v="1.8166666666666667"/>
    <s v="Non Résolu"/>
    <x v="2"/>
    <n v="-2.9417719999999998"/>
    <n v="18.587305000000001"/>
    <x v="2"/>
    <s v="Ericsson"/>
    <m/>
  </r>
  <r>
    <d v="2023-10-24T07:03:00"/>
    <d v="2023-10-24T07:03:00"/>
    <s v="ANT-0543"/>
    <n v="42"/>
    <n v="0.7"/>
    <s v="En Cours"/>
    <x v="2"/>
    <n v="-4.4958720000000003"/>
    <n v="18.514112000000001"/>
    <x v="1"/>
    <s v="Nokia"/>
    <m/>
  </r>
  <r>
    <d v="2023-10-24T10:03:00"/>
    <d v="2023-10-24T10:03:00"/>
    <s v="ANT-0010"/>
    <n v="89"/>
    <n v="1.4833333333333334"/>
    <s v="Résolu"/>
    <x v="2"/>
    <n v="4.4712560000000003"/>
    <n v="27.107028"/>
    <x v="0"/>
    <s v="Ericsson"/>
    <m/>
  </r>
  <r>
    <d v="2023-10-24T17:40:00"/>
    <d v="2023-10-24T17:40:00"/>
    <s v="ANT-0041"/>
    <n v="116"/>
    <n v="1.9333333333333333"/>
    <s v="Non Résolu"/>
    <x v="2"/>
    <n v="0.16841400000000001"/>
    <n v="30.029876999999999"/>
    <x v="2"/>
    <s v="Huawei"/>
    <m/>
  </r>
  <r>
    <d v="2023-10-25T10:17:00"/>
    <d v="2023-10-25T10:17:00"/>
    <s v="ANT-0624"/>
    <n v="65"/>
    <n v="1.0833333333333333"/>
    <s v="Non Résolu"/>
    <x v="2"/>
    <n v="0.172153"/>
    <n v="21.091376"/>
    <x v="0"/>
    <s v="Ericsson"/>
    <m/>
  </r>
  <r>
    <d v="2023-10-26T17:06:00"/>
    <d v="2023-10-26T17:06:00"/>
    <s v="ANT-0284"/>
    <n v="25"/>
    <n v="0.41666666666666669"/>
    <s v="Résolu"/>
    <x v="2"/>
    <n v="-5.5445120000000001"/>
    <n v="27.547335"/>
    <x v="1"/>
    <s v="Ericsson"/>
    <m/>
  </r>
  <r>
    <d v="2023-10-27T15:50:00"/>
    <d v="2023-10-27T15:50:00"/>
    <s v="ANT-0989"/>
    <n v="65"/>
    <n v="1.0833333333333333"/>
    <s v="Non Résolu"/>
    <x v="2"/>
    <n v="-11.594525000000001"/>
    <n v="29.744895"/>
    <x v="0"/>
    <s v="ZTE"/>
    <m/>
  </r>
  <r>
    <d v="2023-10-31T03:04:00"/>
    <d v="2023-10-31T03:04:00"/>
    <s v="ANT-0587"/>
    <n v="87"/>
    <n v="1.45"/>
    <s v="En Cours"/>
    <x v="2"/>
    <n v="-10.945031"/>
    <n v="27.922274000000002"/>
    <x v="1"/>
    <s v="Ericsson"/>
    <m/>
  </r>
  <r>
    <d v="2023-10-01T08:13:00"/>
    <d v="2023-10-01T08:13:00"/>
    <s v="ANT-0604"/>
    <n v="86"/>
    <n v="1.4333333333333333"/>
    <s v="Non Résolu"/>
    <x v="3"/>
    <n v="2.628638"/>
    <n v="28.420582"/>
    <x v="1"/>
    <s v="Huawei"/>
    <m/>
  </r>
  <r>
    <d v="2023-10-03T05:15:00"/>
    <d v="2023-10-03T05:15:00"/>
    <s v="ANT-0371"/>
    <n v="86"/>
    <n v="1.4333333333333333"/>
    <s v="En Cours"/>
    <x v="3"/>
    <n v="-12.112682"/>
    <n v="19.972052000000001"/>
    <x v="1"/>
    <s v="Huawei"/>
    <m/>
  </r>
  <r>
    <d v="2023-10-06T11:19:00"/>
    <d v="2023-10-06T11:19:00"/>
    <s v="ANT-0604"/>
    <n v="50"/>
    <n v="0.83333333333333337"/>
    <s v="Non Résolu"/>
    <x v="3"/>
    <n v="2.628638"/>
    <n v="28.420582"/>
    <x v="1"/>
    <s v="Huawei"/>
    <m/>
  </r>
  <r>
    <d v="2023-10-07T10:38:00"/>
    <d v="2023-10-07T10:38:00"/>
    <s v="ANT-0695"/>
    <n v="48"/>
    <n v="0.8"/>
    <s v="En Cours"/>
    <x v="3"/>
    <n v="0.16327700000000001"/>
    <n v="14.871577"/>
    <x v="1"/>
    <s v="Huawei"/>
    <m/>
  </r>
  <r>
    <d v="2023-10-07T20:35:00"/>
    <d v="2023-10-07T20:35:00"/>
    <s v="ANT-0511"/>
    <n v="45"/>
    <n v="0.75"/>
    <s v="En Cours"/>
    <x v="3"/>
    <n v="1.210869"/>
    <n v="25.598741"/>
    <x v="1"/>
    <s v="Ericsson"/>
    <m/>
  </r>
  <r>
    <d v="2023-10-09T10:39:00"/>
    <d v="2023-10-09T10:39:00"/>
    <s v="ANT-0035"/>
    <n v="7"/>
    <n v="0.11666666666666667"/>
    <s v="En Cours"/>
    <x v="3"/>
    <n v="-6.3324319999999998"/>
    <n v="24.887858000000001"/>
    <x v="1"/>
    <s v="ZTE"/>
    <m/>
  </r>
  <r>
    <d v="2023-10-11T11:00:00"/>
    <d v="2023-10-11T11:00:00"/>
    <s v="ANT-0371"/>
    <n v="95"/>
    <n v="1.5833333333333333"/>
    <s v="Non Résolu"/>
    <x v="3"/>
    <n v="-12.112682"/>
    <n v="19.972052000000001"/>
    <x v="1"/>
    <s v="Huawei"/>
    <m/>
  </r>
  <r>
    <d v="2023-10-11T22:14:00"/>
    <d v="2023-10-11T22:14:00"/>
    <s v="ANT-0511"/>
    <n v="45"/>
    <n v="0.75"/>
    <s v="Non Résolu"/>
    <x v="3"/>
    <n v="1.210869"/>
    <n v="25.598741"/>
    <x v="1"/>
    <s v="Ericsson"/>
    <m/>
  </r>
  <r>
    <d v="2023-10-14T05:03:00"/>
    <d v="2023-10-14T05:03:00"/>
    <s v="ANT-0875"/>
    <n v="28"/>
    <n v="0.46666666666666667"/>
    <s v="En Cours"/>
    <x v="3"/>
    <n v="-3.1608390000000002"/>
    <n v="13.244503999999999"/>
    <x v="0"/>
    <s v="Huawei"/>
    <m/>
  </r>
  <r>
    <d v="2023-10-15T22:38:00"/>
    <d v="2023-10-15T22:38:00"/>
    <s v="ANT-0511"/>
    <n v="16"/>
    <n v="0.26666666666666666"/>
    <s v="Résolu"/>
    <x v="3"/>
    <n v="1.210869"/>
    <n v="25.598741"/>
    <x v="1"/>
    <s v="Ericsson"/>
    <m/>
  </r>
  <r>
    <d v="2023-10-18T09:14:00"/>
    <d v="2023-10-18T09:14:00"/>
    <s v="ANT-0588"/>
    <n v="99"/>
    <n v="1.65"/>
    <s v="Non Résolu"/>
    <x v="3"/>
    <n v="-4.8157019999999999"/>
    <n v="27.679798000000002"/>
    <x v="0"/>
    <s v="Ericsson"/>
    <m/>
  </r>
  <r>
    <d v="2023-10-21T05:21:00"/>
    <d v="2023-10-21T05:21:00"/>
    <s v="ANT-0423"/>
    <n v="65"/>
    <n v="1.0833333333333333"/>
    <s v="En Cours"/>
    <x v="3"/>
    <n v="-1.3938550000000001"/>
    <n v="15.097554000000001"/>
    <x v="1"/>
    <s v="Huawei"/>
    <m/>
  </r>
  <r>
    <d v="2023-10-23T18:40:00"/>
    <d v="2023-10-23T18:40:00"/>
    <s v="ANT-0423"/>
    <n v="102"/>
    <n v="1.7"/>
    <s v="En Cours"/>
    <x v="3"/>
    <n v="-1.3938550000000001"/>
    <n v="15.097554000000001"/>
    <x v="1"/>
    <s v="Huawei"/>
    <m/>
  </r>
  <r>
    <d v="2023-10-23T22:39:00"/>
    <d v="2023-10-23T22:39:00"/>
    <s v="ANT-0466"/>
    <n v="114"/>
    <n v="1.9"/>
    <s v="Résolu"/>
    <x v="3"/>
    <n v="-9.6407190000000007"/>
    <n v="21.336704999999998"/>
    <x v="1"/>
    <s v="ZTE"/>
    <m/>
  </r>
  <r>
    <d v="2023-10-26T06:56:00"/>
    <d v="2023-10-26T06:56:00"/>
    <s v="ANT-0695"/>
    <n v="89"/>
    <n v="1.4833333333333334"/>
    <s v="Résolu"/>
    <x v="3"/>
    <n v="0.16327700000000001"/>
    <n v="14.871577"/>
    <x v="1"/>
    <s v="Huawei"/>
    <m/>
  </r>
  <r>
    <d v="2023-10-26T21:19:00"/>
    <d v="2023-10-26T21:19:00"/>
    <s v="ANT-0975"/>
    <n v="87"/>
    <n v="1.45"/>
    <s v="En Cours"/>
    <x v="3"/>
    <n v="-5.8145569999999998"/>
    <n v="21.942052"/>
    <x v="2"/>
    <s v="Huawei"/>
    <m/>
  </r>
  <r>
    <d v="2023-10-28T07:08:00"/>
    <d v="2023-10-28T07:08:00"/>
    <s v="ANT-0663"/>
    <n v="92"/>
    <n v="1.5333333333333334"/>
    <s v="En Cours"/>
    <x v="3"/>
    <n v="-5.5559329999999996"/>
    <n v="13.508692999999999"/>
    <x v="0"/>
    <s v="Nokia"/>
    <m/>
  </r>
  <r>
    <d v="2023-10-03T12:42:00"/>
    <d v="2023-10-03T12:42:00"/>
    <s v="ANT-0670"/>
    <n v="109"/>
    <n v="1.8166666666666667"/>
    <s v="Non Résolu"/>
    <x v="4"/>
    <n v="-7.1483749999999997"/>
    <n v="26.014271000000001"/>
    <x v="2"/>
    <s v="Huawei"/>
    <m/>
  </r>
  <r>
    <d v="2023-10-03T19:18:00"/>
    <d v="2023-10-03T19:18:00"/>
    <s v="ANT-0185"/>
    <n v="115"/>
    <n v="1.9166666666666667"/>
    <s v="Non Résolu"/>
    <x v="4"/>
    <n v="1.2391989999999999"/>
    <n v="15.386718999999999"/>
    <x v="2"/>
    <s v="ZTE"/>
    <m/>
  </r>
  <r>
    <d v="2023-10-05T23:40:00"/>
    <d v="2023-10-05T23:40:00"/>
    <s v="ANT-0865"/>
    <n v="76"/>
    <n v="1.2666666666666666"/>
    <s v="Non Résolu"/>
    <x v="4"/>
    <n v="-4.869434"/>
    <n v="22.326522000000001"/>
    <x v="2"/>
    <s v="Ericsson"/>
    <m/>
  </r>
  <r>
    <d v="2023-10-06T11:23:00"/>
    <d v="2023-10-06T11:23:00"/>
    <s v="ANT-0392"/>
    <n v="25"/>
    <n v="0.41666666666666669"/>
    <s v="Résolu"/>
    <x v="4"/>
    <n v="-1.013558"/>
    <n v="17.346937"/>
    <x v="2"/>
    <s v="Huawei"/>
    <m/>
  </r>
  <r>
    <d v="2023-10-06T19:56:00"/>
    <d v="2023-10-06T19:56:00"/>
    <s v="ANT-0925"/>
    <n v="52"/>
    <n v="0.8666666666666667"/>
    <s v="Résolu"/>
    <x v="4"/>
    <n v="-2.2199559999999998"/>
    <n v="22.614449"/>
    <x v="0"/>
    <s v="Nokia"/>
    <m/>
  </r>
  <r>
    <d v="2023-10-07T13:32:00"/>
    <d v="2023-10-07T13:32:00"/>
    <s v="ANT-0489"/>
    <n v="37"/>
    <n v="0.6166666666666667"/>
    <s v="Résolu"/>
    <x v="4"/>
    <n v="0.20866199999999999"/>
    <n v="18.556439000000001"/>
    <x v="1"/>
    <s v="Nokia"/>
    <m/>
  </r>
  <r>
    <d v="2023-10-11T16:33:00"/>
    <d v="2023-10-11T16:33:00"/>
    <s v="ANT-0865"/>
    <n v="16"/>
    <n v="0.26666666666666666"/>
    <s v="Résolu"/>
    <x v="4"/>
    <n v="-4.869434"/>
    <n v="22.326522000000001"/>
    <x v="2"/>
    <s v="Ericsson"/>
    <m/>
  </r>
  <r>
    <d v="2023-10-12T17:21:00"/>
    <d v="2023-10-12T17:21:00"/>
    <s v="ANT-0696"/>
    <n v="28"/>
    <n v="0.46666666666666667"/>
    <s v="Résolu"/>
    <x v="4"/>
    <n v="-6.9624990000000002"/>
    <n v="20.759834999999999"/>
    <x v="1"/>
    <s v="Huawei"/>
    <m/>
  </r>
  <r>
    <d v="2023-10-12T21:20:00"/>
    <d v="2023-10-12T21:20:00"/>
    <s v="ANT-0670"/>
    <n v="87"/>
    <n v="1.45"/>
    <s v="Non Résolu"/>
    <x v="4"/>
    <n v="-7.1483749999999997"/>
    <n v="26.014271000000001"/>
    <x v="2"/>
    <s v="Huawei"/>
    <m/>
  </r>
  <r>
    <d v="2023-10-13T14:23:00"/>
    <d v="2023-10-13T14:23:00"/>
    <s v="ANT-0503"/>
    <n v="58"/>
    <n v="0.96666666666666667"/>
    <s v="Non Résolu"/>
    <x v="4"/>
    <n v="-1.8045979999999999"/>
    <n v="12.511096999999999"/>
    <x v="0"/>
    <s v="Huawei"/>
    <m/>
  </r>
  <r>
    <d v="2023-10-18T15:03:00"/>
    <d v="2023-10-18T15:03:00"/>
    <s v="ANT-0503"/>
    <n v="33"/>
    <n v="0.55000000000000004"/>
    <s v="Résolu"/>
    <x v="4"/>
    <n v="-1.8045979999999999"/>
    <n v="12.511096999999999"/>
    <x v="0"/>
    <s v="Huawei"/>
    <m/>
  </r>
  <r>
    <d v="2023-10-18T18:08:00"/>
    <d v="2023-10-18T18:08:00"/>
    <s v="ANT-0622"/>
    <n v="100"/>
    <n v="1.6666666666666667"/>
    <s v="Résolu"/>
    <x v="4"/>
    <n v="-3.003879"/>
    <n v="23.633893"/>
    <x v="2"/>
    <s v="Ericsson"/>
    <m/>
  </r>
  <r>
    <d v="2023-10-19T06:29:00"/>
    <d v="2023-10-19T06:29:00"/>
    <s v="ANT-0503"/>
    <n v="40"/>
    <n v="0.66666666666666663"/>
    <s v="Non Résolu"/>
    <x v="4"/>
    <n v="-1.8045979999999999"/>
    <n v="12.511096999999999"/>
    <x v="0"/>
    <s v="Huawei"/>
    <m/>
  </r>
  <r>
    <d v="2023-10-20T12:39:00"/>
    <d v="2023-10-20T12:39:00"/>
    <s v="ANT-0670"/>
    <n v="95"/>
    <n v="1.5833333333333333"/>
    <s v="Résolu"/>
    <x v="4"/>
    <n v="-7.1483749999999997"/>
    <n v="26.014271000000001"/>
    <x v="2"/>
    <s v="Huawei"/>
    <m/>
  </r>
  <r>
    <d v="2023-10-22T15:33:00"/>
    <d v="2023-10-22T15:33:00"/>
    <s v="ANT-0754"/>
    <n v="67"/>
    <n v="1.1166666666666667"/>
    <s v="Résolu"/>
    <x v="4"/>
    <n v="-11.924048000000001"/>
    <n v="24.177174999999998"/>
    <x v="0"/>
    <s v="Nokia"/>
    <m/>
  </r>
  <r>
    <d v="2023-10-23T11:30:00"/>
    <d v="2023-10-23T11:30:00"/>
    <s v="ANT-0225"/>
    <n v="112"/>
    <n v="1.8666666666666667"/>
    <s v="Non Résolu"/>
    <x v="4"/>
    <n v="-8.8118569999999998"/>
    <n v="14.465711000000001"/>
    <x v="2"/>
    <s v="Nokia"/>
    <m/>
  </r>
  <r>
    <d v="2023-10-24T19:04:00"/>
    <d v="2023-10-24T19:04:00"/>
    <s v="ANT-0101"/>
    <n v="97"/>
    <n v="1.6166666666666667"/>
    <s v="Résolu"/>
    <x v="4"/>
    <n v="1.0134879999999999"/>
    <n v="20.363515"/>
    <x v="1"/>
    <s v="Nokia"/>
    <m/>
  </r>
  <r>
    <d v="2023-10-29T12:17:00"/>
    <d v="2023-10-29T12:17:00"/>
    <s v="ANT-0248"/>
    <n v="64"/>
    <n v="1.0666666666666667"/>
    <s v="Non Résolu"/>
    <x v="4"/>
    <n v="-4.4351269999999996"/>
    <n v="24.825467"/>
    <x v="1"/>
    <s v="Huawei"/>
    <m/>
  </r>
  <r>
    <d v="2023-10-29T13:51:00"/>
    <d v="2023-10-29T13:51:00"/>
    <s v="ANT-0503"/>
    <n v="80"/>
    <n v="1.3333333333333333"/>
    <s v="En Cours"/>
    <x v="4"/>
    <n v="-1.8045979999999999"/>
    <n v="12.511096999999999"/>
    <x v="0"/>
    <s v="Huawei"/>
    <m/>
  </r>
  <r>
    <d v="2023-10-30T14:54:00"/>
    <d v="2023-10-30T14:54:00"/>
    <s v="ANT-0691"/>
    <n v="74"/>
    <n v="1.2333333333333334"/>
    <s v="En Cours"/>
    <x v="4"/>
    <n v="-12.488033"/>
    <n v="16.139648000000001"/>
    <x v="1"/>
    <s v="Huawei"/>
    <m/>
  </r>
  <r>
    <d v="2023-10-31T07:46:00"/>
    <d v="2023-10-31T07:46:00"/>
    <s v="ANT-0248"/>
    <n v="105"/>
    <n v="1.75"/>
    <s v="Résolu"/>
    <x v="4"/>
    <n v="-4.4351269999999996"/>
    <n v="24.825467"/>
    <x v="1"/>
    <s v="Huawei"/>
    <m/>
  </r>
  <r>
    <d v="2023-10-01T16:06:00"/>
    <d v="2023-10-01T16:06:00"/>
    <s v="ANT-0809"/>
    <n v="74"/>
    <n v="1.2333333333333334"/>
    <s v="En Cours"/>
    <x v="5"/>
    <n v="-4.6426759999999998"/>
    <n v="22.124254000000001"/>
    <x v="1"/>
    <s v="ZTE"/>
    <m/>
  </r>
  <r>
    <d v="2023-10-02T05:54:00"/>
    <d v="2023-10-02T05:54:00"/>
    <s v="ANT-0059"/>
    <n v="91"/>
    <n v="1.5166666666666666"/>
    <s v="Non Résolu"/>
    <x v="5"/>
    <n v="-0.34051900000000002"/>
    <n v="17.079799000000001"/>
    <x v="2"/>
    <s v="Ericsson"/>
    <m/>
  </r>
  <r>
    <d v="2023-10-08T13:54:00"/>
    <d v="2023-10-08T13:54:00"/>
    <s v="ANT-0821"/>
    <n v="68"/>
    <n v="1.1333333333333333"/>
    <s v="Résolu"/>
    <x v="5"/>
    <n v="-3.7720639999999999"/>
    <n v="16.006277999999998"/>
    <x v="2"/>
    <s v="ZTE"/>
    <m/>
  </r>
  <r>
    <d v="2023-10-10T13:24:00"/>
    <d v="2023-10-10T13:24:00"/>
    <s v="ANT-0071"/>
    <n v="66"/>
    <n v="1.1000000000000001"/>
    <s v="Non Résolu"/>
    <x v="5"/>
    <n v="-12.595355"/>
    <n v="17.897442000000002"/>
    <x v="1"/>
    <s v="Huawei"/>
    <m/>
  </r>
  <r>
    <d v="2023-10-12T08:06:00"/>
    <d v="2023-10-12T08:06:00"/>
    <s v="ANT-0966"/>
    <n v="88"/>
    <n v="1.4666666666666666"/>
    <s v="Non Résolu"/>
    <x v="5"/>
    <n v="-12.364127999999999"/>
    <n v="19.576150999999999"/>
    <x v="0"/>
    <s v="Nokia"/>
    <m/>
  </r>
  <r>
    <d v="2023-10-17T17:01:00"/>
    <d v="2023-10-17T17:01:00"/>
    <s v="ANT-0059"/>
    <n v="39"/>
    <n v="0.65"/>
    <s v="Résolu"/>
    <x v="5"/>
    <n v="-0.34051900000000002"/>
    <n v="17.079799000000001"/>
    <x v="2"/>
    <s v="Ericsson"/>
    <m/>
  </r>
  <r>
    <d v="2023-10-17T18:15:00"/>
    <d v="2023-10-17T18:15:00"/>
    <s v="ANT-0934"/>
    <n v="48"/>
    <n v="0.8"/>
    <s v="Résolu"/>
    <x v="5"/>
    <n v="-11.002602"/>
    <n v="23.918247999999998"/>
    <x v="2"/>
    <s v="ZTE"/>
    <m/>
  </r>
  <r>
    <d v="2023-10-19T23:48:00"/>
    <d v="2023-10-19T23:48:00"/>
    <s v="ANT-0821"/>
    <n v="82"/>
    <n v="1.3666666666666667"/>
    <s v="Résolu"/>
    <x v="5"/>
    <n v="-3.7720639999999999"/>
    <n v="16.006277999999998"/>
    <x v="2"/>
    <s v="ZTE"/>
    <m/>
  </r>
  <r>
    <d v="2023-10-21T02:39:00"/>
    <d v="2023-10-21T02:39:00"/>
    <s v="ANT-0804"/>
    <n v="111"/>
    <n v="1.85"/>
    <s v="En Cours"/>
    <x v="5"/>
    <n v="-4.1250960000000001"/>
    <n v="27.799897999999999"/>
    <x v="0"/>
    <s v="Nokia"/>
    <m/>
  </r>
  <r>
    <d v="2023-10-28T21:58:00"/>
    <d v="2023-10-28T21:58:00"/>
    <s v="ANT-0821"/>
    <n v="26"/>
    <n v="0.43333333333333335"/>
    <s v="Non Résolu"/>
    <x v="5"/>
    <n v="-3.7720639999999999"/>
    <n v="16.006277999999998"/>
    <x v="2"/>
    <s v="ZTE"/>
    <m/>
  </r>
  <r>
    <d v="2023-10-29T21:08:00"/>
    <d v="2023-10-29T21:08:00"/>
    <s v="ANT-0804"/>
    <n v="112"/>
    <n v="1.8666666666666667"/>
    <s v="En Cours"/>
    <x v="5"/>
    <n v="-4.1250960000000001"/>
    <n v="27.799897999999999"/>
    <x v="0"/>
    <s v="Nokia"/>
    <m/>
  </r>
  <r>
    <d v="2023-10-31T23:57:00"/>
    <d v="2023-10-31T23:57:00"/>
    <s v="ANT-0856"/>
    <n v="72"/>
    <n v="1.2"/>
    <s v="En Cours"/>
    <x v="5"/>
    <n v="-1.9120569999999999"/>
    <n v="15.236072999999999"/>
    <x v="2"/>
    <s v="Huawei"/>
    <m/>
  </r>
  <r>
    <d v="2023-10-01T01:53:00"/>
    <d v="2023-10-01T01:53:00"/>
    <s v="ANT-0936"/>
    <n v="40"/>
    <n v="0.66666666666666663"/>
    <s v="Résolu"/>
    <x v="6"/>
    <n v="-10.165072"/>
    <n v="29.428024000000001"/>
    <x v="2"/>
    <s v="Huawei"/>
    <m/>
  </r>
  <r>
    <d v="2023-10-06T01:16:00"/>
    <d v="2023-10-06T01:16:00"/>
    <s v="ANT-0332"/>
    <n v="102"/>
    <n v="1.7"/>
    <s v="Non Résolu"/>
    <x v="6"/>
    <n v="-4.9789079999999997"/>
    <n v="28.506295000000001"/>
    <x v="1"/>
    <s v="Huawei"/>
    <m/>
  </r>
  <r>
    <d v="2023-10-06T04:04:00"/>
    <d v="2023-10-06T04:04:00"/>
    <s v="ANT-0147"/>
    <n v="18"/>
    <n v="0.3"/>
    <s v="Non Résolu"/>
    <x v="6"/>
    <n v="4.8689660000000003"/>
    <n v="25.112373000000002"/>
    <x v="0"/>
    <s v="Huawei"/>
    <m/>
  </r>
  <r>
    <d v="2023-10-09T04:04:00"/>
    <d v="2023-10-09T04:04:00"/>
    <s v="ANT-0295"/>
    <n v="47"/>
    <n v="0.78333333333333333"/>
    <s v="Résolu"/>
    <x v="6"/>
    <n v="-4.351254"/>
    <n v="30.097408999999999"/>
    <x v="2"/>
    <s v="Nokia"/>
    <m/>
  </r>
  <r>
    <d v="2023-10-10T21:47:00"/>
    <d v="2023-10-10T21:47:00"/>
    <s v="ANT-0985"/>
    <n v="99"/>
    <n v="1.65"/>
    <s v="En Cours"/>
    <x v="6"/>
    <n v="-7.6757720000000003"/>
    <n v="30.222971000000001"/>
    <x v="2"/>
    <s v="Ericsson"/>
    <m/>
  </r>
  <r>
    <d v="2023-10-11T21:30:00"/>
    <d v="2023-10-11T21:30:00"/>
    <s v="ANT-0295"/>
    <n v="110"/>
    <n v="1.8333333333333333"/>
    <s v="En Cours"/>
    <x v="6"/>
    <n v="-4.351254"/>
    <n v="30.097408999999999"/>
    <x v="2"/>
    <s v="Nokia"/>
    <m/>
  </r>
  <r>
    <d v="2023-10-16T18:38:00"/>
    <d v="2023-10-16T18:38:00"/>
    <s v="ANT-0639"/>
    <n v="87"/>
    <n v="1.45"/>
    <s v="En Cours"/>
    <x v="6"/>
    <n v="2.5665840000000002"/>
    <n v="15.764796"/>
    <x v="0"/>
    <s v="ZTE"/>
    <m/>
  </r>
  <r>
    <d v="2023-10-17T05:35:00"/>
    <d v="2023-10-17T05:35:00"/>
    <s v="ANT-0794"/>
    <n v="11"/>
    <n v="0.18333333333333332"/>
    <s v="En Cours"/>
    <x v="6"/>
    <n v="-3.8119990000000001"/>
    <n v="20.420048000000001"/>
    <x v="0"/>
    <s v="ZTE"/>
    <m/>
  </r>
  <r>
    <d v="2023-10-18T23:15:00"/>
    <d v="2023-10-18T23:15:00"/>
    <s v="ANT-0020"/>
    <n v="97"/>
    <n v="1.6166666666666667"/>
    <s v="Non Résolu"/>
    <x v="6"/>
    <n v="-10.059846"/>
    <n v="14.375757999999999"/>
    <x v="1"/>
    <s v="Huawei"/>
    <m/>
  </r>
  <r>
    <d v="2023-10-22T07:31:00"/>
    <d v="2023-10-22T07:31:00"/>
    <s v="ANT-0936"/>
    <n v="34"/>
    <n v="0.56666666666666665"/>
    <s v="Non Résolu"/>
    <x v="6"/>
    <n v="-10.165072"/>
    <n v="29.428024000000001"/>
    <x v="2"/>
    <s v="Huawei"/>
    <m/>
  </r>
  <r>
    <d v="2023-10-22T20:04:00"/>
    <d v="2023-10-22T20:04:00"/>
    <s v="ANT-0332"/>
    <n v="6"/>
    <n v="0.1"/>
    <s v="En Cours"/>
    <x v="6"/>
    <n v="-4.9789079999999997"/>
    <n v="28.506295000000001"/>
    <x v="1"/>
    <s v="Huawei"/>
    <m/>
  </r>
  <r>
    <d v="2023-10-26T14:57:00"/>
    <d v="2023-10-26T14:57:00"/>
    <s v="ANT-0936"/>
    <n v="86"/>
    <n v="1.4333333333333333"/>
    <s v="Résolu"/>
    <x v="6"/>
    <n v="-10.165072"/>
    <n v="29.428024000000001"/>
    <x v="2"/>
    <s v="Huawei"/>
    <m/>
  </r>
  <r>
    <d v="2023-10-03T06:14:00"/>
    <d v="2023-10-03T06:14:00"/>
    <s v="ANT-0270"/>
    <n v="79"/>
    <n v="1.3166666666666667"/>
    <s v="Résolu"/>
    <x v="7"/>
    <n v="-1.648264"/>
    <n v="28.866143999999998"/>
    <x v="2"/>
    <s v="Ericsson"/>
    <m/>
  </r>
  <r>
    <d v="2023-10-03T17:57:00"/>
    <d v="2023-10-03T17:57:00"/>
    <s v="ANT-0488"/>
    <n v="28"/>
    <n v="0.46666666666666667"/>
    <s v="Non Résolu"/>
    <x v="7"/>
    <n v="-3.111418"/>
    <n v="14.144854"/>
    <x v="1"/>
    <s v="ZTE"/>
    <m/>
  </r>
  <r>
    <d v="2023-10-04T06:01:00"/>
    <d v="2023-10-04T06:01:00"/>
    <s v="ANT-0902"/>
    <n v="49"/>
    <n v="0.81666666666666665"/>
    <s v="Non Résolu"/>
    <x v="7"/>
    <n v="-10.414493"/>
    <n v="12.333356999999999"/>
    <x v="0"/>
    <s v="Ericsson"/>
    <m/>
  </r>
  <r>
    <d v="2023-10-05T13:44:00"/>
    <d v="2023-10-05T13:44:00"/>
    <s v="ANT-0488"/>
    <n v="88"/>
    <n v="1.4666666666666666"/>
    <s v="En Cours"/>
    <x v="7"/>
    <n v="-3.111418"/>
    <n v="14.144854"/>
    <x v="1"/>
    <s v="ZTE"/>
    <m/>
  </r>
  <r>
    <d v="2023-10-05T18:24:00"/>
    <d v="2023-10-05T18:24:00"/>
    <s v="ANT-0450"/>
    <n v="9"/>
    <n v="0.15"/>
    <s v="En Cours"/>
    <x v="7"/>
    <n v="-12.560556999999999"/>
    <n v="13.204014000000001"/>
    <x v="1"/>
    <s v="Ericsson"/>
    <m/>
  </r>
  <r>
    <d v="2023-10-05T19:34:00"/>
    <d v="2023-10-05T19:34:00"/>
    <s v="ANT-0902"/>
    <n v="71"/>
    <n v="1.1833333333333333"/>
    <s v="En Cours"/>
    <x v="7"/>
    <n v="-10.414493"/>
    <n v="12.333356999999999"/>
    <x v="0"/>
    <s v="Ericsson"/>
    <m/>
  </r>
  <r>
    <d v="2023-10-07T00:39:00"/>
    <d v="2023-10-07T00:39:00"/>
    <s v="ANT-0488"/>
    <n v="36"/>
    <n v="0.6"/>
    <s v="En Cours"/>
    <x v="7"/>
    <n v="-3.111418"/>
    <n v="14.144854"/>
    <x v="1"/>
    <s v="ZTE"/>
    <m/>
  </r>
  <r>
    <d v="2023-10-08T00:16:00"/>
    <d v="2023-10-08T00:16:00"/>
    <s v="ANT-0122"/>
    <n v="32"/>
    <n v="0.53333333333333333"/>
    <s v="Résolu"/>
    <x v="7"/>
    <n v="1.897178"/>
    <n v="23.902604"/>
    <x v="0"/>
    <s v="Nokia"/>
    <m/>
  </r>
  <r>
    <d v="2023-10-09T13:24:00"/>
    <d v="2023-10-09T13:24:00"/>
    <s v="ANT-0075"/>
    <n v="44"/>
    <n v="0.73333333333333328"/>
    <s v="En Cours"/>
    <x v="7"/>
    <n v="-8.0800809999999998"/>
    <n v="30.147970999999998"/>
    <x v="2"/>
    <s v="Huawei"/>
    <m/>
  </r>
  <r>
    <d v="2023-10-10T19:47:00"/>
    <d v="2023-10-10T19:47:00"/>
    <s v="ANT-0902"/>
    <n v="93"/>
    <n v="1.55"/>
    <s v="En Cours"/>
    <x v="7"/>
    <n v="-10.414493"/>
    <n v="12.333356999999999"/>
    <x v="0"/>
    <s v="Ericsson"/>
    <m/>
  </r>
  <r>
    <d v="2023-10-13T13:38:00"/>
    <d v="2023-10-13T13:38:00"/>
    <s v="ANT-0090"/>
    <n v="42"/>
    <n v="0.7"/>
    <s v="Non Résolu"/>
    <x v="7"/>
    <n v="-7.3379339999999997"/>
    <n v="28.404001999999998"/>
    <x v="0"/>
    <s v="Nokia"/>
    <m/>
  </r>
  <r>
    <d v="2023-10-16T00:23:00"/>
    <d v="2023-10-16T00:23:00"/>
    <s v="ANT-0735"/>
    <n v="74"/>
    <n v="1.2333333333333334"/>
    <s v="Résolu"/>
    <x v="7"/>
    <n v="-5.8352820000000003"/>
    <n v="26.603978000000001"/>
    <x v="1"/>
    <s v="Huawei"/>
    <m/>
  </r>
  <r>
    <d v="2023-10-17T10:59:00"/>
    <d v="2023-10-17T10:59:00"/>
    <s v="ANT-0379"/>
    <n v="39"/>
    <n v="0.65"/>
    <s v="Résolu"/>
    <x v="7"/>
    <n v="-9.5266249999999992"/>
    <n v="27.889690999999999"/>
    <x v="1"/>
    <s v="Ericsson"/>
    <m/>
  </r>
  <r>
    <d v="2023-10-18T13:53:00"/>
    <d v="2023-10-18T13:53:00"/>
    <s v="ANT-0042"/>
    <n v="93"/>
    <n v="1.55"/>
    <s v="Non Résolu"/>
    <x v="7"/>
    <n v="-10.735106"/>
    <n v="27.868673999999999"/>
    <x v="0"/>
    <s v="Ericsson"/>
    <m/>
  </r>
  <r>
    <d v="2023-10-19T09:05:00"/>
    <d v="2023-10-19T09:05:00"/>
    <s v="ANT-0527"/>
    <n v="102"/>
    <n v="1.7"/>
    <s v="Résolu"/>
    <x v="7"/>
    <n v="-4.4451280000000004"/>
    <n v="16.536944999999999"/>
    <x v="1"/>
    <s v="Ericsson"/>
    <m/>
  </r>
  <r>
    <d v="2023-10-22T04:20:00"/>
    <d v="2023-10-22T04:20:00"/>
    <s v="ANT-0270"/>
    <n v="8"/>
    <n v="0.13333333333333333"/>
    <s v="Résolu"/>
    <x v="7"/>
    <n v="-1.648264"/>
    <n v="28.866143999999998"/>
    <x v="2"/>
    <s v="Ericsson"/>
    <m/>
  </r>
  <r>
    <d v="2023-10-22T18:32:00"/>
    <d v="2023-10-22T18:32:00"/>
    <s v="ANT-0527"/>
    <n v="107"/>
    <n v="1.7833333333333334"/>
    <s v="Résolu"/>
    <x v="7"/>
    <n v="-4.4451280000000004"/>
    <n v="16.536944999999999"/>
    <x v="1"/>
    <s v="Ericsson"/>
    <m/>
  </r>
  <r>
    <d v="2023-10-22T21:51:00"/>
    <d v="2023-10-22T21:51:00"/>
    <s v="ANT-0902"/>
    <n v="60"/>
    <n v="1"/>
    <s v="Non Résolu"/>
    <x v="7"/>
    <n v="-10.414493"/>
    <n v="12.333356999999999"/>
    <x v="0"/>
    <s v="Ericsson"/>
    <m/>
  </r>
  <r>
    <d v="2023-10-26T05:18:00"/>
    <d v="2023-10-26T05:18:00"/>
    <s v="ANT-0075"/>
    <n v="104"/>
    <n v="1.7333333333333334"/>
    <s v="Non Résolu"/>
    <x v="7"/>
    <n v="-8.0800809999999998"/>
    <n v="30.147970999999998"/>
    <x v="2"/>
    <s v="Huawei"/>
    <m/>
  </r>
  <r>
    <d v="2023-10-30T10:39:00"/>
    <d v="2023-10-30T10:39:00"/>
    <s v="ANT-0929"/>
    <n v="5"/>
    <n v="8.3333333333333329E-2"/>
    <s v="Résolu"/>
    <x v="7"/>
    <n v="-6.6803710000000001"/>
    <n v="21.955673000000001"/>
    <x v="1"/>
    <s v="Nokia"/>
    <m/>
  </r>
  <r>
    <d v="2023-10-02T17:26:00"/>
    <d v="2023-10-02T17:26:00"/>
    <s v="ANT-0294"/>
    <n v="97"/>
    <n v="1.6166666666666667"/>
    <s v="Non Résolu"/>
    <x v="8"/>
    <n v="-4.3639070000000002"/>
    <n v="16.283307000000001"/>
    <x v="2"/>
    <s v="Huawei"/>
    <m/>
  </r>
  <r>
    <d v="2023-10-08T03:12:00"/>
    <d v="2023-10-08T03:12:00"/>
    <s v="ANT-0298"/>
    <n v="66"/>
    <n v="1.1000000000000001"/>
    <s v="Non Résolu"/>
    <x v="8"/>
    <n v="-5.4073029999999997"/>
    <n v="29.762294000000001"/>
    <x v="0"/>
    <s v="Ericsson"/>
    <m/>
  </r>
  <r>
    <d v="2023-10-12T01:32:00"/>
    <d v="2023-10-12T01:32:00"/>
    <s v="ANT-0066"/>
    <n v="6"/>
    <n v="0.1"/>
    <s v="En Cours"/>
    <x v="8"/>
    <n v="1.7832440000000001"/>
    <n v="25.477405999999998"/>
    <x v="2"/>
    <s v="Huawei"/>
    <m/>
  </r>
  <r>
    <d v="2023-10-15T20:25:00"/>
    <d v="2023-10-15T20:25:00"/>
    <s v="ANT-0298"/>
    <n v="31"/>
    <n v="0.51666666666666672"/>
    <s v="En Cours"/>
    <x v="8"/>
    <n v="-5.4073029999999997"/>
    <n v="29.762294000000001"/>
    <x v="0"/>
    <s v="Ericsson"/>
    <m/>
  </r>
  <r>
    <d v="2023-10-17T17:31:00"/>
    <d v="2023-10-17T17:31:00"/>
    <s v="ANT-0997"/>
    <n v="109"/>
    <n v="1.8166666666666667"/>
    <s v="En Cours"/>
    <x v="8"/>
    <n v="0.639208"/>
    <n v="20.701739"/>
    <x v="1"/>
    <s v="Huawei"/>
    <m/>
  </r>
  <r>
    <d v="2023-10-17T20:46:00"/>
    <d v="2023-10-17T20:46:00"/>
    <s v="ANT-0162"/>
    <n v="10"/>
    <n v="0.16666666666666666"/>
    <s v="Non Résolu"/>
    <x v="8"/>
    <n v="-1.648326"/>
    <n v="25.528901999999999"/>
    <x v="1"/>
    <s v="Huawei"/>
    <m/>
  </r>
  <r>
    <d v="2023-10-22T17:24:00"/>
    <d v="2023-10-22T17:24:00"/>
    <s v="ANT-0750"/>
    <n v="55"/>
    <n v="0.91666666666666663"/>
    <s v="Non Résolu"/>
    <x v="8"/>
    <n v="-1.3976519999999999"/>
    <n v="14.098819000000001"/>
    <x v="0"/>
    <s v="Ericsson"/>
    <m/>
  </r>
  <r>
    <d v="2023-10-27T02:47:00"/>
    <d v="2023-10-27T02:47:00"/>
    <s v="ANT-0872"/>
    <n v="5"/>
    <n v="8.3333333333333329E-2"/>
    <s v="En Cours"/>
    <x v="8"/>
    <n v="2.486888"/>
    <n v="23.798074"/>
    <x v="2"/>
    <s v="ZTE"/>
    <m/>
  </r>
  <r>
    <d v="2023-10-31T15:12:00"/>
    <d v="2023-10-31T15:12:00"/>
    <s v="ANT-0872"/>
    <n v="34"/>
    <n v="0.56666666666666665"/>
    <s v="Résolu"/>
    <x v="8"/>
    <n v="2.486888"/>
    <n v="23.798074"/>
    <x v="2"/>
    <s v="ZTE"/>
    <m/>
  </r>
  <r>
    <d v="2023-10-01T12:37:00"/>
    <d v="2023-10-01T12:37:00"/>
    <s v="ANT-0283"/>
    <n v="88"/>
    <n v="1.4666666666666666"/>
    <s v="En Cours"/>
    <x v="9"/>
    <n v="-1.6097570000000001"/>
    <n v="30.661662"/>
    <x v="1"/>
    <s v="Ericsson"/>
    <m/>
  </r>
  <r>
    <d v="2023-10-05T14:47:00"/>
    <d v="2023-10-05T14:47:00"/>
    <s v="ANT-0690"/>
    <n v="41"/>
    <n v="0.68333333333333335"/>
    <s v="En Cours"/>
    <x v="9"/>
    <n v="1.3006180000000001"/>
    <n v="29.060970999999999"/>
    <x v="0"/>
    <s v="ZTE"/>
    <m/>
  </r>
  <r>
    <d v="2023-10-07T12:23:00"/>
    <d v="2023-10-07T12:23:00"/>
    <s v="ANT-0029"/>
    <n v="108"/>
    <n v="1.8"/>
    <s v="Résolu"/>
    <x v="9"/>
    <n v="-10.227569000000001"/>
    <n v="18.887930999999998"/>
    <x v="0"/>
    <s v="ZTE"/>
    <m/>
  </r>
  <r>
    <d v="2023-10-10T05:10:00"/>
    <d v="2023-10-10T05:10:00"/>
    <s v="ANT-0164"/>
    <n v="23"/>
    <n v="0.38333333333333336"/>
    <s v="En Cours"/>
    <x v="9"/>
    <n v="-11.389362"/>
    <n v="22.240174"/>
    <x v="2"/>
    <s v="ZTE"/>
    <m/>
  </r>
  <r>
    <d v="2023-10-10T08:31:00"/>
    <d v="2023-10-10T08:31:00"/>
    <s v="ANT-0690"/>
    <n v="99"/>
    <n v="1.65"/>
    <s v="Non Résolu"/>
    <x v="9"/>
    <n v="1.3006180000000001"/>
    <n v="29.060970999999999"/>
    <x v="0"/>
    <s v="ZTE"/>
    <m/>
  </r>
  <r>
    <d v="2023-10-11T13:38:00"/>
    <d v="2023-10-11T13:38:00"/>
    <s v="ANT-0913"/>
    <n v="96"/>
    <n v="1.6"/>
    <s v="Résolu"/>
    <x v="9"/>
    <n v="-5.4126279999999998"/>
    <n v="25.498235999999999"/>
    <x v="2"/>
    <s v="ZTE"/>
    <m/>
  </r>
  <r>
    <d v="2023-10-16T01:22:00"/>
    <d v="2023-10-16T01:22:00"/>
    <s v="ANT-0545"/>
    <n v="99"/>
    <n v="1.65"/>
    <s v="Non Résolu"/>
    <x v="9"/>
    <n v="-2.6665070000000002"/>
    <n v="18.623692999999999"/>
    <x v="0"/>
    <s v="ZTE"/>
    <m/>
  </r>
  <r>
    <d v="2023-10-18T04:10:00"/>
    <d v="2023-10-18T04:10:00"/>
    <s v="ANT-0283"/>
    <n v="53"/>
    <n v="0.8833333333333333"/>
    <s v="Non Résolu"/>
    <x v="9"/>
    <n v="-1.6097570000000001"/>
    <n v="30.661662"/>
    <x v="1"/>
    <s v="Ericsson"/>
    <m/>
  </r>
  <r>
    <d v="2023-10-19T02:08:00"/>
    <d v="2023-10-19T02:08:00"/>
    <s v="ANT-0164"/>
    <n v="12"/>
    <n v="0.2"/>
    <s v="En Cours"/>
    <x v="9"/>
    <n v="-11.389362"/>
    <n v="22.240174"/>
    <x v="2"/>
    <s v="ZTE"/>
    <m/>
  </r>
  <r>
    <d v="2023-10-22T06:23:00"/>
    <d v="2023-10-22T06:23:00"/>
    <s v="ANT-0437"/>
    <n v="88"/>
    <n v="1.4666666666666666"/>
    <s v="Non Résolu"/>
    <x v="9"/>
    <n v="-1.339734"/>
    <n v="15.243098"/>
    <x v="0"/>
    <s v="Nokia"/>
    <m/>
  </r>
  <r>
    <d v="2023-10-22T06:48:00"/>
    <d v="2023-10-22T06:48:00"/>
    <s v="ANT-0545"/>
    <n v="22"/>
    <n v="0.36666666666666664"/>
    <s v="Résolu"/>
    <x v="9"/>
    <n v="-2.6665070000000002"/>
    <n v="18.623692999999999"/>
    <x v="0"/>
    <s v="ZTE"/>
    <m/>
  </r>
  <r>
    <d v="2023-10-23T04:18:00"/>
    <d v="2023-10-23T04:18:00"/>
    <s v="ANT-0362"/>
    <n v="28"/>
    <n v="0.46666666666666667"/>
    <s v="Non Résolu"/>
    <x v="9"/>
    <n v="-0.90854400000000002"/>
    <n v="17.154896999999998"/>
    <x v="0"/>
    <s v="Huawei"/>
    <m/>
  </r>
  <r>
    <d v="2023-10-27T20:11:00"/>
    <d v="2023-10-27T20:11:00"/>
    <s v="ANT-0164"/>
    <n v="74"/>
    <n v="1.2333333333333334"/>
    <s v="Non Résolu"/>
    <x v="9"/>
    <n v="-11.389362"/>
    <n v="22.240174"/>
    <x v="2"/>
    <s v="ZTE"/>
    <m/>
  </r>
  <r>
    <d v="2023-10-28T21:33:00"/>
    <d v="2023-10-28T21:33:00"/>
    <s v="ANT-0846"/>
    <n v="61"/>
    <n v="1.0166666666666666"/>
    <s v="Résolu"/>
    <x v="9"/>
    <n v="-7.1079169999999996"/>
    <n v="13.636272"/>
    <x v="2"/>
    <s v="Nokia"/>
    <m/>
  </r>
  <r>
    <d v="2023-10-31T14:17:00"/>
    <d v="2023-10-31T14:17:00"/>
    <s v="ANT-0846"/>
    <n v="14"/>
    <n v="0.23333333333333334"/>
    <s v="Résolu"/>
    <x v="9"/>
    <n v="-7.1079169999999996"/>
    <n v="13.636272"/>
    <x v="2"/>
    <s v="Nokia"/>
    <m/>
  </r>
  <r>
    <d v="2023-10-31T15:20:00"/>
    <d v="2023-10-31T15:20:00"/>
    <s v="ANT-0964"/>
    <n v="77"/>
    <n v="1.2833333333333334"/>
    <s v="Non Résolu"/>
    <x v="9"/>
    <n v="-0.57104900000000003"/>
    <n v="15.317663"/>
    <x v="2"/>
    <s v="Nokia"/>
    <m/>
  </r>
  <r>
    <d v="2023-10-01T22:13:00"/>
    <d v="2023-10-01T22:13:00"/>
    <s v="ANT-0737"/>
    <n v="76"/>
    <n v="1.2666666666666666"/>
    <s v="En Cours"/>
    <x v="10"/>
    <n v="-2.8211520000000001"/>
    <n v="20.651419000000001"/>
    <x v="2"/>
    <s v="Ericsson"/>
    <m/>
  </r>
  <r>
    <d v="2023-10-03T15:29:00"/>
    <d v="2023-10-03T15:29:00"/>
    <s v="ANT-0718"/>
    <n v="106"/>
    <n v="1.7666666666666666"/>
    <s v="En Cours"/>
    <x v="10"/>
    <n v="1.981107"/>
    <n v="23.932569000000001"/>
    <x v="0"/>
    <s v="Nokia"/>
    <m/>
  </r>
  <r>
    <d v="2023-10-03T18:37:00"/>
    <d v="2023-10-03T18:37:00"/>
    <s v="ANT-0718"/>
    <n v="72"/>
    <n v="1.2"/>
    <s v="Résolu"/>
    <x v="10"/>
    <n v="1.981107"/>
    <n v="23.932569000000001"/>
    <x v="0"/>
    <s v="Nokia"/>
    <m/>
  </r>
  <r>
    <d v="2023-10-05T05:42:00"/>
    <d v="2023-10-05T05:42:00"/>
    <s v="ANT-0093"/>
    <n v="21"/>
    <n v="0.35"/>
    <s v="Non Résolu"/>
    <x v="10"/>
    <n v="2.975352"/>
    <n v="22.535886000000001"/>
    <x v="1"/>
    <s v="Huawei"/>
    <m/>
  </r>
  <r>
    <d v="2023-10-05T13:12:00"/>
    <d v="2023-10-05T13:12:00"/>
    <s v="ANT-0093"/>
    <n v="113"/>
    <n v="1.8833333333333333"/>
    <s v="Non Résolu"/>
    <x v="10"/>
    <n v="2.975352"/>
    <n v="22.535886000000001"/>
    <x v="1"/>
    <s v="Huawei"/>
    <m/>
  </r>
  <r>
    <d v="2023-10-06T15:37:00"/>
    <d v="2023-10-06T15:37:00"/>
    <s v="ANT-0154"/>
    <n v="63"/>
    <n v="1.05"/>
    <s v="Résolu"/>
    <x v="10"/>
    <n v="-10.977309"/>
    <n v="12.408281000000001"/>
    <x v="2"/>
    <s v="ZTE"/>
    <m/>
  </r>
  <r>
    <d v="2023-10-06T18:27:00"/>
    <d v="2023-10-06T18:27:00"/>
    <s v="ANT-0972"/>
    <n v="36"/>
    <n v="0.6"/>
    <s v="Résolu"/>
    <x v="10"/>
    <n v="-0.469945"/>
    <n v="21.038527999999999"/>
    <x v="0"/>
    <s v="Ericsson"/>
    <m/>
  </r>
  <r>
    <d v="2023-10-08T01:47:00"/>
    <d v="2023-10-08T01:47:00"/>
    <s v="ANT-0679"/>
    <n v="57"/>
    <n v="0.95"/>
    <s v="Résolu"/>
    <x v="10"/>
    <n v="-7.1587569999999996"/>
    <n v="18.975141000000001"/>
    <x v="2"/>
    <s v="Ericsson"/>
    <m/>
  </r>
  <r>
    <d v="2023-10-08T16:02:00"/>
    <d v="2023-10-08T16:02:00"/>
    <s v="ANT-0679"/>
    <n v="113"/>
    <n v="1.8833333333333333"/>
    <s v="Résolu"/>
    <x v="10"/>
    <n v="-7.1587569999999996"/>
    <n v="18.975141000000001"/>
    <x v="2"/>
    <s v="Ericsson"/>
    <m/>
  </r>
  <r>
    <d v="2023-10-13T23:10:00"/>
    <d v="2023-10-13T23:10:00"/>
    <s v="ANT-0611"/>
    <n v="27"/>
    <n v="0.45"/>
    <s v="En Cours"/>
    <x v="10"/>
    <n v="0.79124300000000003"/>
    <n v="25.273389000000002"/>
    <x v="1"/>
    <s v="Nokia"/>
    <m/>
  </r>
  <r>
    <d v="2023-10-14T00:33:00"/>
    <d v="2023-10-14T00:33:00"/>
    <s v="ANT-0737"/>
    <n v="56"/>
    <n v="0.93333333333333335"/>
    <s v="En Cours"/>
    <x v="10"/>
    <n v="-2.8211520000000001"/>
    <n v="20.651419000000001"/>
    <x v="2"/>
    <s v="Ericsson"/>
    <m/>
  </r>
  <r>
    <d v="2023-10-14T01:01:00"/>
    <d v="2023-10-14T01:01:00"/>
    <s v="ANT-0737"/>
    <n v="119"/>
    <n v="1.9833333333333334"/>
    <s v="Non Résolu"/>
    <x v="10"/>
    <n v="-2.8211520000000001"/>
    <n v="20.651419000000001"/>
    <x v="2"/>
    <s v="Ericsson"/>
    <m/>
  </r>
  <r>
    <d v="2023-10-16T06:55:00"/>
    <d v="2023-10-16T06:55:00"/>
    <s v="ANT-0099"/>
    <n v="109"/>
    <n v="1.8166666666666667"/>
    <s v="Résolu"/>
    <x v="10"/>
    <n v="-11.157245"/>
    <n v="21.262627999999999"/>
    <x v="2"/>
    <s v="ZTE"/>
    <m/>
  </r>
  <r>
    <d v="2023-10-16T16:55:00"/>
    <d v="2023-10-16T16:55:00"/>
    <s v="ANT-0494"/>
    <n v="107"/>
    <n v="1.7833333333333334"/>
    <s v="Résolu"/>
    <x v="10"/>
    <n v="-12.564277000000001"/>
    <n v="28.480798"/>
    <x v="2"/>
    <s v="ZTE"/>
    <m/>
  </r>
  <r>
    <d v="2023-10-19T09:10:00"/>
    <d v="2023-10-19T09:10:00"/>
    <s v="ANT-0737"/>
    <n v="81"/>
    <n v="1.35"/>
    <s v="Non Résolu"/>
    <x v="10"/>
    <n v="-2.8211520000000001"/>
    <n v="20.651419000000001"/>
    <x v="2"/>
    <s v="Ericsson"/>
    <m/>
  </r>
  <r>
    <d v="2023-10-20T11:26:00"/>
    <d v="2023-10-20T11:26:00"/>
    <s v="ANT-0737"/>
    <n v="57"/>
    <n v="0.95"/>
    <s v="Résolu"/>
    <x v="10"/>
    <n v="-2.8211520000000001"/>
    <n v="20.651419000000001"/>
    <x v="2"/>
    <s v="Ericsson"/>
    <m/>
  </r>
  <r>
    <d v="2023-10-20T13:40:00"/>
    <d v="2023-10-20T13:40:00"/>
    <s v="ANT-0679"/>
    <n v="96"/>
    <n v="1.6"/>
    <s v="Résolu"/>
    <x v="10"/>
    <n v="-7.1587569999999996"/>
    <n v="18.975141000000001"/>
    <x v="2"/>
    <s v="Ericsson"/>
    <m/>
  </r>
  <r>
    <d v="2023-10-20T16:24:00"/>
    <d v="2023-10-20T16:24:00"/>
    <s v="ANT-0481"/>
    <n v="99"/>
    <n v="1.65"/>
    <s v="Non Résolu"/>
    <x v="10"/>
    <n v="-9.5840350000000001"/>
    <n v="15.966024000000001"/>
    <x v="2"/>
    <s v="Nokia"/>
    <m/>
  </r>
  <r>
    <d v="2023-10-21T03:43:00"/>
    <d v="2023-10-21T03:43:00"/>
    <s v="ANT-0668"/>
    <n v="53"/>
    <n v="0.8833333333333333"/>
    <s v="Résolu"/>
    <x v="10"/>
    <n v="-9.8208710000000004"/>
    <n v="23.229807000000001"/>
    <x v="2"/>
    <s v="Nokia"/>
    <m/>
  </r>
  <r>
    <d v="2023-10-23T15:55:00"/>
    <d v="2023-10-23T15:55:00"/>
    <s v="ANT-0093"/>
    <n v="6"/>
    <n v="0.1"/>
    <s v="En Cours"/>
    <x v="10"/>
    <n v="2.975352"/>
    <n v="22.535886000000001"/>
    <x v="1"/>
    <s v="Huawei"/>
    <m/>
  </r>
  <r>
    <d v="2023-10-26T04:07:00"/>
    <d v="2023-10-26T04:07:00"/>
    <s v="ANT-0368"/>
    <n v="104"/>
    <n v="1.7333333333333334"/>
    <s v="Non Résolu"/>
    <x v="10"/>
    <n v="1.2463919999999999"/>
    <n v="13.266916999999999"/>
    <x v="2"/>
    <s v="Huawei"/>
    <m/>
  </r>
  <r>
    <d v="2023-10-31T00:57:00"/>
    <d v="2023-10-31T00:57:00"/>
    <s v="ANT-0718"/>
    <n v="117"/>
    <n v="1.95"/>
    <s v="Non Résolu"/>
    <x v="10"/>
    <n v="1.981107"/>
    <n v="23.932569000000001"/>
    <x v="0"/>
    <s v="Nokia"/>
    <m/>
  </r>
  <r>
    <d v="2023-10-31T07:17:00"/>
    <d v="2023-10-31T07:17:00"/>
    <s v="ANT-0668"/>
    <n v="83"/>
    <n v="1.3833333333333333"/>
    <s v="En Cours"/>
    <x v="10"/>
    <n v="-9.8208710000000004"/>
    <n v="23.229807000000001"/>
    <x v="2"/>
    <s v="Nokia"/>
    <m/>
  </r>
  <r>
    <d v="2023-10-31T11:37:00"/>
    <d v="2023-10-31T11:37:00"/>
    <s v="ANT-0494"/>
    <n v="37"/>
    <n v="0.6166666666666667"/>
    <s v="Non Résolu"/>
    <x v="10"/>
    <n v="-12.564277000000001"/>
    <n v="28.480798"/>
    <x v="2"/>
    <s v="ZTE"/>
    <m/>
  </r>
  <r>
    <d v="2023-10-07T12:57:00"/>
    <d v="2023-10-07T12:57:00"/>
    <s v="ANT-0134"/>
    <n v="43"/>
    <n v="0.71666666666666667"/>
    <s v="Résolu"/>
    <x v="11"/>
    <n v="-10.963041"/>
    <n v="12.269857"/>
    <x v="1"/>
    <s v="Huawei"/>
    <m/>
  </r>
  <r>
    <d v="2023-10-08T23:42:00"/>
    <d v="2023-10-08T23:42:00"/>
    <s v="ANT-0373"/>
    <n v="15"/>
    <n v="0.25"/>
    <s v="Non Résolu"/>
    <x v="11"/>
    <n v="-9.0798120000000004"/>
    <n v="14.945484"/>
    <x v="2"/>
    <s v="Ericsson"/>
    <m/>
  </r>
  <r>
    <d v="2023-10-10T20:27:00"/>
    <d v="2023-10-10T20:27:00"/>
    <s v="ANT-0991"/>
    <n v="91"/>
    <n v="1.5166666666666666"/>
    <s v="En Cours"/>
    <x v="11"/>
    <n v="-12.431227"/>
    <n v="18.414290999999999"/>
    <x v="2"/>
    <s v="Huawei"/>
    <m/>
  </r>
  <r>
    <d v="2023-10-11T00:45:00"/>
    <d v="2023-10-11T00:45:00"/>
    <s v="ANT-0373"/>
    <n v="63"/>
    <n v="1.05"/>
    <s v="En Cours"/>
    <x v="11"/>
    <n v="-9.0798120000000004"/>
    <n v="14.945484"/>
    <x v="2"/>
    <s v="Ericsson"/>
    <m/>
  </r>
  <r>
    <d v="2023-10-13T07:28:00"/>
    <d v="2023-10-13T07:28:00"/>
    <s v="ANT-0183"/>
    <n v="79"/>
    <n v="1.3166666666666667"/>
    <s v="Résolu"/>
    <x v="11"/>
    <n v="4.8319039999999998"/>
    <n v="20.733468999999999"/>
    <x v="2"/>
    <s v="Ericsson"/>
    <m/>
  </r>
  <r>
    <d v="2023-10-13T21:38:00"/>
    <d v="2023-10-13T21:38:00"/>
    <s v="ANT-0134"/>
    <n v="58"/>
    <n v="0.96666666666666667"/>
    <s v="Résolu"/>
    <x v="11"/>
    <n v="-10.963041"/>
    <n v="12.269857"/>
    <x v="1"/>
    <s v="Huawei"/>
    <m/>
  </r>
  <r>
    <d v="2023-10-14T07:28:00"/>
    <d v="2023-10-14T07:28:00"/>
    <s v="ANT-0183"/>
    <n v="22"/>
    <n v="0.36666666666666664"/>
    <s v="Non Résolu"/>
    <x v="11"/>
    <n v="4.8319039999999998"/>
    <n v="20.733468999999999"/>
    <x v="2"/>
    <s v="Ericsson"/>
    <m/>
  </r>
  <r>
    <d v="2023-10-19T00:55:00"/>
    <d v="2023-10-19T00:55:00"/>
    <s v="ANT-0708"/>
    <n v="6"/>
    <n v="0.1"/>
    <s v="Résolu"/>
    <x v="11"/>
    <n v="-9.7712979999999998"/>
    <n v="19.827895999999999"/>
    <x v="0"/>
    <s v="ZTE"/>
    <m/>
  </r>
  <r>
    <d v="2023-10-19T06:52:00"/>
    <d v="2023-10-19T06:52:00"/>
    <s v="ANT-0612"/>
    <n v="89"/>
    <n v="1.4833333333333334"/>
    <s v="Résolu"/>
    <x v="11"/>
    <n v="-7.5129409999999996"/>
    <n v="18.701522000000001"/>
    <x v="1"/>
    <s v="Nokia"/>
    <m/>
  </r>
  <r>
    <d v="2023-10-20T02:43:00"/>
    <d v="2023-10-20T02:43:00"/>
    <s v="ANT-0708"/>
    <n v="19"/>
    <n v="0.31666666666666665"/>
    <s v="Résolu"/>
    <x v="11"/>
    <n v="-9.7712979999999998"/>
    <n v="19.827895999999999"/>
    <x v="0"/>
    <s v="ZTE"/>
    <m/>
  </r>
  <r>
    <d v="2023-10-22T04:45:00"/>
    <d v="2023-10-22T04:45:00"/>
    <s v="ANT-0612"/>
    <n v="61"/>
    <n v="1.0166666666666666"/>
    <s v="En Cours"/>
    <x v="11"/>
    <n v="-7.5129409999999996"/>
    <n v="18.701522000000001"/>
    <x v="1"/>
    <s v="Nokia"/>
    <m/>
  </r>
  <r>
    <d v="2023-10-22T13:25:00"/>
    <d v="2023-10-22T13:25:00"/>
    <s v="ANT-0843"/>
    <n v="22"/>
    <n v="0.36666666666666664"/>
    <s v="Résolu"/>
    <x v="11"/>
    <n v="0.65288900000000005"/>
    <n v="24.243953999999999"/>
    <x v="2"/>
    <s v="Ericsson"/>
    <m/>
  </r>
  <r>
    <d v="2023-10-25T00:15:00"/>
    <d v="2023-10-25T00:15:00"/>
    <s v="ANT-0708"/>
    <n v="114"/>
    <n v="1.9"/>
    <s v="En Cours"/>
    <x v="11"/>
    <n v="-9.7712979999999998"/>
    <n v="19.827895999999999"/>
    <x v="0"/>
    <s v="ZTE"/>
    <m/>
  </r>
  <r>
    <d v="2023-10-26T09:46:00"/>
    <d v="2023-10-26T09:46:00"/>
    <s v="ANT-0677"/>
    <n v="74"/>
    <n v="1.2333333333333334"/>
    <s v="Résolu"/>
    <x v="11"/>
    <n v="-4.6957509999999996"/>
    <n v="14.233525999999999"/>
    <x v="1"/>
    <s v="Nokia"/>
    <m/>
  </r>
  <r>
    <d v="2023-10-26T22:46:00"/>
    <d v="2023-10-26T22:46:00"/>
    <s v="ANT-0386"/>
    <n v="30"/>
    <n v="0.5"/>
    <s v="Résolu"/>
    <x v="11"/>
    <n v="-10.653247"/>
    <n v="14.685601"/>
    <x v="1"/>
    <s v="Ericsson"/>
    <m/>
  </r>
  <r>
    <d v="2023-10-29T14:55:00"/>
    <d v="2023-10-29T14:55:00"/>
    <s v="ANT-0134"/>
    <n v="98"/>
    <n v="1.6333333333333333"/>
    <s v="En Cours"/>
    <x v="11"/>
    <n v="-10.963041"/>
    <n v="12.269857"/>
    <x v="1"/>
    <s v="Huawei"/>
    <m/>
  </r>
  <r>
    <d v="2023-10-01T12:16:00"/>
    <d v="2023-10-01T12:16:00"/>
    <s v="ANT-0430"/>
    <n v="22"/>
    <n v="0.36666666666666664"/>
    <s v="En Cours"/>
    <x v="12"/>
    <n v="-10.939712999999999"/>
    <n v="18.276230999999999"/>
    <x v="1"/>
    <s v="ZTE"/>
    <m/>
  </r>
  <r>
    <d v="2023-10-03T09:02:00"/>
    <d v="2023-10-03T09:02:00"/>
    <s v="ANT-0524"/>
    <n v="28"/>
    <n v="0.46666666666666667"/>
    <s v="Résolu"/>
    <x v="12"/>
    <n v="-7.402336"/>
    <n v="27.376697"/>
    <x v="1"/>
    <s v="Huawei"/>
    <m/>
  </r>
  <r>
    <d v="2023-10-04T12:32:00"/>
    <d v="2023-10-04T12:32:00"/>
    <s v="ANT-0524"/>
    <n v="11"/>
    <n v="0.18333333333333332"/>
    <s v="Non Résolu"/>
    <x v="12"/>
    <n v="-7.402336"/>
    <n v="27.376697"/>
    <x v="1"/>
    <s v="Huawei"/>
    <m/>
  </r>
  <r>
    <d v="2023-10-05T14:11:00"/>
    <d v="2023-10-05T14:11:00"/>
    <s v="ANT-0530"/>
    <n v="108"/>
    <n v="1.8"/>
    <s v="Non Résolu"/>
    <x v="12"/>
    <n v="-8.5675749999999997"/>
    <n v="26.994581"/>
    <x v="0"/>
    <s v="Nokia"/>
    <m/>
  </r>
  <r>
    <d v="2023-10-08T03:03:00"/>
    <d v="2023-10-08T03:03:00"/>
    <s v="ANT-0530"/>
    <n v="38"/>
    <n v="0.6333333333333333"/>
    <s v="Résolu"/>
    <x v="12"/>
    <n v="-8.5675749999999997"/>
    <n v="26.994581"/>
    <x v="0"/>
    <s v="Nokia"/>
    <m/>
  </r>
  <r>
    <d v="2023-10-09T20:44:00"/>
    <d v="2023-10-09T20:44:00"/>
    <s v="ANT-0952"/>
    <n v="92"/>
    <n v="1.5333333333333334"/>
    <s v="Résolu"/>
    <x v="12"/>
    <n v="-0.77432100000000004"/>
    <n v="18.628658999999999"/>
    <x v="1"/>
    <s v="Huawei"/>
    <m/>
  </r>
  <r>
    <d v="2023-10-10T12:35:00"/>
    <d v="2023-10-10T12:35:00"/>
    <s v="ANT-0770"/>
    <n v="27"/>
    <n v="0.45"/>
    <s v="En Cours"/>
    <x v="12"/>
    <n v="2.4741019999999998"/>
    <n v="29.297391000000001"/>
    <x v="1"/>
    <s v="Ericsson"/>
    <m/>
  </r>
  <r>
    <d v="2023-10-13T10:44:00"/>
    <d v="2023-10-13T10:44:00"/>
    <s v="ANT-0524"/>
    <n v="88"/>
    <n v="1.4666666666666666"/>
    <s v="Non Résolu"/>
    <x v="12"/>
    <n v="-7.402336"/>
    <n v="27.376697"/>
    <x v="1"/>
    <s v="Huawei"/>
    <m/>
  </r>
  <r>
    <d v="2023-10-13T18:07:00"/>
    <d v="2023-10-13T18:07:00"/>
    <s v="ANT-0770"/>
    <n v="112"/>
    <n v="1.8666666666666667"/>
    <s v="En Cours"/>
    <x v="12"/>
    <n v="2.4741019999999998"/>
    <n v="29.297391000000001"/>
    <x v="1"/>
    <s v="Ericsson"/>
    <m/>
  </r>
  <r>
    <d v="2023-10-13T21:01:00"/>
    <d v="2023-10-13T21:01:00"/>
    <s v="ANT-0132"/>
    <n v="23"/>
    <n v="0.38333333333333336"/>
    <s v="Résolu"/>
    <x v="12"/>
    <n v="1.2691650000000001"/>
    <n v="18.789956"/>
    <x v="0"/>
    <s v="Nokia"/>
    <m/>
  </r>
  <r>
    <d v="2023-10-14T03:29:00"/>
    <d v="2023-10-14T03:29:00"/>
    <s v="ANT-0430"/>
    <n v="105"/>
    <n v="1.75"/>
    <s v="Non Résolu"/>
    <x v="12"/>
    <n v="-10.939712999999999"/>
    <n v="18.276230999999999"/>
    <x v="1"/>
    <s v="ZTE"/>
    <m/>
  </r>
  <r>
    <d v="2023-10-15T17:41:00"/>
    <d v="2023-10-15T17:41:00"/>
    <s v="ANT-0363"/>
    <n v="34"/>
    <n v="0.56666666666666665"/>
    <s v="En Cours"/>
    <x v="12"/>
    <n v="5.3608999999999997E-2"/>
    <n v="28.346852999999999"/>
    <x v="0"/>
    <s v="ZTE"/>
    <m/>
  </r>
  <r>
    <d v="2023-10-17T21:40:00"/>
    <d v="2023-10-17T21:40:00"/>
    <s v="ANT-0642"/>
    <n v="20"/>
    <n v="0.33333333333333331"/>
    <s v="En Cours"/>
    <x v="12"/>
    <n v="-4.2408359999999998"/>
    <n v="26.210014000000001"/>
    <x v="1"/>
    <s v="Huawei"/>
    <m/>
  </r>
  <r>
    <d v="2023-10-18T11:22:00"/>
    <d v="2023-10-18T11:22:00"/>
    <s v="ANT-0530"/>
    <n v="37"/>
    <n v="0.6166666666666667"/>
    <s v="En Cours"/>
    <x v="12"/>
    <n v="-8.5675749999999997"/>
    <n v="26.994581"/>
    <x v="0"/>
    <s v="Nokia"/>
    <m/>
  </r>
  <r>
    <d v="2023-10-19T15:10:00"/>
    <d v="2023-10-19T15:10:00"/>
    <s v="ANT-0952"/>
    <n v="42"/>
    <n v="0.7"/>
    <s v="Non Résolu"/>
    <x v="12"/>
    <n v="-0.77432100000000004"/>
    <n v="18.628658999999999"/>
    <x v="1"/>
    <s v="Huawei"/>
    <m/>
  </r>
  <r>
    <d v="2023-10-21T19:29:00"/>
    <d v="2023-10-21T19:29:00"/>
    <s v="ANT-0458"/>
    <n v="100"/>
    <n v="1.6666666666666667"/>
    <s v="En Cours"/>
    <x v="12"/>
    <n v="-0.98830399999999996"/>
    <n v="28.099966999999999"/>
    <x v="0"/>
    <s v="Huawei"/>
    <m/>
  </r>
  <r>
    <d v="2023-10-22T04:01:00"/>
    <d v="2023-10-22T04:01:00"/>
    <s v="ANT-0770"/>
    <n v="78"/>
    <n v="1.3"/>
    <s v="Non Résolu"/>
    <x v="12"/>
    <n v="2.4741019999999998"/>
    <n v="29.297391000000001"/>
    <x v="1"/>
    <s v="Ericsson"/>
    <m/>
  </r>
  <r>
    <d v="2023-10-28T02:12:00"/>
    <d v="2023-10-28T02:12:00"/>
    <s v="ANT-0184"/>
    <n v="112"/>
    <n v="1.8666666666666667"/>
    <s v="Résolu"/>
    <x v="12"/>
    <n v="-10.161428000000001"/>
    <n v="19.362325999999999"/>
    <x v="0"/>
    <s v="Nokia"/>
    <m/>
  </r>
  <r>
    <d v="2023-10-29T03:49:00"/>
    <d v="2023-10-29T03:49:00"/>
    <s v="ANT-0238"/>
    <n v="30"/>
    <n v="0.5"/>
    <s v="Résolu"/>
    <x v="12"/>
    <n v="0.62055499999999997"/>
    <n v="21.222035000000002"/>
    <x v="2"/>
    <s v="Nokia"/>
    <m/>
  </r>
  <r>
    <d v="2023-10-31T09:49:00"/>
    <d v="2023-10-31T09:49:00"/>
    <s v="ANT-0238"/>
    <n v="80"/>
    <n v="1.3333333333333333"/>
    <s v="Non Résolu"/>
    <x v="12"/>
    <n v="0.62055499999999997"/>
    <n v="21.222035000000002"/>
    <x v="2"/>
    <s v="Nokia"/>
    <m/>
  </r>
  <r>
    <d v="2023-10-01T11:12:00"/>
    <d v="2023-10-01T11:12:00"/>
    <s v="ANT-0268"/>
    <n v="31"/>
    <n v="0.51666666666666672"/>
    <s v="Non Résolu"/>
    <x v="13"/>
    <n v="-9.5619429999999994"/>
    <n v="21.445726000000001"/>
    <x v="1"/>
    <s v="Nokia"/>
    <m/>
  </r>
  <r>
    <d v="2023-10-02T07:02:00"/>
    <d v="2023-10-02T07:02:00"/>
    <s v="ANT-0268"/>
    <n v="95"/>
    <n v="1.5833333333333333"/>
    <s v="En Cours"/>
    <x v="13"/>
    <n v="-9.5619429999999994"/>
    <n v="21.445726000000001"/>
    <x v="1"/>
    <s v="Nokia"/>
    <m/>
  </r>
  <r>
    <d v="2023-10-05T06:48:00"/>
    <d v="2023-10-05T06:48:00"/>
    <s v="ANT-0641"/>
    <n v="11"/>
    <n v="0.18333333333333332"/>
    <s v="En Cours"/>
    <x v="13"/>
    <n v="-2.2371569999999998"/>
    <n v="25.926188"/>
    <x v="0"/>
    <s v="Nokia"/>
    <m/>
  </r>
  <r>
    <d v="2023-10-06T08:17:00"/>
    <d v="2023-10-06T08:17:00"/>
    <s v="ANT-0994"/>
    <n v="109"/>
    <n v="1.8166666666666667"/>
    <s v="Non Résolu"/>
    <x v="13"/>
    <n v="-2.2681789999999999"/>
    <n v="25.699068"/>
    <x v="0"/>
    <s v="ZTE"/>
    <m/>
  </r>
  <r>
    <d v="2023-10-09T01:46:00"/>
    <d v="2023-10-09T01:46:00"/>
    <s v="ANT-0520"/>
    <n v="85"/>
    <n v="1.4166666666666667"/>
    <s v="Non Résolu"/>
    <x v="13"/>
    <n v="-8.4227860000000003"/>
    <n v="16.781293000000002"/>
    <x v="1"/>
    <s v="Huawei"/>
    <m/>
  </r>
  <r>
    <d v="2023-10-11T21:07:00"/>
    <d v="2023-10-11T21:07:00"/>
    <s v="ANT-0484"/>
    <n v="53"/>
    <n v="0.8833333333333333"/>
    <s v="Résolu"/>
    <x v="13"/>
    <n v="-7.8770429999999996"/>
    <n v="16.357762999999998"/>
    <x v="1"/>
    <s v="Ericsson"/>
    <m/>
  </r>
  <r>
    <d v="2023-10-14T12:27:00"/>
    <d v="2023-10-14T12:27:00"/>
    <s v="ANT-0533"/>
    <n v="88"/>
    <n v="1.4666666666666666"/>
    <s v="Non Résolu"/>
    <x v="13"/>
    <n v="4.8265669999999998"/>
    <n v="28.535277000000001"/>
    <x v="0"/>
    <s v="Huawei"/>
    <m/>
  </r>
  <r>
    <d v="2023-10-15T16:25:00"/>
    <d v="2023-10-15T16:25:00"/>
    <s v="ANT-0914"/>
    <n v="119"/>
    <n v="1.9833333333333334"/>
    <s v="En Cours"/>
    <x v="13"/>
    <n v="-11.218453999999999"/>
    <n v="28.230025000000001"/>
    <x v="2"/>
    <s v="ZTE"/>
    <m/>
  </r>
  <r>
    <d v="2023-10-16T09:02:00"/>
    <d v="2023-10-16T09:02:00"/>
    <s v="ANT-0641"/>
    <n v="65"/>
    <n v="1.0833333333333333"/>
    <s v="En Cours"/>
    <x v="13"/>
    <n v="-2.2371569999999998"/>
    <n v="25.926188"/>
    <x v="0"/>
    <s v="Nokia"/>
    <m/>
  </r>
  <r>
    <d v="2023-10-17T02:16:00"/>
    <d v="2023-10-17T02:16:00"/>
    <s v="ANT-0533"/>
    <n v="74"/>
    <n v="1.2333333333333334"/>
    <s v="Résolu"/>
    <x v="13"/>
    <n v="4.8265669999999998"/>
    <n v="28.535277000000001"/>
    <x v="0"/>
    <s v="Huawei"/>
    <m/>
  </r>
  <r>
    <d v="2023-10-19T08:51:00"/>
    <d v="2023-10-19T08:51:00"/>
    <s v="ANT-0520"/>
    <n v="70"/>
    <n v="1.1666666666666667"/>
    <s v="Résolu"/>
    <x v="13"/>
    <n v="-8.4227860000000003"/>
    <n v="16.781293000000002"/>
    <x v="1"/>
    <s v="Huawei"/>
    <m/>
  </r>
  <r>
    <d v="2023-10-20T02:29:00"/>
    <d v="2023-10-20T02:29:00"/>
    <s v="ANT-0293"/>
    <n v="72"/>
    <n v="1.2"/>
    <s v="Non Résolu"/>
    <x v="13"/>
    <n v="-5.7035130000000001"/>
    <n v="14.331479"/>
    <x v="2"/>
    <s v="Nokia"/>
    <m/>
  </r>
  <r>
    <d v="2023-10-20T10:05:00"/>
    <d v="2023-10-20T10:05:00"/>
    <s v="ANT-0245"/>
    <n v="63"/>
    <n v="1.05"/>
    <s v="En Cours"/>
    <x v="13"/>
    <n v="-9.9875139999999991"/>
    <n v="12.013676999999999"/>
    <x v="0"/>
    <s v="ZTE"/>
    <m/>
  </r>
  <r>
    <d v="2023-10-23T15:40:00"/>
    <d v="2023-10-23T15:40:00"/>
    <s v="ANT-0032"/>
    <n v="46"/>
    <n v="0.76666666666666672"/>
    <s v="En Cours"/>
    <x v="13"/>
    <n v="-11.266565999999999"/>
    <n v="26.245055000000001"/>
    <x v="0"/>
    <s v="Ericsson"/>
    <m/>
  </r>
  <r>
    <d v="2023-10-25T11:35:00"/>
    <d v="2023-10-25T11:35:00"/>
    <s v="ANT-0641"/>
    <n v="95"/>
    <n v="1.5833333333333333"/>
    <s v="Non Résolu"/>
    <x v="13"/>
    <n v="-2.2371569999999998"/>
    <n v="25.926188"/>
    <x v="0"/>
    <s v="Nokia"/>
    <m/>
  </r>
  <r>
    <d v="2023-10-27T02:25:00"/>
    <d v="2023-10-27T02:25:00"/>
    <s v="ANT-0994"/>
    <n v="110"/>
    <n v="1.8333333333333333"/>
    <s v="Non Résolu"/>
    <x v="13"/>
    <n v="-2.2681789999999999"/>
    <n v="25.699068"/>
    <x v="0"/>
    <s v="ZTE"/>
    <m/>
  </r>
  <r>
    <d v="2023-10-30T17:43:00"/>
    <d v="2023-10-30T17:43:00"/>
    <s v="ANT-0914"/>
    <n v="36"/>
    <n v="0.6"/>
    <s v="Non Résolu"/>
    <x v="13"/>
    <n v="-11.218453999999999"/>
    <n v="28.230025000000001"/>
    <x v="2"/>
    <s v="ZTE"/>
    <m/>
  </r>
  <r>
    <d v="2023-10-31T05:29:00"/>
    <d v="2023-10-31T05:29:00"/>
    <s v="ANT-0293"/>
    <n v="39"/>
    <n v="0.65"/>
    <s v="En Cours"/>
    <x v="13"/>
    <n v="-5.7035130000000001"/>
    <n v="14.331479"/>
    <x v="2"/>
    <s v="Nokia"/>
    <m/>
  </r>
  <r>
    <d v="2023-10-05T06:21:00"/>
    <d v="2023-10-05T06:21:00"/>
    <s v="ANT-0232"/>
    <n v="90"/>
    <n v="1.5"/>
    <s v="En Cours"/>
    <x v="14"/>
    <n v="2.0392079999999999"/>
    <n v="19.090841999999999"/>
    <x v="1"/>
    <s v="Nokia"/>
    <m/>
  </r>
  <r>
    <d v="2023-10-08T03:35:00"/>
    <d v="2023-10-08T03:35:00"/>
    <s v="ANT-0845"/>
    <n v="101"/>
    <n v="1.6833333333333333"/>
    <s v="En Cours"/>
    <x v="14"/>
    <n v="-10.872631999999999"/>
    <n v="12.773279"/>
    <x v="0"/>
    <s v="ZTE"/>
    <m/>
  </r>
  <r>
    <d v="2023-10-09T12:41:00"/>
    <d v="2023-10-09T12:41:00"/>
    <s v="ANT-0845"/>
    <n v="33"/>
    <n v="0.55000000000000004"/>
    <s v="Non Résolu"/>
    <x v="14"/>
    <n v="-10.872631999999999"/>
    <n v="12.773279"/>
    <x v="0"/>
    <s v="ZTE"/>
    <m/>
  </r>
  <r>
    <d v="2023-10-10T18:39:00"/>
    <d v="2023-10-10T18:39:00"/>
    <s v="ANT-0424"/>
    <n v="40"/>
    <n v="0.66666666666666663"/>
    <s v="En Cours"/>
    <x v="14"/>
    <n v="-9.5243310000000001"/>
    <n v="30.541212000000002"/>
    <x v="0"/>
    <s v="Ericsson"/>
    <m/>
  </r>
  <r>
    <d v="2023-10-10T21:34:00"/>
    <d v="2023-10-10T21:34:00"/>
    <s v="ANT-0845"/>
    <n v="29"/>
    <n v="0.48333333333333334"/>
    <s v="Non Résolu"/>
    <x v="14"/>
    <n v="-10.872631999999999"/>
    <n v="12.773279"/>
    <x v="0"/>
    <s v="ZTE"/>
    <m/>
  </r>
  <r>
    <d v="2023-10-11T08:48:00"/>
    <d v="2023-10-11T08:48:00"/>
    <s v="ANT-0869"/>
    <n v="67"/>
    <n v="1.1166666666666667"/>
    <s v="Non Résolu"/>
    <x v="14"/>
    <n v="-8.0301989999999996"/>
    <n v="24.122495000000001"/>
    <x v="2"/>
    <s v="ZTE"/>
    <m/>
  </r>
  <r>
    <d v="2023-10-11T10:48:00"/>
    <d v="2023-10-11T10:48:00"/>
    <s v="ANT-0088"/>
    <n v="66"/>
    <n v="1.1000000000000001"/>
    <s v="Résolu"/>
    <x v="14"/>
    <n v="-9.7803979999999999"/>
    <n v="17.686595000000001"/>
    <x v="1"/>
    <s v="Ericsson"/>
    <m/>
  </r>
  <r>
    <d v="2023-10-12T07:36:00"/>
    <d v="2023-10-12T07:36:00"/>
    <s v="ANT-0446"/>
    <n v="93"/>
    <n v="1.55"/>
    <s v="En Cours"/>
    <x v="14"/>
    <n v="1.286548"/>
    <n v="29.823702999999998"/>
    <x v="1"/>
    <s v="ZTE"/>
    <m/>
  </r>
  <r>
    <d v="2023-10-15T23:03:00"/>
    <d v="2023-10-15T23:03:00"/>
    <s v="ANT-0258"/>
    <n v="38"/>
    <n v="0.6333333333333333"/>
    <s v="Résolu"/>
    <x v="14"/>
    <n v="-11.710407999999999"/>
    <n v="23.741330999999999"/>
    <x v="0"/>
    <s v="Huawei"/>
    <m/>
  </r>
  <r>
    <d v="2023-10-17T04:24:00"/>
    <d v="2023-10-17T04:24:00"/>
    <s v="ANT-0515"/>
    <n v="67"/>
    <n v="1.1166666666666667"/>
    <s v="Non Résolu"/>
    <x v="14"/>
    <n v="-10.967288"/>
    <n v="17.617781000000001"/>
    <x v="1"/>
    <s v="Ericsson"/>
    <m/>
  </r>
  <r>
    <d v="2023-10-17T17:31:00"/>
    <d v="2023-10-17T17:31:00"/>
    <s v="ANT-0424"/>
    <n v="78"/>
    <n v="1.3"/>
    <s v="Non Résolu"/>
    <x v="14"/>
    <n v="-9.5243310000000001"/>
    <n v="30.541212000000002"/>
    <x v="0"/>
    <s v="Ericsson"/>
    <m/>
  </r>
  <r>
    <d v="2023-10-18T23:59:00"/>
    <d v="2023-10-18T23:59:00"/>
    <s v="ANT-0515"/>
    <n v="38"/>
    <n v="0.6333333333333333"/>
    <s v="Non Résolu"/>
    <x v="14"/>
    <n v="-10.967288"/>
    <n v="17.617781000000001"/>
    <x v="1"/>
    <s v="Ericsson"/>
    <m/>
  </r>
  <r>
    <d v="2023-10-21T18:06:00"/>
    <d v="2023-10-21T18:06:00"/>
    <s v="ANT-0088"/>
    <n v="85"/>
    <n v="1.4166666666666667"/>
    <s v="Résolu"/>
    <x v="14"/>
    <n v="-9.7803979999999999"/>
    <n v="17.686595000000001"/>
    <x v="1"/>
    <s v="Ericsson"/>
    <m/>
  </r>
  <r>
    <d v="2023-10-22T01:11:00"/>
    <d v="2023-10-22T01:11:00"/>
    <s v="ANT-0446"/>
    <n v="53"/>
    <n v="0.8833333333333333"/>
    <s v="Non Résolu"/>
    <x v="14"/>
    <n v="1.286548"/>
    <n v="29.823702999999998"/>
    <x v="1"/>
    <s v="ZTE"/>
    <m/>
  </r>
  <r>
    <d v="2023-10-24T14:40:00"/>
    <d v="2023-10-24T14:40:00"/>
    <s v="ANT-0869"/>
    <n v="88"/>
    <n v="1.4666666666666666"/>
    <s v="Résolu"/>
    <x v="14"/>
    <n v="-8.0301989999999996"/>
    <n v="24.122495000000001"/>
    <x v="2"/>
    <s v="ZTE"/>
    <m/>
  </r>
  <r>
    <d v="2023-10-27T23:09:00"/>
    <d v="2023-10-27T23:09:00"/>
    <s v="ANT-0580"/>
    <n v="27"/>
    <n v="0.45"/>
    <s v="Non Résolu"/>
    <x v="14"/>
    <n v="-11.354772000000001"/>
    <n v="21.957325999999998"/>
    <x v="0"/>
    <s v="Nokia"/>
    <m/>
  </r>
  <r>
    <d v="2023-10-29T16:08:00"/>
    <d v="2023-10-29T16:08:00"/>
    <s v="ANT-0232"/>
    <n v="106"/>
    <n v="1.7666666666666666"/>
    <s v="Résolu"/>
    <x v="14"/>
    <n v="2.0392079999999999"/>
    <n v="19.090841999999999"/>
    <x v="1"/>
    <s v="Nokia"/>
    <m/>
  </r>
  <r>
    <d v="2023-10-29T17:57:00"/>
    <d v="2023-10-29T17:57:00"/>
    <s v="ANT-0869"/>
    <n v="27"/>
    <n v="0.45"/>
    <s v="Résolu"/>
    <x v="14"/>
    <n v="-8.0301989999999996"/>
    <n v="24.122495000000001"/>
    <x v="2"/>
    <s v="ZTE"/>
    <m/>
  </r>
  <r>
    <d v="2023-10-30T09:24:00"/>
    <d v="2023-10-30T09:24:00"/>
    <s v="ANT-0515"/>
    <n v="28"/>
    <n v="0.46666666666666667"/>
    <s v="En Cours"/>
    <x v="14"/>
    <n v="-10.967288"/>
    <n v="17.617781000000001"/>
    <x v="1"/>
    <s v="Ericsson"/>
    <m/>
  </r>
  <r>
    <d v="2023-10-31T02:52:00"/>
    <d v="2023-10-31T02:52:00"/>
    <s v="ANT-0424"/>
    <n v="8"/>
    <n v="0.13333333333333333"/>
    <s v="Non Résolu"/>
    <x v="14"/>
    <n v="-9.5243310000000001"/>
    <n v="30.541212000000002"/>
    <x v="0"/>
    <s v="Ericsson"/>
    <m/>
  </r>
  <r>
    <d v="2023-10-02T19:47:00"/>
    <d v="2023-10-02T19:47:00"/>
    <s v="ANT-0056"/>
    <n v="28"/>
    <n v="0.46666666666666667"/>
    <s v="Non Résolu"/>
    <x v="15"/>
    <n v="-9.3652280000000001"/>
    <n v="18.674116000000001"/>
    <x v="1"/>
    <s v="Huawei"/>
    <m/>
  </r>
  <r>
    <d v="2023-10-03T20:27:00"/>
    <d v="2023-10-03T20:27:00"/>
    <s v="ANT-0011"/>
    <n v="83"/>
    <n v="1.3833333333333333"/>
    <s v="Résolu"/>
    <x v="15"/>
    <n v="-1.607639"/>
    <n v="17.003636"/>
    <x v="1"/>
    <s v="Ericsson"/>
    <m/>
  </r>
  <r>
    <d v="2023-10-07T05:36:00"/>
    <d v="2023-10-07T05:36:00"/>
    <s v="ANT-0431"/>
    <n v="26"/>
    <n v="0.43333333333333335"/>
    <s v="En Cours"/>
    <x v="15"/>
    <n v="-4.6311460000000002"/>
    <n v="25.314723000000001"/>
    <x v="1"/>
    <s v="Huawei"/>
    <m/>
  </r>
  <r>
    <d v="2023-10-07T22:58:00"/>
    <d v="2023-10-07T22:58:00"/>
    <s v="ANT-0056"/>
    <n v="32"/>
    <n v="0.53333333333333333"/>
    <s v="Non Résolu"/>
    <x v="15"/>
    <n v="-9.3652280000000001"/>
    <n v="18.674116000000001"/>
    <x v="1"/>
    <s v="Huawei"/>
    <m/>
  </r>
  <r>
    <d v="2023-10-15T16:45:00"/>
    <d v="2023-10-15T16:45:00"/>
    <s v="ANT-0236"/>
    <n v="98"/>
    <n v="1.6333333333333333"/>
    <s v="En Cours"/>
    <x v="15"/>
    <n v="-12.192204"/>
    <n v="28.468682000000001"/>
    <x v="0"/>
    <s v="ZTE"/>
    <m/>
  </r>
  <r>
    <d v="2023-10-24T13:41:00"/>
    <d v="2023-10-24T13:41:00"/>
    <s v="ANT-0056"/>
    <n v="10"/>
    <n v="0.16666666666666666"/>
    <s v="Non Résolu"/>
    <x v="15"/>
    <n v="-9.3652280000000001"/>
    <n v="18.674116000000001"/>
    <x v="1"/>
    <s v="Huawei"/>
    <m/>
  </r>
  <r>
    <d v="2023-10-25T13:38:00"/>
    <d v="2023-10-25T13:38:00"/>
    <s v="ANT-0002"/>
    <n v="27"/>
    <n v="0.45"/>
    <s v="Résolu"/>
    <x v="15"/>
    <n v="-10.442425"/>
    <n v="23.243632000000002"/>
    <x v="1"/>
    <s v="Nokia"/>
    <m/>
  </r>
  <r>
    <d v="2023-10-25T23:36:00"/>
    <d v="2023-10-25T23:36:00"/>
    <s v="ANT-0056"/>
    <n v="107"/>
    <n v="1.7833333333333334"/>
    <s v="En Cours"/>
    <x v="15"/>
    <n v="-9.3652280000000001"/>
    <n v="18.674116000000001"/>
    <x v="1"/>
    <s v="Huawei"/>
    <m/>
  </r>
  <r>
    <d v="2023-10-26T05:10:00"/>
    <d v="2023-10-26T05:10:00"/>
    <s v="ANT-0375"/>
    <n v="41"/>
    <n v="0.68333333333333335"/>
    <s v="En Cours"/>
    <x v="15"/>
    <n v="-4.9552579999999997"/>
    <n v="22.008103999999999"/>
    <x v="1"/>
    <s v="Huawei"/>
    <m/>
  </r>
  <r>
    <d v="2023-10-26T14:58:00"/>
    <d v="2023-10-26T14:58:00"/>
    <s v="ANT-0549"/>
    <n v="22"/>
    <n v="0.36666666666666664"/>
    <s v="Résolu"/>
    <x v="15"/>
    <n v="-0.47411900000000001"/>
    <n v="27.184329000000002"/>
    <x v="2"/>
    <s v="ZTE"/>
    <m/>
  </r>
  <r>
    <d v="2023-10-28T18:41:00"/>
    <d v="2023-10-28T18:41:00"/>
    <s v="ANT-0549"/>
    <n v="67"/>
    <n v="1.1166666666666667"/>
    <s v="En Cours"/>
    <x v="15"/>
    <n v="-0.47411900000000001"/>
    <n v="27.184329000000002"/>
    <x v="2"/>
    <s v="ZTE"/>
    <m/>
  </r>
  <r>
    <d v="2023-10-03T18:44:00"/>
    <d v="2023-10-03T18:44:00"/>
    <s v="ANT-0250"/>
    <n v="53"/>
    <n v="0.8833333333333333"/>
    <s v="En Cours"/>
    <x v="16"/>
    <n v="-2.3743210000000001"/>
    <n v="22.399491000000001"/>
    <x v="2"/>
    <s v="Ericsson"/>
    <m/>
  </r>
  <r>
    <d v="2023-10-04T18:01:00"/>
    <d v="2023-10-04T18:01:00"/>
    <s v="ANT-0302"/>
    <n v="64"/>
    <n v="1.0666666666666667"/>
    <s v="En Cours"/>
    <x v="16"/>
    <n v="-4.6818410000000004"/>
    <n v="17.541618"/>
    <x v="1"/>
    <s v="Ericsson"/>
    <m/>
  </r>
  <r>
    <d v="2023-10-05T00:16:00"/>
    <d v="2023-10-05T00:16:00"/>
    <s v="ANT-0579"/>
    <n v="12"/>
    <n v="0.2"/>
    <s v="Non Résolu"/>
    <x v="16"/>
    <n v="-1.6488929999999999"/>
    <n v="27.284617000000001"/>
    <x v="2"/>
    <s v="Nokia"/>
    <m/>
  </r>
  <r>
    <d v="2023-10-07T08:42:00"/>
    <d v="2023-10-07T08:42:00"/>
    <s v="ANT-0531"/>
    <n v="60"/>
    <n v="1"/>
    <s v="En Cours"/>
    <x v="16"/>
    <n v="-4.2645619999999997"/>
    <n v="18.960726000000001"/>
    <x v="1"/>
    <s v="Huawei"/>
    <m/>
  </r>
  <r>
    <d v="2023-10-10T12:45:00"/>
    <d v="2023-10-10T12:45:00"/>
    <s v="ANT-0986"/>
    <n v="63"/>
    <n v="1.05"/>
    <s v="Résolu"/>
    <x v="16"/>
    <n v="1.727095"/>
    <n v="22.099651999999999"/>
    <x v="1"/>
    <s v="Huawei"/>
    <m/>
  </r>
  <r>
    <d v="2023-10-11T09:21:00"/>
    <d v="2023-10-11T09:21:00"/>
    <s v="ANT-0531"/>
    <n v="85"/>
    <n v="1.4166666666666667"/>
    <s v="Résolu"/>
    <x v="16"/>
    <n v="-4.2645619999999997"/>
    <n v="18.960726000000001"/>
    <x v="1"/>
    <s v="Huawei"/>
    <m/>
  </r>
  <r>
    <d v="2023-10-14T08:26:00"/>
    <d v="2023-10-14T08:26:00"/>
    <s v="ANT-0143"/>
    <n v="86"/>
    <n v="1.4333333333333333"/>
    <s v="En Cours"/>
    <x v="16"/>
    <n v="4.8228650000000002"/>
    <n v="30.555627000000001"/>
    <x v="1"/>
    <s v="Huawei"/>
    <m/>
  </r>
  <r>
    <d v="2023-10-15T05:39:00"/>
    <d v="2023-10-15T05:39:00"/>
    <s v="ANT-0521"/>
    <n v="33"/>
    <n v="0.55000000000000004"/>
    <s v="Résolu"/>
    <x v="16"/>
    <n v="-10.318835"/>
    <n v="21.252382000000001"/>
    <x v="1"/>
    <s v="Ericsson"/>
    <m/>
  </r>
  <r>
    <d v="2023-10-16T01:11:00"/>
    <d v="2023-10-16T01:11:00"/>
    <s v="ANT-0407"/>
    <n v="33"/>
    <n v="0.55000000000000004"/>
    <s v="Non Résolu"/>
    <x v="16"/>
    <n v="2.5458379999999998"/>
    <n v="13.308655"/>
    <x v="2"/>
    <s v="ZTE"/>
    <m/>
  </r>
  <r>
    <d v="2023-10-16T14:06:00"/>
    <d v="2023-10-16T14:06:00"/>
    <s v="ANT-0407"/>
    <n v="24"/>
    <n v="0.4"/>
    <s v="Non Résolu"/>
    <x v="16"/>
    <n v="2.5458379999999998"/>
    <n v="13.308655"/>
    <x v="2"/>
    <s v="ZTE"/>
    <m/>
  </r>
  <r>
    <d v="2023-10-17T06:24:00"/>
    <d v="2023-10-17T06:24:00"/>
    <s v="ANT-0250"/>
    <n v="90"/>
    <n v="1.5"/>
    <s v="En Cours"/>
    <x v="16"/>
    <n v="-2.3743210000000001"/>
    <n v="22.399491000000001"/>
    <x v="2"/>
    <s v="Ericsson"/>
    <m/>
  </r>
  <r>
    <d v="2023-10-18T18:37:00"/>
    <d v="2023-10-18T18:37:00"/>
    <s v="ANT-0250"/>
    <n v="84"/>
    <n v="1.4"/>
    <s v="Résolu"/>
    <x v="16"/>
    <n v="-2.3743210000000001"/>
    <n v="22.399491000000001"/>
    <x v="2"/>
    <s v="Ericsson"/>
    <m/>
  </r>
  <r>
    <d v="2023-10-22T09:02:00"/>
    <d v="2023-10-22T09:02:00"/>
    <s v="ANT-0079"/>
    <n v="59"/>
    <n v="0.98333333333333328"/>
    <s v="En Cours"/>
    <x v="16"/>
    <n v="-8.4824669999999998"/>
    <n v="21.897777999999999"/>
    <x v="2"/>
    <s v="Ericsson"/>
    <m/>
  </r>
  <r>
    <d v="2023-10-25T04:50:00"/>
    <d v="2023-10-25T04:50:00"/>
    <s v="ANT-0302"/>
    <n v="43"/>
    <n v="0.71666666666666667"/>
    <s v="En Cours"/>
    <x v="16"/>
    <n v="-4.6818410000000004"/>
    <n v="17.541618"/>
    <x v="1"/>
    <s v="Ericsson"/>
    <m/>
  </r>
  <r>
    <d v="2023-10-27T12:44:00"/>
    <d v="2023-10-27T12:44:00"/>
    <s v="ANT-0094"/>
    <n v="101"/>
    <n v="1.6833333333333333"/>
    <s v="En Cours"/>
    <x v="16"/>
    <n v="-10.650321"/>
    <n v="15.917044000000001"/>
    <x v="1"/>
    <s v="Nokia"/>
    <m/>
  </r>
  <r>
    <d v="2023-10-06T12:43:00"/>
    <d v="2023-10-06T12:43:00"/>
    <s v="ANT-0855"/>
    <n v="74"/>
    <n v="1.2333333333333334"/>
    <s v="Non Résolu"/>
    <x v="17"/>
    <n v="-11.514188000000001"/>
    <n v="15.971181"/>
    <x v="2"/>
    <s v="Ericsson"/>
    <m/>
  </r>
  <r>
    <d v="2023-10-11T20:05:00"/>
    <d v="2023-10-11T20:05:00"/>
    <s v="ANT-0715"/>
    <n v="118"/>
    <n v="1.9666666666666666"/>
    <s v="Résolu"/>
    <x v="17"/>
    <n v="-11.407966"/>
    <n v="28.378274000000001"/>
    <x v="1"/>
    <s v="ZTE"/>
    <m/>
  </r>
  <r>
    <d v="2023-10-12T01:06:00"/>
    <d v="2023-10-12T01:06:00"/>
    <s v="ANT-0837"/>
    <n v="18"/>
    <n v="0.3"/>
    <s v="En Cours"/>
    <x v="17"/>
    <n v="-5.3762689999999997"/>
    <n v="28.189575999999999"/>
    <x v="2"/>
    <s v="Huawei"/>
    <m/>
  </r>
  <r>
    <d v="2023-10-15T03:51:00"/>
    <d v="2023-10-15T03:51:00"/>
    <s v="ANT-0715"/>
    <n v="108"/>
    <n v="1.8"/>
    <s v="En Cours"/>
    <x v="17"/>
    <n v="-11.407966"/>
    <n v="28.378274000000001"/>
    <x v="1"/>
    <s v="ZTE"/>
    <m/>
  </r>
  <r>
    <d v="2023-10-16T02:14:00"/>
    <d v="2023-10-16T02:14:00"/>
    <s v="ANT-0370"/>
    <n v="87"/>
    <n v="1.45"/>
    <s v="Résolu"/>
    <x v="17"/>
    <n v="-7.6951369999999999"/>
    <n v="13.346605"/>
    <x v="1"/>
    <s v="Ericsson"/>
    <m/>
  </r>
  <r>
    <d v="2023-10-17T03:18:00"/>
    <d v="2023-10-17T03:18:00"/>
    <s v="ANT-0499"/>
    <n v="120"/>
    <n v="2"/>
    <s v="Non Résolu"/>
    <x v="17"/>
    <n v="-7.2267089999999996"/>
    <n v="28.421362999999999"/>
    <x v="2"/>
    <s v="Ericsson"/>
    <m/>
  </r>
  <r>
    <d v="2023-10-18T21:24:00"/>
    <d v="2023-10-18T21:24:00"/>
    <s v="ANT-0837"/>
    <n v="108"/>
    <n v="1.8"/>
    <s v="En Cours"/>
    <x v="17"/>
    <n v="-5.3762689999999997"/>
    <n v="28.189575999999999"/>
    <x v="2"/>
    <s v="Huawei"/>
    <m/>
  </r>
  <r>
    <d v="2023-10-22T12:08:00"/>
    <d v="2023-10-22T12:08:00"/>
    <s v="ANT-0054"/>
    <n v="51"/>
    <n v="0.85"/>
    <s v="Résolu"/>
    <x v="17"/>
    <n v="-1.231033"/>
    <n v="28.851388"/>
    <x v="0"/>
    <s v="Ericsson"/>
    <m/>
  </r>
  <r>
    <d v="2023-10-22T18:36:00"/>
    <d v="2023-10-22T18:36:00"/>
    <s v="ANT-0855"/>
    <n v="24"/>
    <n v="0.4"/>
    <s v="Résolu"/>
    <x v="17"/>
    <n v="-11.514188000000001"/>
    <n v="15.971181"/>
    <x v="2"/>
    <s v="Ericsson"/>
    <m/>
  </r>
  <r>
    <d v="2023-10-23T04:32:00"/>
    <d v="2023-10-23T04:32:00"/>
    <s v="ANT-0837"/>
    <n v="33"/>
    <n v="0.55000000000000004"/>
    <s v="Résolu"/>
    <x v="17"/>
    <n v="-5.3762689999999997"/>
    <n v="28.189575999999999"/>
    <x v="2"/>
    <s v="Huawei"/>
    <m/>
  </r>
  <r>
    <d v="2023-10-24T09:37:00"/>
    <d v="2023-10-24T09:37:00"/>
    <s v="ANT-0054"/>
    <n v="41"/>
    <n v="0.68333333333333335"/>
    <s v="En Cours"/>
    <x v="17"/>
    <n v="-1.231033"/>
    <n v="28.851388"/>
    <x v="0"/>
    <s v="Ericsson"/>
    <m/>
  </r>
  <r>
    <d v="2023-10-24T18:14:00"/>
    <d v="2023-10-24T18:14:00"/>
    <s v="ANT-0837"/>
    <n v="78"/>
    <n v="1.3"/>
    <s v="Non Résolu"/>
    <x v="17"/>
    <n v="-5.3762689999999997"/>
    <n v="28.189575999999999"/>
    <x v="2"/>
    <s v="Huawei"/>
    <m/>
  </r>
  <r>
    <d v="2023-10-27T09:04:00"/>
    <d v="2023-10-27T09:04:00"/>
    <s v="ANT-0829"/>
    <n v="74"/>
    <n v="1.2333333333333334"/>
    <s v="En Cours"/>
    <x v="17"/>
    <n v="4.6809229999999999"/>
    <n v="28.934242000000001"/>
    <x v="2"/>
    <s v="Nokia"/>
    <m/>
  </r>
  <r>
    <d v="2023-10-31T06:21:00"/>
    <d v="2023-10-31T06:21:00"/>
    <s v="ANT-0529"/>
    <n v="62"/>
    <n v="1.0333333333333334"/>
    <s v="Résolu"/>
    <x v="17"/>
    <n v="3.6344850000000002"/>
    <n v="12.158348999999999"/>
    <x v="2"/>
    <s v="Ericsson"/>
    <m/>
  </r>
  <r>
    <d v="2023-10-02T02:04:00"/>
    <d v="2023-10-02T02:04:00"/>
    <s v="ANT-0563"/>
    <n v="55"/>
    <n v="0.91666666666666663"/>
    <s v="Résolu"/>
    <x v="18"/>
    <n v="-1.8555980000000001"/>
    <n v="30.421918000000002"/>
    <x v="0"/>
    <s v="ZTE"/>
    <m/>
  </r>
  <r>
    <d v="2023-10-02T05:06:00"/>
    <d v="2023-10-02T05:06:00"/>
    <s v="ANT-0653"/>
    <n v="40"/>
    <n v="0.66666666666666663"/>
    <s v="Non Résolu"/>
    <x v="18"/>
    <n v="0.82868600000000003"/>
    <n v="26.958843999999999"/>
    <x v="2"/>
    <s v="ZTE"/>
    <m/>
  </r>
  <r>
    <d v="2023-10-02T05:24:00"/>
    <d v="2023-10-02T05:24:00"/>
    <s v="ANT-0653"/>
    <n v="83"/>
    <n v="1.3833333333333333"/>
    <s v="Non Résolu"/>
    <x v="18"/>
    <n v="0.82868600000000003"/>
    <n v="26.958843999999999"/>
    <x v="2"/>
    <s v="ZTE"/>
    <m/>
  </r>
  <r>
    <d v="2023-10-02T21:03:00"/>
    <d v="2023-10-02T21:03:00"/>
    <s v="ANT-0564"/>
    <n v="82"/>
    <n v="1.3666666666666667"/>
    <s v="En Cours"/>
    <x v="18"/>
    <n v="-12.336202"/>
    <n v="13.693683999999999"/>
    <x v="2"/>
    <s v="Huawei"/>
    <m/>
  </r>
  <r>
    <d v="2023-10-02T21:14:00"/>
    <d v="2023-10-02T21:14:00"/>
    <s v="ANT-0553"/>
    <n v="54"/>
    <n v="0.9"/>
    <s v="En Cours"/>
    <x v="18"/>
    <n v="4.6287159999999998"/>
    <n v="19.407077999999998"/>
    <x v="1"/>
    <s v="Ericsson"/>
    <m/>
  </r>
  <r>
    <d v="2023-10-03T03:53:00"/>
    <d v="2023-10-03T03:53:00"/>
    <s v="ANT-0044"/>
    <n v="61"/>
    <n v="1.0166666666666666"/>
    <s v="Non Résolu"/>
    <x v="18"/>
    <n v="-6.5529849999999996"/>
    <n v="21.990606"/>
    <x v="0"/>
    <s v="Huawei"/>
    <m/>
  </r>
  <r>
    <d v="2023-10-04T23:57:00"/>
    <d v="2023-10-04T23:57:00"/>
    <s v="ANT-0457"/>
    <n v="101"/>
    <n v="1.6833333333333333"/>
    <s v="En Cours"/>
    <x v="18"/>
    <n v="-6.3148239999999998"/>
    <n v="24.507498999999999"/>
    <x v="0"/>
    <s v="ZTE"/>
    <m/>
  </r>
  <r>
    <d v="2023-10-05T11:19:00"/>
    <d v="2023-10-05T11:19:00"/>
    <s v="ANT-0894"/>
    <n v="10"/>
    <n v="0.16666666666666666"/>
    <s v="Résolu"/>
    <x v="18"/>
    <n v="4.9455159999999996"/>
    <n v="23.647746000000001"/>
    <x v="2"/>
    <s v="Huawei"/>
    <m/>
  </r>
  <r>
    <d v="2023-10-05T12:45:00"/>
    <d v="2023-10-05T12:45:00"/>
    <s v="ANT-0564"/>
    <n v="47"/>
    <n v="0.78333333333333333"/>
    <s v="Résolu"/>
    <x v="18"/>
    <n v="-12.336202"/>
    <n v="13.693683999999999"/>
    <x v="2"/>
    <s v="Huawei"/>
    <m/>
  </r>
  <r>
    <d v="2023-10-06T11:08:00"/>
    <d v="2023-10-06T11:08:00"/>
    <s v="ANT-0045"/>
    <n v="103"/>
    <n v="1.7166666666666666"/>
    <s v="Résolu"/>
    <x v="18"/>
    <n v="-0.17258100000000001"/>
    <n v="23.775555000000001"/>
    <x v="2"/>
    <s v="Nokia"/>
    <m/>
  </r>
  <r>
    <d v="2023-10-08T23:03:00"/>
    <d v="2023-10-08T23:03:00"/>
    <s v="ANT-0564"/>
    <n v="23"/>
    <n v="0.38333333333333336"/>
    <s v="En Cours"/>
    <x v="18"/>
    <n v="-12.336202"/>
    <n v="13.693683999999999"/>
    <x v="2"/>
    <s v="Huawei"/>
    <m/>
  </r>
  <r>
    <d v="2023-10-08T23:35:00"/>
    <d v="2023-10-08T23:35:00"/>
    <s v="ANT-0970"/>
    <n v="25"/>
    <n v="0.41666666666666669"/>
    <s v="En Cours"/>
    <x v="18"/>
    <n v="-11.866133"/>
    <n v="27.068932"/>
    <x v="0"/>
    <s v="Huawei"/>
    <m/>
  </r>
  <r>
    <d v="2023-10-09T01:45:00"/>
    <d v="2023-10-09T01:45:00"/>
    <s v="ANT-0835"/>
    <n v="68"/>
    <n v="1.1333333333333333"/>
    <s v="Résolu"/>
    <x v="18"/>
    <n v="1.017161"/>
    <n v="16.519689"/>
    <x v="0"/>
    <s v="Nokia"/>
    <m/>
  </r>
  <r>
    <d v="2023-10-09T23:01:00"/>
    <d v="2023-10-09T23:01:00"/>
    <s v="ANT-0653"/>
    <n v="98"/>
    <n v="1.6333333333333333"/>
    <s v="En Cours"/>
    <x v="18"/>
    <n v="0.82868600000000003"/>
    <n v="26.958843999999999"/>
    <x v="2"/>
    <s v="ZTE"/>
    <m/>
  </r>
  <r>
    <d v="2023-10-11T09:24:00"/>
    <d v="2023-10-11T09:24:00"/>
    <s v="ANT-0835"/>
    <n v="85"/>
    <n v="1.4166666666666667"/>
    <s v="Non Résolu"/>
    <x v="18"/>
    <n v="1.017161"/>
    <n v="16.519689"/>
    <x v="0"/>
    <s v="Nokia"/>
    <m/>
  </r>
  <r>
    <d v="2023-10-12T05:38:00"/>
    <d v="2023-10-12T05:38:00"/>
    <s v="ANT-0812"/>
    <n v="62"/>
    <n v="1.0333333333333334"/>
    <s v="En Cours"/>
    <x v="18"/>
    <n v="-2.3102109999999998"/>
    <n v="12.362488000000001"/>
    <x v="2"/>
    <s v="Nokia"/>
    <m/>
  </r>
  <r>
    <d v="2023-10-12T10:11:00"/>
    <d v="2023-10-12T10:11:00"/>
    <s v="ANT-0563"/>
    <n v="116"/>
    <n v="1.9333333333333333"/>
    <s v="Non Résolu"/>
    <x v="18"/>
    <n v="-1.8555980000000001"/>
    <n v="30.421918000000002"/>
    <x v="0"/>
    <s v="ZTE"/>
    <m/>
  </r>
  <r>
    <d v="2023-10-12T11:27:00"/>
    <d v="2023-10-12T11:27:00"/>
    <s v="ANT-0553"/>
    <n v="111"/>
    <n v="1.85"/>
    <s v="Résolu"/>
    <x v="18"/>
    <n v="4.6287159999999998"/>
    <n v="19.407077999999998"/>
    <x v="1"/>
    <s v="Ericsson"/>
    <m/>
  </r>
  <r>
    <d v="2023-10-14T21:47:00"/>
    <d v="2023-10-14T21:47:00"/>
    <s v="ANT-0678"/>
    <n v="52"/>
    <n v="0.8666666666666667"/>
    <s v="Résolu"/>
    <x v="18"/>
    <n v="-10.298385"/>
    <n v="29.698117"/>
    <x v="2"/>
    <s v="Nokia"/>
    <m/>
  </r>
  <r>
    <d v="2023-10-15T17:47:00"/>
    <d v="2023-10-15T17:47:00"/>
    <s v="ANT-0826"/>
    <n v="8"/>
    <n v="0.13333333333333333"/>
    <s v="Résolu"/>
    <x v="18"/>
    <n v="-10.846306999999999"/>
    <n v="19.201827999999999"/>
    <x v="1"/>
    <s v="Ericsson"/>
    <m/>
  </r>
  <r>
    <d v="2023-10-16T16:09:00"/>
    <d v="2023-10-16T16:09:00"/>
    <s v="ANT-0970"/>
    <n v="117"/>
    <n v="1.95"/>
    <s v="En Cours"/>
    <x v="18"/>
    <n v="-11.866133"/>
    <n v="27.068932"/>
    <x v="0"/>
    <s v="Huawei"/>
    <m/>
  </r>
  <r>
    <d v="2023-10-17T03:24:00"/>
    <d v="2023-10-17T03:24:00"/>
    <s v="ANT-0454"/>
    <n v="94"/>
    <n v="1.5666666666666667"/>
    <s v="Résolu"/>
    <x v="18"/>
    <n v="1.8103860000000001"/>
    <n v="15.175582"/>
    <x v="0"/>
    <s v="Huawei"/>
    <m/>
  </r>
  <r>
    <d v="2023-10-17T11:03:00"/>
    <d v="2023-10-17T11:03:00"/>
    <s v="ANT-0918"/>
    <n v="36"/>
    <n v="0.6"/>
    <s v="En Cours"/>
    <x v="18"/>
    <n v="-11.231472"/>
    <n v="25.388874000000001"/>
    <x v="1"/>
    <s v="Huawei"/>
    <m/>
  </r>
  <r>
    <d v="2023-10-18T08:51:00"/>
    <d v="2023-10-18T08:51:00"/>
    <s v="ANT-0620"/>
    <n v="8"/>
    <n v="0.13333333333333333"/>
    <s v="Résolu"/>
    <x v="18"/>
    <n v="-4.1754939999999996"/>
    <n v="16.704664999999999"/>
    <x v="0"/>
    <s v="Ericsson"/>
    <m/>
  </r>
  <r>
    <d v="2023-10-19T07:58:00"/>
    <d v="2023-10-19T07:58:00"/>
    <s v="ANT-0563"/>
    <n v="15"/>
    <n v="0.25"/>
    <s v="En Cours"/>
    <x v="18"/>
    <n v="-1.8555980000000001"/>
    <n v="30.421918000000002"/>
    <x v="0"/>
    <s v="ZTE"/>
    <m/>
  </r>
  <r>
    <d v="2023-10-20T04:21:00"/>
    <d v="2023-10-20T04:21:00"/>
    <s v="ANT-0620"/>
    <n v="97"/>
    <n v="1.6166666666666667"/>
    <s v="Non Résolu"/>
    <x v="18"/>
    <n v="-4.1754939999999996"/>
    <n v="16.704664999999999"/>
    <x v="0"/>
    <s v="Ericsson"/>
    <m/>
  </r>
  <r>
    <d v="2023-10-22T06:27:00"/>
    <d v="2023-10-22T06:27:00"/>
    <s v="ANT-0563"/>
    <n v="18"/>
    <n v="0.3"/>
    <s v="Non Résolu"/>
    <x v="18"/>
    <n v="-1.8555980000000001"/>
    <n v="30.421918000000002"/>
    <x v="0"/>
    <s v="ZTE"/>
    <m/>
  </r>
  <r>
    <d v="2023-10-23T08:29:00"/>
    <d v="2023-10-23T08:29:00"/>
    <s v="ANT-0826"/>
    <n v="101"/>
    <n v="1.6833333333333333"/>
    <s v="Non Résolu"/>
    <x v="18"/>
    <n v="-10.846306999999999"/>
    <n v="19.201827999999999"/>
    <x v="1"/>
    <s v="Ericsson"/>
    <m/>
  </r>
  <r>
    <d v="2023-10-23T14:20:00"/>
    <d v="2023-10-23T14:20:00"/>
    <s v="ANT-0563"/>
    <n v="22"/>
    <n v="0.36666666666666664"/>
    <s v="Non Résolu"/>
    <x v="18"/>
    <n v="-1.8555980000000001"/>
    <n v="30.421918000000002"/>
    <x v="0"/>
    <s v="ZTE"/>
    <m/>
  </r>
  <r>
    <d v="2023-10-24T06:03:00"/>
    <d v="2023-10-24T06:03:00"/>
    <s v="ANT-0826"/>
    <n v="12"/>
    <n v="0.2"/>
    <s v="Non Résolu"/>
    <x v="18"/>
    <n v="-10.846306999999999"/>
    <n v="19.201827999999999"/>
    <x v="1"/>
    <s v="Ericsson"/>
    <m/>
  </r>
  <r>
    <d v="2023-10-25T05:31:00"/>
    <d v="2023-10-25T05:31:00"/>
    <s v="ANT-0678"/>
    <n v="20"/>
    <n v="0.33333333333333331"/>
    <s v="Résolu"/>
    <x v="18"/>
    <n v="-10.298385"/>
    <n v="29.698117"/>
    <x v="2"/>
    <s v="Nokia"/>
    <m/>
  </r>
  <r>
    <d v="2023-10-26T18:38:00"/>
    <d v="2023-10-26T18:38:00"/>
    <s v="ANT-0653"/>
    <n v="71"/>
    <n v="1.1833333333333333"/>
    <s v="Résolu"/>
    <x v="18"/>
    <n v="0.82868600000000003"/>
    <n v="26.958843999999999"/>
    <x v="2"/>
    <s v="ZTE"/>
    <m/>
  </r>
  <r>
    <d v="2023-10-30T01:35:00"/>
    <d v="2023-10-30T01:35:00"/>
    <s v="ANT-0653"/>
    <n v="93"/>
    <n v="1.55"/>
    <s v="Résolu"/>
    <x v="18"/>
    <n v="0.82868600000000003"/>
    <n v="26.958843999999999"/>
    <x v="2"/>
    <s v="ZTE"/>
    <m/>
  </r>
  <r>
    <d v="2023-10-31T11:40:00"/>
    <d v="2023-10-31T11:40:00"/>
    <s v="ANT-0564"/>
    <n v="38"/>
    <n v="0.6333333333333333"/>
    <s v="Résolu"/>
    <x v="18"/>
    <n v="-12.336202"/>
    <n v="13.693683999999999"/>
    <x v="2"/>
    <s v="Huawei"/>
    <m/>
  </r>
  <r>
    <d v="2023-10-02T00:13:00"/>
    <d v="2023-10-02T00:13:00"/>
    <s v="ANT-0649"/>
    <n v="56"/>
    <n v="0.93333333333333335"/>
    <s v="Non Résolu"/>
    <x v="19"/>
    <n v="-7.7839049999999999"/>
    <n v="14.114281999999999"/>
    <x v="0"/>
    <s v="ZTE"/>
    <m/>
  </r>
  <r>
    <d v="2023-10-04T12:25:00"/>
    <d v="2023-10-04T12:25:00"/>
    <s v="ANT-0001"/>
    <n v="26"/>
    <n v="0.43333333333333335"/>
    <s v="Résolu"/>
    <x v="19"/>
    <n v="-8.1437910000000002"/>
    <n v="28.946161"/>
    <x v="1"/>
    <s v="ZTE"/>
    <m/>
  </r>
  <r>
    <d v="2023-10-04T18:15:00"/>
    <d v="2023-10-04T18:15:00"/>
    <s v="ANT-0153"/>
    <n v="18"/>
    <n v="0.3"/>
    <s v="En Cours"/>
    <x v="19"/>
    <n v="0.94539899999999999"/>
    <n v="14.401821999999999"/>
    <x v="2"/>
    <s v="Nokia"/>
    <m/>
  </r>
  <r>
    <d v="2023-10-05T07:08:00"/>
    <d v="2023-10-05T07:08:00"/>
    <s v="ANT-0662"/>
    <n v="111"/>
    <n v="1.85"/>
    <s v="Non Résolu"/>
    <x v="19"/>
    <n v="-1.342476"/>
    <n v="15.986086"/>
    <x v="1"/>
    <s v="Ericsson"/>
    <m/>
  </r>
  <r>
    <d v="2023-10-06T00:20:00"/>
    <d v="2023-10-06T00:20:00"/>
    <s v="ANT-0001"/>
    <n v="35"/>
    <n v="0.58333333333333337"/>
    <s v="Non Résolu"/>
    <x v="19"/>
    <n v="-8.1437910000000002"/>
    <n v="28.946161"/>
    <x v="1"/>
    <s v="ZTE"/>
    <m/>
  </r>
  <r>
    <d v="2023-10-09T06:42:00"/>
    <d v="2023-10-09T06:42:00"/>
    <s v="ANT-0597"/>
    <n v="41"/>
    <n v="0.68333333333333335"/>
    <s v="Non Résolu"/>
    <x v="19"/>
    <n v="-9.3066320000000005"/>
    <n v="20.470889"/>
    <x v="2"/>
    <s v="ZTE"/>
    <m/>
  </r>
  <r>
    <d v="2023-10-10T15:50:00"/>
    <d v="2023-10-10T15:50:00"/>
    <s v="ANT-0649"/>
    <n v="67"/>
    <n v="1.1166666666666667"/>
    <s v="En Cours"/>
    <x v="19"/>
    <n v="-7.7839049999999999"/>
    <n v="14.114281999999999"/>
    <x v="0"/>
    <s v="ZTE"/>
    <m/>
  </r>
  <r>
    <d v="2023-10-11T16:28:00"/>
    <d v="2023-10-11T16:28:00"/>
    <s v="ANT-0194"/>
    <n v="62"/>
    <n v="1.0333333333333334"/>
    <s v="Non Résolu"/>
    <x v="19"/>
    <n v="8.5490999999999998E-2"/>
    <n v="26.296129000000001"/>
    <x v="0"/>
    <s v="ZTE"/>
    <m/>
  </r>
  <r>
    <d v="2023-10-11T21:48:00"/>
    <d v="2023-10-11T21:48:00"/>
    <s v="ANT-0194"/>
    <n v="57"/>
    <n v="0.95"/>
    <s v="En Cours"/>
    <x v="19"/>
    <n v="8.5490999999999998E-2"/>
    <n v="26.296129000000001"/>
    <x v="0"/>
    <s v="ZTE"/>
    <m/>
  </r>
  <r>
    <d v="2023-10-12T06:42:00"/>
    <d v="2023-10-12T06:42:00"/>
    <s v="ANT-0001"/>
    <n v="75"/>
    <n v="1.25"/>
    <s v="Résolu"/>
    <x v="19"/>
    <n v="-8.1437910000000002"/>
    <n v="28.946161"/>
    <x v="1"/>
    <s v="ZTE"/>
    <m/>
  </r>
  <r>
    <d v="2023-10-14T05:43:00"/>
    <d v="2023-10-14T05:43:00"/>
    <s v="ANT-0607"/>
    <n v="53"/>
    <n v="0.8833333333333333"/>
    <s v="Non Résolu"/>
    <x v="19"/>
    <n v="-8.4985189999999999"/>
    <n v="12.929456999999999"/>
    <x v="1"/>
    <s v="Ericsson"/>
    <m/>
  </r>
  <r>
    <d v="2023-10-15T00:27:00"/>
    <d v="2023-10-15T00:27:00"/>
    <s v="ANT-0662"/>
    <n v="115"/>
    <n v="1.9166666666666667"/>
    <s v="Non Résolu"/>
    <x v="19"/>
    <n v="-1.342476"/>
    <n v="15.986086"/>
    <x v="1"/>
    <s v="Ericsson"/>
    <m/>
  </r>
  <r>
    <d v="2023-10-21T14:01:00"/>
    <d v="2023-10-21T14:01:00"/>
    <s v="ANT-0402"/>
    <n v="92"/>
    <n v="1.5333333333333334"/>
    <s v="En Cours"/>
    <x v="19"/>
    <n v="-11.588665000000001"/>
    <n v="15.241552"/>
    <x v="1"/>
    <s v="Nokia"/>
    <m/>
  </r>
  <r>
    <d v="2023-10-23T09:58:00"/>
    <d v="2023-10-23T09:58:00"/>
    <s v="ANT-0942"/>
    <n v="73"/>
    <n v="1.2166666666666666"/>
    <s v="Résolu"/>
    <x v="19"/>
    <n v="-4.8128659999999996"/>
    <n v="18.559304999999998"/>
    <x v="2"/>
    <s v="ZTE"/>
    <m/>
  </r>
  <r>
    <d v="2023-10-26T07:37:00"/>
    <d v="2023-10-26T07:37:00"/>
    <s v="ANT-0719"/>
    <n v="56"/>
    <n v="0.93333333333333335"/>
    <s v="Non Résolu"/>
    <x v="19"/>
    <n v="-7.9987219999999999"/>
    <n v="12.779335"/>
    <x v="2"/>
    <s v="Nokia"/>
    <m/>
  </r>
  <r>
    <d v="2023-10-27T05:01:00"/>
    <d v="2023-10-27T05:01:00"/>
    <s v="ANT-0607"/>
    <n v="81"/>
    <n v="1.35"/>
    <s v="En Cours"/>
    <x v="19"/>
    <n v="-8.4985189999999999"/>
    <n v="12.929456999999999"/>
    <x v="1"/>
    <s v="Ericsson"/>
    <m/>
  </r>
  <r>
    <d v="2023-10-27T14:05:00"/>
    <d v="2023-10-27T14:05:00"/>
    <s v="ANT-0649"/>
    <n v="33"/>
    <n v="0.55000000000000004"/>
    <s v="En Cours"/>
    <x v="19"/>
    <n v="-7.7839049999999999"/>
    <n v="14.114281999999999"/>
    <x v="0"/>
    <s v="ZTE"/>
    <m/>
  </r>
  <r>
    <d v="2023-10-27T14:58:00"/>
    <d v="2023-10-27T14:58:00"/>
    <s v="ANT-0719"/>
    <n v="98"/>
    <n v="1.6333333333333333"/>
    <s v="En Cours"/>
    <x v="19"/>
    <n v="-7.9987219999999999"/>
    <n v="12.779335"/>
    <x v="2"/>
    <s v="Nokia"/>
    <m/>
  </r>
  <r>
    <d v="2023-10-27T23:57:00"/>
    <d v="2023-10-27T23:57:00"/>
    <s v="ANT-0671"/>
    <n v="53"/>
    <n v="0.8833333333333333"/>
    <s v="En Cours"/>
    <x v="19"/>
    <n v="-7.8373179999999998"/>
    <n v="20.527591999999999"/>
    <x v="1"/>
    <s v="Ericsson"/>
    <m/>
  </r>
  <r>
    <d v="2023-10-28T00:48:00"/>
    <d v="2023-10-28T00:48:00"/>
    <s v="ANT-0935"/>
    <n v="68"/>
    <n v="1.1333333333333333"/>
    <s v="En Cours"/>
    <x v="19"/>
    <n v="-10.375266999999999"/>
    <n v="17.993663000000002"/>
    <x v="2"/>
    <s v="ZTE"/>
    <m/>
  </r>
  <r>
    <d v="2023-10-28T14:06:00"/>
    <d v="2023-10-28T14:06:00"/>
    <s v="ANT-0662"/>
    <n v="50"/>
    <n v="0.83333333333333337"/>
    <s v="Non Résolu"/>
    <x v="19"/>
    <n v="-1.342476"/>
    <n v="15.986086"/>
    <x v="1"/>
    <s v="Ericsson"/>
    <m/>
  </r>
  <r>
    <d v="2023-10-30T17:21:00"/>
    <d v="2023-10-30T17:21:00"/>
    <s v="ANT-0662"/>
    <n v="76"/>
    <n v="1.2666666666666666"/>
    <s v="Non Résolu"/>
    <x v="19"/>
    <n v="-1.342476"/>
    <n v="15.986086"/>
    <x v="1"/>
    <s v="Ericsson"/>
    <m/>
  </r>
  <r>
    <d v="2023-10-30T23:20:00"/>
    <d v="2023-10-30T23:20:00"/>
    <s v="ANT-0607"/>
    <n v="5"/>
    <n v="8.3333333333333329E-2"/>
    <s v="En Cours"/>
    <x v="19"/>
    <n v="-8.4985189999999999"/>
    <n v="12.929456999999999"/>
    <x v="1"/>
    <s v="Ericsson"/>
    <m/>
  </r>
  <r>
    <d v="2023-10-31T00:13:00"/>
    <d v="2023-10-31T00:13:00"/>
    <s v="ANT-0153"/>
    <n v="11"/>
    <n v="0.18333333333333332"/>
    <s v="Non Résolu"/>
    <x v="19"/>
    <n v="0.94539899999999999"/>
    <n v="14.401821999999999"/>
    <x v="2"/>
    <s v="Nokia"/>
    <m/>
  </r>
  <r>
    <d v="2023-10-31T15:24:00"/>
    <d v="2023-10-31T15:24:00"/>
    <s v="ANT-0277"/>
    <n v="106"/>
    <n v="1.7666666666666666"/>
    <s v="Résolu"/>
    <x v="19"/>
    <n v="-6.8149179999999996"/>
    <n v="23.258102000000001"/>
    <x v="2"/>
    <s v="Huawei"/>
    <m/>
  </r>
  <r>
    <d v="2023-10-01T21:56:00"/>
    <d v="2023-10-01T21:56:00"/>
    <s v="ANT-0212"/>
    <n v="87"/>
    <n v="1.45"/>
    <s v="Résolu"/>
    <x v="20"/>
    <n v="3.175935"/>
    <n v="16.862832000000001"/>
    <x v="2"/>
    <s v="Ericsson"/>
    <m/>
  </r>
  <r>
    <d v="2023-10-06T04:36:00"/>
    <d v="2023-10-06T04:36:00"/>
    <s v="ANT-0091"/>
    <n v="34"/>
    <n v="0.56666666666666665"/>
    <s v="Résolu"/>
    <x v="20"/>
    <n v="-4.7886769999999999"/>
    <n v="23.600221999999999"/>
    <x v="0"/>
    <s v="ZTE"/>
    <m/>
  </r>
  <r>
    <d v="2023-10-08T16:50:00"/>
    <d v="2023-10-08T16:50:00"/>
    <s v="ANT-0070"/>
    <n v="27"/>
    <n v="0.45"/>
    <s v="En Cours"/>
    <x v="20"/>
    <n v="-10.764815"/>
    <n v="14.602039"/>
    <x v="1"/>
    <s v="Nokia"/>
    <m/>
  </r>
  <r>
    <d v="2023-10-10T08:46:00"/>
    <d v="2023-10-10T08:46:00"/>
    <s v="ANT-0205"/>
    <n v="120"/>
    <n v="2"/>
    <s v="Résolu"/>
    <x v="20"/>
    <n v="-1.4110389999999999"/>
    <n v="21.261644"/>
    <x v="1"/>
    <s v="ZTE"/>
    <m/>
  </r>
  <r>
    <d v="2023-10-12T17:24:00"/>
    <d v="2023-10-12T17:24:00"/>
    <s v="ANT-0205"/>
    <n v="84"/>
    <n v="1.4"/>
    <s v="En Cours"/>
    <x v="20"/>
    <n v="-1.4110389999999999"/>
    <n v="21.261644"/>
    <x v="1"/>
    <s v="ZTE"/>
    <m/>
  </r>
  <r>
    <d v="2023-10-14T18:43:00"/>
    <d v="2023-10-14T18:43:00"/>
    <s v="ANT-0995"/>
    <n v="120"/>
    <n v="2"/>
    <s v="Résolu"/>
    <x v="20"/>
    <n v="-7.5969509999999998"/>
    <n v="22.153986"/>
    <x v="0"/>
    <s v="Ericsson"/>
    <m/>
  </r>
  <r>
    <d v="2023-10-14T20:56:00"/>
    <d v="2023-10-14T20:56:00"/>
    <s v="ANT-0619"/>
    <n v="46"/>
    <n v="0.76666666666666672"/>
    <s v="Non Résolu"/>
    <x v="20"/>
    <n v="-7.513261"/>
    <n v="24.338812000000001"/>
    <x v="2"/>
    <s v="Huawei"/>
    <m/>
  </r>
  <r>
    <d v="2023-10-14T22:46:00"/>
    <d v="2023-10-14T22:46:00"/>
    <s v="ANT-0760"/>
    <n v="72"/>
    <n v="1.2"/>
    <s v="Non Résolu"/>
    <x v="20"/>
    <n v="-2.7140689999999998"/>
    <n v="22.222104000000002"/>
    <x v="1"/>
    <s v="Nokia"/>
    <m/>
  </r>
  <r>
    <d v="2023-10-16T23:46:00"/>
    <d v="2023-10-16T23:46:00"/>
    <s v="ANT-0205"/>
    <n v="66"/>
    <n v="1.1000000000000001"/>
    <s v="En Cours"/>
    <x v="20"/>
    <n v="-1.4110389999999999"/>
    <n v="21.261644"/>
    <x v="1"/>
    <s v="ZTE"/>
    <m/>
  </r>
  <r>
    <d v="2023-10-23T21:40:00"/>
    <d v="2023-10-23T21:40:00"/>
    <s v="ANT-0995"/>
    <n v="31"/>
    <n v="0.51666666666666672"/>
    <s v="En Cours"/>
    <x v="20"/>
    <n v="-7.5969509999999998"/>
    <n v="22.153986"/>
    <x v="0"/>
    <s v="Ericsson"/>
    <m/>
  </r>
  <r>
    <d v="2023-10-24T23:47:00"/>
    <d v="2023-10-24T23:47:00"/>
    <s v="ANT-0517"/>
    <n v="23"/>
    <n v="0.38333333333333336"/>
    <s v="Résolu"/>
    <x v="20"/>
    <n v="-8.0922239999999999"/>
    <n v="15.483708"/>
    <x v="2"/>
    <s v="Nokia"/>
    <m/>
  </r>
  <r>
    <d v="2023-10-27T05:24:00"/>
    <d v="2023-10-27T05:24:00"/>
    <s v="ANT-0276"/>
    <n v="11"/>
    <n v="0.18333333333333332"/>
    <s v="Non Résolu"/>
    <x v="20"/>
    <n v="-0.157111"/>
    <n v="25.415125"/>
    <x v="1"/>
    <s v="Ericsson"/>
    <m/>
  </r>
  <r>
    <d v="2023-10-29T02:04:00"/>
    <d v="2023-10-29T02:04:00"/>
    <s v="ANT-0255"/>
    <n v="43"/>
    <n v="0.71666666666666667"/>
    <s v="En Cours"/>
    <x v="20"/>
    <n v="-6.4883290000000002"/>
    <n v="25.103404000000001"/>
    <x v="2"/>
    <s v="ZTE"/>
    <m/>
  </r>
  <r>
    <d v="2023-10-01T11:50:00"/>
    <d v="2023-10-01T11:50:00"/>
    <s v="ANT-0813"/>
    <n v="113"/>
    <n v="1.8833333333333333"/>
    <s v="Résolu"/>
    <x v="21"/>
    <n v="-1.5419050000000001"/>
    <n v="14.730632999999999"/>
    <x v="0"/>
    <s v="ZTE"/>
    <m/>
  </r>
  <r>
    <d v="2023-10-01T19:59:00"/>
    <d v="2023-10-01T19:59:00"/>
    <s v="ANT-0472"/>
    <n v="27"/>
    <n v="0.45"/>
    <s v="Résolu"/>
    <x v="21"/>
    <n v="1.2419519999999999"/>
    <n v="25.261382999999999"/>
    <x v="1"/>
    <s v="Huawei"/>
    <m/>
  </r>
  <r>
    <d v="2023-10-04T05:23:00"/>
    <d v="2023-10-04T05:23:00"/>
    <s v="ANT-0883"/>
    <n v="102"/>
    <n v="1.7"/>
    <s v="En Cours"/>
    <x v="21"/>
    <n v="-9.4702129999999993"/>
    <n v="12.826158"/>
    <x v="0"/>
    <s v="Ericsson"/>
    <m/>
  </r>
  <r>
    <d v="2023-10-06T03:42:00"/>
    <d v="2023-10-06T03:42:00"/>
    <s v="ANT-0441"/>
    <n v="12"/>
    <n v="0.2"/>
    <s v="Résolu"/>
    <x v="21"/>
    <n v="-5.2526849999999996"/>
    <n v="12.374528"/>
    <x v="0"/>
    <s v="Nokia"/>
    <m/>
  </r>
  <r>
    <d v="2023-10-06T10:35:00"/>
    <d v="2023-10-06T10:35:00"/>
    <s v="ANT-0557"/>
    <n v="115"/>
    <n v="1.9166666666666667"/>
    <s v="Non Résolu"/>
    <x v="21"/>
    <n v="-1.3024210000000001"/>
    <n v="13.601914000000001"/>
    <x v="0"/>
    <s v="Huawei"/>
    <m/>
  </r>
  <r>
    <d v="2023-10-07T15:17:00"/>
    <d v="2023-10-07T15:17:00"/>
    <s v="ANT-0211"/>
    <n v="32"/>
    <n v="0.53333333333333333"/>
    <s v="En Cours"/>
    <x v="21"/>
    <n v="-11.514817000000001"/>
    <n v="24.891375"/>
    <x v="0"/>
    <s v="Nokia"/>
    <m/>
  </r>
  <r>
    <d v="2023-10-09T02:36:00"/>
    <d v="2023-10-09T02:36:00"/>
    <s v="ANT-0582"/>
    <n v="102"/>
    <n v="1.7"/>
    <s v="Non Résolu"/>
    <x v="21"/>
    <n v="-1.4700059999999999"/>
    <n v="18.680958"/>
    <x v="0"/>
    <s v="Huawei"/>
    <m/>
  </r>
  <r>
    <d v="2023-10-11T11:56:00"/>
    <d v="2023-10-11T11:56:00"/>
    <s v="ANT-0136"/>
    <n v="75"/>
    <n v="1.25"/>
    <s v="En Cours"/>
    <x v="21"/>
    <n v="-9.3900009999999998"/>
    <n v="30.001517"/>
    <x v="0"/>
    <s v="Nokia"/>
    <m/>
  </r>
  <r>
    <d v="2023-10-12T02:34:00"/>
    <d v="2023-10-12T02:34:00"/>
    <s v="ANT-0441"/>
    <n v="87"/>
    <n v="1.45"/>
    <s v="En Cours"/>
    <x v="21"/>
    <n v="-5.2526849999999996"/>
    <n v="12.374528"/>
    <x v="0"/>
    <s v="Nokia"/>
    <m/>
  </r>
  <r>
    <d v="2023-10-12T03:05:00"/>
    <d v="2023-10-12T03:05:00"/>
    <s v="ANT-0745"/>
    <n v="110"/>
    <n v="1.8333333333333333"/>
    <s v="Non Résolu"/>
    <x v="21"/>
    <n v="2.453036"/>
    <n v="20.555484"/>
    <x v="2"/>
    <s v="Ericsson"/>
    <m/>
  </r>
  <r>
    <d v="2023-10-14T08:13:00"/>
    <d v="2023-10-14T08:13:00"/>
    <s v="ANT-0348"/>
    <n v="63"/>
    <n v="1.05"/>
    <s v="Non Résolu"/>
    <x v="21"/>
    <n v="0.31740800000000002"/>
    <n v="27.197666999999999"/>
    <x v="2"/>
    <s v="Nokia"/>
    <m/>
  </r>
  <r>
    <d v="2023-10-15T04:02:00"/>
    <d v="2023-10-15T04:02:00"/>
    <s v="ANT-0505"/>
    <n v="106"/>
    <n v="1.7666666666666666"/>
    <s v="Résolu"/>
    <x v="21"/>
    <n v="-11.207139"/>
    <n v="18.702511999999999"/>
    <x v="2"/>
    <s v="Ericsson"/>
    <m/>
  </r>
  <r>
    <d v="2023-10-17T06:36:00"/>
    <d v="2023-10-17T06:36:00"/>
    <s v="ANT-0159"/>
    <n v="119"/>
    <n v="1.9833333333333334"/>
    <s v="En Cours"/>
    <x v="21"/>
    <n v="2.4414509999999998"/>
    <n v="30.167489"/>
    <x v="2"/>
    <s v="Nokia"/>
    <m/>
  </r>
  <r>
    <d v="2023-10-18T00:41:00"/>
    <d v="2023-10-18T00:41:00"/>
    <s v="ANT-0257"/>
    <n v="120"/>
    <n v="2"/>
    <s v="En Cours"/>
    <x v="21"/>
    <n v="-4.1694589999999998"/>
    <n v="23.376487000000001"/>
    <x v="0"/>
    <s v="Nokia"/>
    <m/>
  </r>
  <r>
    <d v="2023-10-18T04:12:00"/>
    <d v="2023-10-18T04:12:00"/>
    <s v="ANT-0883"/>
    <n v="18"/>
    <n v="0.3"/>
    <s v="En Cours"/>
    <x v="21"/>
    <n v="-9.4702129999999993"/>
    <n v="12.826158"/>
    <x v="0"/>
    <s v="Ericsson"/>
    <m/>
  </r>
  <r>
    <d v="2023-10-19T00:11:00"/>
    <d v="2023-10-19T00:11:00"/>
    <s v="ANT-0883"/>
    <n v="44"/>
    <n v="0.73333333333333328"/>
    <s v="Non Résolu"/>
    <x v="21"/>
    <n v="-9.4702129999999993"/>
    <n v="12.826158"/>
    <x v="0"/>
    <s v="Ericsson"/>
    <m/>
  </r>
  <r>
    <d v="2023-10-19T03:03:00"/>
    <d v="2023-10-19T03:03:00"/>
    <s v="ANT-0472"/>
    <n v="58"/>
    <n v="0.96666666666666667"/>
    <s v="Non Résolu"/>
    <x v="21"/>
    <n v="1.2419519999999999"/>
    <n v="25.261382999999999"/>
    <x v="1"/>
    <s v="Huawei"/>
    <m/>
  </r>
  <r>
    <d v="2023-10-19T14:09:00"/>
    <d v="2023-10-19T14:09:00"/>
    <s v="ANT-0211"/>
    <n v="21"/>
    <n v="0.35"/>
    <s v="Résolu"/>
    <x v="21"/>
    <n v="-11.514817000000001"/>
    <n v="24.891375"/>
    <x v="0"/>
    <s v="Nokia"/>
    <m/>
  </r>
  <r>
    <d v="2023-10-21T11:16:00"/>
    <d v="2023-10-21T11:16:00"/>
    <s v="ANT-0813"/>
    <n v="17"/>
    <n v="0.28333333333333333"/>
    <s v="Non Résolu"/>
    <x v="21"/>
    <n v="-1.5419050000000001"/>
    <n v="14.730632999999999"/>
    <x v="0"/>
    <s v="ZTE"/>
    <m/>
  </r>
  <r>
    <d v="2023-10-21T14:51:00"/>
    <d v="2023-10-21T14:51:00"/>
    <s v="ANT-0582"/>
    <n v="79"/>
    <n v="1.3166666666666667"/>
    <s v="Résolu"/>
    <x v="21"/>
    <n v="-1.4700059999999999"/>
    <n v="18.680958"/>
    <x v="0"/>
    <s v="Huawei"/>
    <m/>
  </r>
  <r>
    <d v="2023-10-22T20:19:00"/>
    <d v="2023-10-22T20:19:00"/>
    <s v="ANT-0441"/>
    <n v="96"/>
    <n v="1.6"/>
    <s v="En Cours"/>
    <x v="21"/>
    <n v="-5.2526849999999996"/>
    <n v="12.374528"/>
    <x v="0"/>
    <s v="Nokia"/>
    <m/>
  </r>
  <r>
    <d v="2023-10-26T03:32:00"/>
    <d v="2023-10-26T03:32:00"/>
    <s v="ANT-0086"/>
    <n v="44"/>
    <n v="0.73333333333333328"/>
    <s v="Résolu"/>
    <x v="21"/>
    <n v="4.2904629999999999"/>
    <n v="26.354195000000001"/>
    <x v="0"/>
    <s v="Ericsson"/>
    <m/>
  </r>
  <r>
    <d v="2023-10-28T10:45:00"/>
    <d v="2023-10-28T10:45:00"/>
    <s v="ANT-0159"/>
    <n v="84"/>
    <n v="1.4"/>
    <s v="Non Résolu"/>
    <x v="21"/>
    <n v="2.4414509999999998"/>
    <n v="30.167489"/>
    <x v="2"/>
    <s v="Nokia"/>
    <m/>
  </r>
  <r>
    <d v="2023-10-29T00:02:00"/>
    <d v="2023-10-29T00:02:00"/>
    <s v="ANT-0136"/>
    <n v="100"/>
    <n v="1.6666666666666667"/>
    <s v="Non Résolu"/>
    <x v="21"/>
    <n v="-9.3900009999999998"/>
    <n v="30.001517"/>
    <x v="0"/>
    <s v="Nokia"/>
    <m/>
  </r>
  <r>
    <d v="2023-10-31T20:44:00"/>
    <d v="2023-10-31T20:44:00"/>
    <s v="ANT-0257"/>
    <n v="57"/>
    <n v="0.95"/>
    <s v="Résolu"/>
    <x v="21"/>
    <n v="-4.1694589999999998"/>
    <n v="23.376487000000001"/>
    <x v="0"/>
    <s v="Nokia"/>
    <m/>
  </r>
  <r>
    <d v="2023-10-06T04:17:00"/>
    <d v="2023-10-06T04:17:00"/>
    <s v="ANT-0419"/>
    <n v="42"/>
    <n v="0.7"/>
    <s v="Non Résolu"/>
    <x v="22"/>
    <n v="3.611561"/>
    <n v="17.725974999999998"/>
    <x v="0"/>
    <s v="ZTE"/>
    <m/>
  </r>
  <r>
    <d v="2023-10-10T21:38:00"/>
    <d v="2023-10-10T21:38:00"/>
    <s v="ANT-0596"/>
    <n v="68"/>
    <n v="1.1333333333333333"/>
    <s v="Non Résolu"/>
    <x v="22"/>
    <n v="-8.3241560000000003"/>
    <n v="19.543866000000001"/>
    <x v="1"/>
    <s v="ZTE"/>
    <m/>
  </r>
  <r>
    <d v="2023-10-11T06:44:00"/>
    <d v="2023-10-11T06:44:00"/>
    <s v="ANT-0786"/>
    <n v="43"/>
    <n v="0.71666666666666667"/>
    <s v="Non Résolu"/>
    <x v="22"/>
    <n v="-12.342053999999999"/>
    <n v="18.756862000000002"/>
    <x v="0"/>
    <s v="Ericsson"/>
    <m/>
  </r>
  <r>
    <d v="2023-10-12T02:22:00"/>
    <d v="2023-10-12T02:22:00"/>
    <s v="ANT-0416"/>
    <n v="59"/>
    <n v="0.98333333333333328"/>
    <s v="En Cours"/>
    <x v="22"/>
    <n v="-11.387295999999999"/>
    <n v="19.384257999999999"/>
    <x v="0"/>
    <s v="Huawei"/>
    <m/>
  </r>
  <r>
    <d v="2023-10-12T21:43:00"/>
    <d v="2023-10-12T21:43:00"/>
    <s v="ANT-0786"/>
    <n v="45"/>
    <n v="0.75"/>
    <s v="En Cours"/>
    <x v="22"/>
    <n v="-12.342053999999999"/>
    <n v="18.756862000000002"/>
    <x v="0"/>
    <s v="Ericsson"/>
    <m/>
  </r>
  <r>
    <d v="2023-10-14T01:36:00"/>
    <d v="2023-10-14T01:36:00"/>
    <s v="ANT-0416"/>
    <n v="63"/>
    <n v="1.05"/>
    <s v="Résolu"/>
    <x v="22"/>
    <n v="-11.387295999999999"/>
    <n v="19.384257999999999"/>
    <x v="0"/>
    <s v="Huawei"/>
    <m/>
  </r>
  <r>
    <d v="2023-10-15T10:59:00"/>
    <d v="2023-10-15T10:59:00"/>
    <s v="ANT-0131"/>
    <n v="48"/>
    <n v="0.8"/>
    <s v="En Cours"/>
    <x v="22"/>
    <n v="-9.3652239999999995"/>
    <n v="22.593423999999999"/>
    <x v="2"/>
    <s v="Nokia"/>
    <m/>
  </r>
  <r>
    <d v="2023-10-15T18:35:00"/>
    <d v="2023-10-15T18:35:00"/>
    <s v="ANT-0926"/>
    <n v="118"/>
    <n v="1.9666666666666666"/>
    <s v="Résolu"/>
    <x v="22"/>
    <n v="-10.914952"/>
    <n v="26.409648000000001"/>
    <x v="1"/>
    <s v="Huawei"/>
    <m/>
  </r>
  <r>
    <d v="2023-10-17T16:10:00"/>
    <d v="2023-10-17T16:10:00"/>
    <s v="ANT-0078"/>
    <n v="117"/>
    <n v="1.95"/>
    <s v="Résolu"/>
    <x v="22"/>
    <n v="-12.141233"/>
    <n v="15.179043999999999"/>
    <x v="2"/>
    <s v="Ericsson"/>
    <m/>
  </r>
  <r>
    <d v="2023-10-17T18:21:00"/>
    <d v="2023-10-17T18:21:00"/>
    <s v="ANT-0926"/>
    <n v="53"/>
    <n v="0.8833333333333333"/>
    <s v="Non Résolu"/>
    <x v="22"/>
    <n v="-10.914952"/>
    <n v="26.409648000000001"/>
    <x v="1"/>
    <s v="Huawei"/>
    <m/>
  </r>
  <r>
    <d v="2023-10-20T10:32:00"/>
    <d v="2023-10-20T10:32:00"/>
    <s v="ANT-0165"/>
    <n v="105"/>
    <n v="1.75"/>
    <s v="Non Résolu"/>
    <x v="22"/>
    <n v="-0.54908599999999996"/>
    <n v="14.816867"/>
    <x v="2"/>
    <s v="ZTE"/>
    <m/>
  </r>
  <r>
    <d v="2023-10-21T11:44:00"/>
    <d v="2023-10-21T11:44:00"/>
    <s v="ANT-0131"/>
    <n v="49"/>
    <n v="0.81666666666666665"/>
    <s v="En Cours"/>
    <x v="22"/>
    <n v="-9.3652239999999995"/>
    <n v="22.593423999999999"/>
    <x v="2"/>
    <s v="Nokia"/>
    <m/>
  </r>
  <r>
    <d v="2023-10-24T13:18:00"/>
    <d v="2023-10-24T13:18:00"/>
    <s v="ANT-0714"/>
    <n v="86"/>
    <n v="1.4333333333333333"/>
    <s v="Non Résolu"/>
    <x v="22"/>
    <n v="-12.050063"/>
    <n v="26.636987999999999"/>
    <x v="0"/>
    <s v="Nokia"/>
    <m/>
  </r>
  <r>
    <d v="2023-10-26T15:01:00"/>
    <d v="2023-10-26T15:01:00"/>
    <s v="ANT-0394"/>
    <n v="108"/>
    <n v="1.8"/>
    <s v="En Cours"/>
    <x v="22"/>
    <n v="-10.611184"/>
    <n v="23.022268"/>
    <x v="2"/>
    <s v="ZTE"/>
    <m/>
  </r>
  <r>
    <d v="2023-10-28T07:25:00"/>
    <d v="2023-10-28T07:25:00"/>
    <s v="ANT-0926"/>
    <n v="118"/>
    <n v="1.9666666666666666"/>
    <s v="En Cours"/>
    <x v="22"/>
    <n v="-10.914952"/>
    <n v="26.409648000000001"/>
    <x v="1"/>
    <s v="Huawei"/>
    <m/>
  </r>
  <r>
    <d v="2023-10-28T18:02:00"/>
    <d v="2023-10-28T18:02:00"/>
    <s v="ANT-0714"/>
    <n v="42"/>
    <n v="0.7"/>
    <s v="Résolu"/>
    <x v="22"/>
    <n v="-12.050063"/>
    <n v="26.636987999999999"/>
    <x v="0"/>
    <s v="Nokia"/>
    <m/>
  </r>
  <r>
    <d v="2023-10-03T17:13:00"/>
    <d v="2023-10-03T17:13:00"/>
    <s v="ANT-0391"/>
    <n v="115"/>
    <n v="1.9166666666666667"/>
    <s v="En Cours"/>
    <x v="23"/>
    <n v="-1.5936220000000001"/>
    <n v="14.928856"/>
    <x v="2"/>
    <s v="Ericsson"/>
    <m/>
  </r>
  <r>
    <d v="2023-10-03T18:42:00"/>
    <d v="2023-10-03T18:42:00"/>
    <s v="ANT-0142"/>
    <n v="61"/>
    <n v="1.0166666666666666"/>
    <s v="En Cours"/>
    <x v="23"/>
    <n v="-12.229338"/>
    <n v="29.587834999999998"/>
    <x v="1"/>
    <s v="Nokia"/>
    <m/>
  </r>
  <r>
    <d v="2023-10-04T00:47:00"/>
    <d v="2023-10-04T00:47:00"/>
    <s v="ANT-0465"/>
    <n v="73"/>
    <n v="1.2166666666666666"/>
    <s v="Résolu"/>
    <x v="23"/>
    <n v="-11.144149000000001"/>
    <n v="27.244658999999999"/>
    <x v="1"/>
    <s v="Nokia"/>
    <m/>
  </r>
  <r>
    <d v="2023-10-04T07:19:00"/>
    <d v="2023-10-04T07:19:00"/>
    <s v="ANT-0357"/>
    <n v="106"/>
    <n v="1.7666666666666666"/>
    <s v="Non Résolu"/>
    <x v="23"/>
    <n v="-11.793894"/>
    <n v="20.433340999999999"/>
    <x v="2"/>
    <s v="Nokia"/>
    <m/>
  </r>
  <r>
    <d v="2023-10-06T08:29:00"/>
    <d v="2023-10-06T08:29:00"/>
    <s v="ANT-0434"/>
    <n v="52"/>
    <n v="0.8666666666666667"/>
    <s v="Non Résolu"/>
    <x v="23"/>
    <n v="3.1362930000000002"/>
    <n v="16.190878000000001"/>
    <x v="0"/>
    <s v="Nokia"/>
    <m/>
  </r>
  <r>
    <d v="2023-10-08T08:50:00"/>
    <d v="2023-10-08T08:50:00"/>
    <s v="ANT-0209"/>
    <n v="46"/>
    <n v="0.76666666666666672"/>
    <s v="Résolu"/>
    <x v="23"/>
    <n v="-10.481026999999999"/>
    <n v="18.160464000000001"/>
    <x v="2"/>
    <s v="Huawei"/>
    <m/>
  </r>
  <r>
    <d v="2023-10-11T01:14:00"/>
    <d v="2023-10-11T01:14:00"/>
    <s v="ANT-0900"/>
    <n v="73"/>
    <n v="1.2166666666666666"/>
    <s v="Résolu"/>
    <x v="23"/>
    <n v="-10.776204"/>
    <n v="24.672934000000001"/>
    <x v="1"/>
    <s v="Ericsson"/>
    <m/>
  </r>
  <r>
    <d v="2023-10-11T04:02:00"/>
    <d v="2023-10-11T04:02:00"/>
    <s v="ANT-0768"/>
    <n v="110"/>
    <n v="1.8333333333333333"/>
    <s v="Résolu"/>
    <x v="23"/>
    <n v="-9.9565739999999998"/>
    <n v="21.017202000000001"/>
    <x v="1"/>
    <s v="Huawei"/>
    <m/>
  </r>
  <r>
    <d v="2023-10-12T05:23:00"/>
    <d v="2023-10-12T05:23:00"/>
    <s v="ANT-0941"/>
    <n v="37"/>
    <n v="0.6166666666666667"/>
    <s v="Résolu"/>
    <x v="23"/>
    <n v="-2.4662510000000002"/>
    <n v="18.007998000000001"/>
    <x v="2"/>
    <s v="Ericsson"/>
    <m/>
  </r>
  <r>
    <d v="2023-10-13T03:22:00"/>
    <d v="2023-10-13T03:22:00"/>
    <s v="ANT-0862"/>
    <n v="19"/>
    <n v="0.31666666666666665"/>
    <s v="Non Résolu"/>
    <x v="23"/>
    <n v="-9.4708620000000003"/>
    <n v="29.234387999999999"/>
    <x v="0"/>
    <s v="ZTE"/>
    <m/>
  </r>
  <r>
    <d v="2023-10-15T10:26:00"/>
    <d v="2023-10-15T10:26:00"/>
    <s v="ANT-0900"/>
    <n v="61"/>
    <n v="1.0166666666666666"/>
    <s v="En Cours"/>
    <x v="23"/>
    <n v="-10.776204"/>
    <n v="24.672934000000001"/>
    <x v="1"/>
    <s v="Ericsson"/>
    <m/>
  </r>
  <r>
    <d v="2023-10-16T10:59:00"/>
    <d v="2023-10-16T10:59:00"/>
    <s v="ANT-0357"/>
    <n v="100"/>
    <n v="1.6666666666666667"/>
    <s v="Résolu"/>
    <x v="23"/>
    <n v="-11.793894"/>
    <n v="20.433340999999999"/>
    <x v="2"/>
    <s v="Nokia"/>
    <m/>
  </r>
  <r>
    <d v="2023-10-21T17:24:00"/>
    <d v="2023-10-21T17:24:00"/>
    <s v="ANT-0534"/>
    <n v="28"/>
    <n v="0.46666666666666667"/>
    <s v="En Cours"/>
    <x v="23"/>
    <n v="-9.002459"/>
    <n v="25.182109000000001"/>
    <x v="2"/>
    <s v="Huawei"/>
    <m/>
  </r>
  <r>
    <d v="2023-10-22T17:13:00"/>
    <d v="2023-10-22T17:13:00"/>
    <s v="ANT-0941"/>
    <n v="14"/>
    <n v="0.23333333333333334"/>
    <s v="Résolu"/>
    <x v="23"/>
    <n v="-2.4662510000000002"/>
    <n v="18.007998000000001"/>
    <x v="2"/>
    <s v="Ericsson"/>
    <m/>
  </r>
  <r>
    <d v="2023-10-22T20:41:00"/>
    <d v="2023-10-22T20:41:00"/>
    <s v="ANT-0928"/>
    <n v="21"/>
    <n v="0.35"/>
    <s v="Non Résolu"/>
    <x v="23"/>
    <n v="-1.864393"/>
    <n v="21.453434000000001"/>
    <x v="2"/>
    <s v="Ericsson"/>
    <m/>
  </r>
  <r>
    <d v="2023-10-22T20:41:00"/>
    <d v="2023-10-22T20:41:00"/>
    <s v="ANT-0721"/>
    <n v="65"/>
    <n v="1.0833333333333333"/>
    <s v="Résolu"/>
    <x v="23"/>
    <n v="-3.9148719999999999"/>
    <n v="12.260933"/>
    <x v="1"/>
    <s v="Ericsson"/>
    <m/>
  </r>
  <r>
    <d v="2023-10-25T02:31:00"/>
    <d v="2023-10-25T02:31:00"/>
    <s v="ANT-0703"/>
    <n v="98"/>
    <n v="1.6333333333333333"/>
    <s v="En Cours"/>
    <x v="23"/>
    <n v="-7.0007840000000003"/>
    <n v="22.787997000000001"/>
    <x v="2"/>
    <s v="ZTE"/>
    <m/>
  </r>
  <r>
    <d v="2023-10-26T18:46:00"/>
    <d v="2023-10-26T18:46:00"/>
    <s v="ANT-0110"/>
    <n v="113"/>
    <n v="1.8833333333333333"/>
    <s v="Non Résolu"/>
    <x v="23"/>
    <n v="-7.9425049999999997"/>
    <n v="24.111059000000001"/>
    <x v="0"/>
    <s v="ZTE"/>
    <m/>
  </r>
  <r>
    <d v="2023-10-26T23:10:00"/>
    <d v="2023-10-26T23:10:00"/>
    <s v="ANT-0534"/>
    <n v="36"/>
    <n v="0.6"/>
    <s v="Résolu"/>
    <x v="23"/>
    <n v="-9.002459"/>
    <n v="25.182109000000001"/>
    <x v="2"/>
    <s v="Huawei"/>
    <m/>
  </r>
  <r>
    <d v="2023-10-29T19:00:00"/>
    <d v="2023-10-29T19:00:00"/>
    <s v="ANT-0465"/>
    <n v="63"/>
    <n v="1.05"/>
    <s v="Résolu"/>
    <x v="23"/>
    <n v="-11.144149000000001"/>
    <n v="27.244658999999999"/>
    <x v="1"/>
    <s v="Nokia"/>
    <m/>
  </r>
  <r>
    <d v="2023-10-29T20:29:00"/>
    <d v="2023-10-29T20:29:00"/>
    <s v="ANT-0900"/>
    <n v="42"/>
    <n v="0.7"/>
    <s v="Résolu"/>
    <x v="23"/>
    <n v="-10.776204"/>
    <n v="24.672934000000001"/>
    <x v="1"/>
    <s v="Ericsson"/>
    <m/>
  </r>
  <r>
    <d v="2023-10-03T16:47:00"/>
    <d v="2023-10-03T16:47:00"/>
    <s v="ANT-0288"/>
    <n v="63"/>
    <n v="1.05"/>
    <s v="Non Résolu"/>
    <x v="24"/>
    <n v="1.400674"/>
    <n v="13.503126999999999"/>
    <x v="2"/>
    <s v="ZTE"/>
    <m/>
  </r>
  <r>
    <d v="2023-10-04T05:19:00"/>
    <d v="2023-10-04T05:19:00"/>
    <s v="ANT-0096"/>
    <n v="101"/>
    <n v="1.6833333333333333"/>
    <s v="Résolu"/>
    <x v="24"/>
    <n v="3.0603760000000002"/>
    <n v="19.708034000000001"/>
    <x v="0"/>
    <s v="ZTE"/>
    <m/>
  </r>
  <r>
    <d v="2023-10-04T12:17:00"/>
    <d v="2023-10-04T12:17:00"/>
    <s v="ANT-0945"/>
    <n v="64"/>
    <n v="1.0666666666666667"/>
    <s v="En Cours"/>
    <x v="24"/>
    <n v="0.23583499999999999"/>
    <n v="24.889558999999998"/>
    <x v="0"/>
    <s v="ZTE"/>
    <m/>
  </r>
  <r>
    <d v="2023-10-09T22:59:00"/>
    <d v="2023-10-09T22:59:00"/>
    <s v="ANT-0614"/>
    <n v="115"/>
    <n v="1.9166666666666667"/>
    <s v="Résolu"/>
    <x v="24"/>
    <n v="-6.1837850000000003"/>
    <n v="25.138759"/>
    <x v="0"/>
    <s v="Ericsson"/>
    <m/>
  </r>
  <r>
    <d v="2023-10-12T10:12:00"/>
    <d v="2023-10-12T10:12:00"/>
    <s v="ANT-0436"/>
    <n v="57"/>
    <n v="0.95"/>
    <s v="Non Résolu"/>
    <x v="24"/>
    <n v="-4.5603610000000003"/>
    <n v="24.113918999999999"/>
    <x v="2"/>
    <s v="ZTE"/>
    <m/>
  </r>
  <r>
    <d v="2023-10-16T13:56:00"/>
    <d v="2023-10-16T13:56:00"/>
    <s v="ANT-0180"/>
    <n v="102"/>
    <n v="1.7"/>
    <s v="En Cours"/>
    <x v="24"/>
    <n v="2.4425979999999998"/>
    <n v="24.924308"/>
    <x v="2"/>
    <s v="Ericsson"/>
    <m/>
  </r>
  <r>
    <d v="2023-10-21T03:49:00"/>
    <d v="2023-10-21T03:49:00"/>
    <s v="ANT-0526"/>
    <n v="60"/>
    <n v="1"/>
    <s v="En Cours"/>
    <x v="24"/>
    <n v="-9.4133639999999996"/>
    <n v="15.682482"/>
    <x v="1"/>
    <s v="Huawei"/>
    <m/>
  </r>
  <r>
    <d v="2023-10-21T16:15:00"/>
    <d v="2023-10-21T16:15:00"/>
    <s v="ANT-0058"/>
    <n v="107"/>
    <n v="1.7833333333333334"/>
    <s v="En Cours"/>
    <x v="24"/>
    <n v="-6.4670189999999996"/>
    <n v="29.487309"/>
    <x v="1"/>
    <s v="ZTE"/>
    <m/>
  </r>
  <r>
    <d v="2023-10-22T09:19:00"/>
    <d v="2023-10-22T09:19:00"/>
    <s v="ANT-0923"/>
    <n v="64"/>
    <n v="1.0666666666666667"/>
    <s v="Non Résolu"/>
    <x v="24"/>
    <n v="-12.070842000000001"/>
    <n v="14.757847"/>
    <x v="1"/>
    <s v="ZTE"/>
    <m/>
  </r>
  <r>
    <d v="2023-10-22T13:35:00"/>
    <d v="2023-10-22T13:35:00"/>
    <s v="ANT-0007"/>
    <n v="87"/>
    <n v="1.45"/>
    <s v="Non Résolu"/>
    <x v="24"/>
    <n v="4.7777349999999998"/>
    <n v="16.392204"/>
    <x v="2"/>
    <s v="ZTE"/>
    <m/>
  </r>
  <r>
    <d v="2023-10-25T02:46:00"/>
    <d v="2023-10-25T02:46:00"/>
    <s v="ANT-0839"/>
    <n v="45"/>
    <n v="0.75"/>
    <s v="Non Résolu"/>
    <x v="24"/>
    <n v="-11.265995"/>
    <n v="28.935514999999999"/>
    <x v="1"/>
    <s v="Ericsson"/>
    <m/>
  </r>
  <r>
    <d v="2023-10-27T23:16:00"/>
    <d v="2023-10-27T23:16:00"/>
    <s v="ANT-0096"/>
    <n v="68"/>
    <n v="1.1333333333333333"/>
    <s v="Résolu"/>
    <x v="24"/>
    <n v="3.0603760000000002"/>
    <n v="19.708034000000001"/>
    <x v="0"/>
    <s v="ZTE"/>
    <m/>
  </r>
  <r>
    <d v="2023-10-28T03:28:00"/>
    <d v="2023-10-28T03:28:00"/>
    <s v="ANT-0180"/>
    <n v="11"/>
    <n v="0.18333333333333332"/>
    <s v="Non Résolu"/>
    <x v="24"/>
    <n v="2.4425979999999998"/>
    <n v="24.924308"/>
    <x v="2"/>
    <s v="Ericsson"/>
    <m/>
  </r>
  <r>
    <d v="2023-10-28T13:52:00"/>
    <d v="2023-10-28T13:52:00"/>
    <s v="ANT-0436"/>
    <n v="50"/>
    <n v="0.83333333333333337"/>
    <s v="En Cours"/>
    <x v="24"/>
    <n v="-4.5603610000000003"/>
    <n v="24.113918999999999"/>
    <x v="2"/>
    <s v="ZTE"/>
    <m/>
  </r>
  <r>
    <d v="2023-10-29T12:22:00"/>
    <d v="2023-10-29T12:22:00"/>
    <s v="ANT-0536"/>
    <n v="105"/>
    <n v="1.75"/>
    <s v="Résolu"/>
    <x v="24"/>
    <n v="-0.919767"/>
    <n v="18.905538"/>
    <x v="2"/>
    <s v="Ericsson"/>
    <m/>
  </r>
  <r>
    <d v="2023-10-29T13:31:00"/>
    <d v="2023-10-29T13:31:00"/>
    <s v="ANT-0839"/>
    <n v="44"/>
    <n v="0.73333333333333328"/>
    <s v="Résolu"/>
    <x v="24"/>
    <n v="-11.265995"/>
    <n v="28.935514999999999"/>
    <x v="1"/>
    <s v="Ericsson"/>
    <m/>
  </r>
  <r>
    <d v="2023-10-01T12:21:00"/>
    <d v="2023-10-01T12:21:00"/>
    <s v="ANT-0287"/>
    <n v="24"/>
    <n v="0.4"/>
    <s v="En Cours"/>
    <x v="25"/>
    <n v="-11.622688999999999"/>
    <n v="18.483874"/>
    <x v="2"/>
    <s v="ZTE"/>
    <m/>
  </r>
  <r>
    <d v="2023-10-01T12:50:00"/>
    <d v="2023-10-01T12:50:00"/>
    <s v="ANT-0617"/>
    <n v="50"/>
    <n v="0.83333333333333337"/>
    <s v="En Cours"/>
    <x v="25"/>
    <n v="-7.7587710000000003"/>
    <n v="17.880848"/>
    <x v="0"/>
    <s v="Ericsson"/>
    <m/>
  </r>
  <r>
    <d v="2023-10-03T01:09:00"/>
    <d v="2023-10-03T01:09:00"/>
    <s v="ANT-0081"/>
    <n v="115"/>
    <n v="1.9166666666666667"/>
    <s v="Non Résolu"/>
    <x v="25"/>
    <n v="-10.577049000000001"/>
    <n v="23.721854"/>
    <x v="1"/>
    <s v="ZTE"/>
    <m/>
  </r>
  <r>
    <d v="2023-10-04T14:19:00"/>
    <d v="2023-10-04T14:19:00"/>
    <s v="ANT-0229"/>
    <n v="13"/>
    <n v="0.21666666666666667"/>
    <s v="Non Résolu"/>
    <x v="25"/>
    <n v="-1.9540519999999999"/>
    <n v="12.667945"/>
    <x v="1"/>
    <s v="Huawei"/>
    <m/>
  </r>
  <r>
    <d v="2023-10-04T22:49:00"/>
    <d v="2023-10-04T22:49:00"/>
    <s v="ANT-0680"/>
    <n v="8"/>
    <n v="0.13333333333333333"/>
    <s v="Non Résolu"/>
    <x v="25"/>
    <n v="-0.79406600000000005"/>
    <n v="12.534793000000001"/>
    <x v="0"/>
    <s v="Huawei"/>
    <m/>
  </r>
  <r>
    <d v="2023-10-17T16:50:00"/>
    <d v="2023-10-17T16:50:00"/>
    <s v="ANT-0287"/>
    <n v="80"/>
    <n v="1.3333333333333333"/>
    <s v="Résolu"/>
    <x v="25"/>
    <n v="-11.622688999999999"/>
    <n v="18.483874"/>
    <x v="2"/>
    <s v="ZTE"/>
    <m/>
  </r>
  <r>
    <d v="2023-10-20T15:45:00"/>
    <d v="2023-10-20T15:45:00"/>
    <s v="ANT-0081"/>
    <n v="118"/>
    <n v="1.9666666666666666"/>
    <s v="Non Résolu"/>
    <x v="25"/>
    <n v="-10.577049000000001"/>
    <n v="23.721854"/>
    <x v="1"/>
    <s v="ZTE"/>
    <m/>
  </r>
  <r>
    <d v="2023-10-20T19:14:00"/>
    <d v="2023-10-20T19:14:00"/>
    <s v="ANT-0674"/>
    <n v="65"/>
    <n v="1.0833333333333333"/>
    <s v="Non Résolu"/>
    <x v="25"/>
    <n v="0.52897499999999997"/>
    <n v="13.849651"/>
    <x v="0"/>
    <s v="ZTE"/>
    <m/>
  </r>
  <r>
    <d v="2023-10-22T06:41:00"/>
    <d v="2023-10-22T06:41:00"/>
    <s v="ANT-0600"/>
    <n v="83"/>
    <n v="1.3833333333333333"/>
    <s v="En Cours"/>
    <x v="25"/>
    <n v="-12.292039000000001"/>
    <n v="27.538202999999999"/>
    <x v="0"/>
    <s v="Huawei"/>
    <m/>
  </r>
  <r>
    <d v="2023-10-22T18:44:00"/>
    <d v="2023-10-22T18:44:00"/>
    <s v="ANT-0551"/>
    <n v="67"/>
    <n v="1.1166666666666667"/>
    <s v="Résolu"/>
    <x v="25"/>
    <n v="-7.789663"/>
    <n v="26.529098000000001"/>
    <x v="2"/>
    <s v="Nokia"/>
    <m/>
  </r>
  <r>
    <d v="2023-10-24T10:49:00"/>
    <d v="2023-10-24T10:49:00"/>
    <s v="ANT-0411"/>
    <n v="14"/>
    <n v="0.23333333333333334"/>
    <s v="En Cours"/>
    <x v="25"/>
    <n v="-2.571777"/>
    <n v="12.120642"/>
    <x v="0"/>
    <s v="Huawei"/>
    <m/>
  </r>
  <r>
    <d v="2023-10-25T08:21:00"/>
    <d v="2023-10-25T08:21:00"/>
    <s v="ANT-0551"/>
    <n v="14"/>
    <n v="0.23333333333333334"/>
    <s v="Résolu"/>
    <x v="25"/>
    <n v="-7.789663"/>
    <n v="26.529098000000001"/>
    <x v="2"/>
    <s v="Nokia"/>
    <m/>
  </r>
  <r>
    <d v="2023-10-26T23:30:00"/>
    <d v="2023-10-26T23:30:00"/>
    <s v="ANT-0081"/>
    <n v="6"/>
    <n v="0.1"/>
    <s v="Résolu"/>
    <x v="25"/>
    <n v="-10.577049000000001"/>
    <n v="23.721854"/>
    <x v="1"/>
    <s v="ZTE"/>
    <m/>
  </r>
  <r>
    <d v="2023-10-30T15:09:00"/>
    <d v="2023-10-30T15:09:00"/>
    <s v="ANT-0685"/>
    <n v="81"/>
    <n v="1.35"/>
    <s v="Résolu"/>
    <x v="25"/>
    <n v="-10.574821"/>
    <n v="25.324966"/>
    <x v="2"/>
    <s v="Ericsson"/>
    <m/>
  </r>
  <r>
    <d v="2023-10-31T21:55:00"/>
    <d v="2023-10-31T21:55:00"/>
    <s v="ANT-0229"/>
    <n v="62"/>
    <n v="1.0333333333333334"/>
    <s v="Résolu"/>
    <x v="25"/>
    <n v="-1.9540519999999999"/>
    <n v="12.667945"/>
    <x v="1"/>
    <s v="Huawei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F2BCF8-7341-4685-A061-2A35E060573A}" name="Tableau croisé dynamique5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82" firstHeaderRow="0" firstDataRow="1" firstDataCol="1"/>
  <pivotFields count="4">
    <pivotField axis="axisRow" allDrilled="1" subtotalTop="0" showAll="0" dataSourceSort="1" defaultSubtotal="0" defaultAttributeDrillState="1">
      <items count="2">
        <item s="1" x="0"/>
        <item s="1" x="1"/>
      </items>
    </pivotField>
    <pivotField axis="axisRow" allDrilled="1" subtotalTop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dataField="1" subtotalTop="0" showAll="0" defaultSubtotal="0"/>
    <pivotField dataField="1" subtotalTop="0" showAll="0" defaultSubtotal="0"/>
  </pivotFields>
  <rowFields count="2">
    <field x="1"/>
    <field x="0"/>
  </rowFields>
  <rowItems count="7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/>
    </i>
    <i r="1">
      <x v="1"/>
    </i>
    <i>
      <x v="13"/>
    </i>
    <i r="1">
      <x/>
    </i>
    <i r="1">
      <x v="1"/>
    </i>
    <i>
      <x v="14"/>
    </i>
    <i r="1">
      <x/>
    </i>
    <i r="1">
      <x v="1"/>
    </i>
    <i>
      <x v="15"/>
    </i>
    <i r="1">
      <x/>
    </i>
    <i r="1">
      <x v="1"/>
    </i>
    <i>
      <x v="16"/>
    </i>
    <i r="1">
      <x/>
    </i>
    <i r="1">
      <x v="1"/>
    </i>
    <i>
      <x v="17"/>
    </i>
    <i r="1">
      <x/>
    </i>
    <i r="1">
      <x v="1"/>
    </i>
    <i>
      <x v="18"/>
    </i>
    <i r="1">
      <x/>
    </i>
    <i r="1">
      <x v="1"/>
    </i>
    <i>
      <x v="19"/>
    </i>
    <i r="1">
      <x/>
    </i>
    <i r="1">
      <x v="1"/>
    </i>
    <i>
      <x v="20"/>
    </i>
    <i r="1">
      <x/>
    </i>
    <i r="1">
      <x v="1"/>
    </i>
    <i>
      <x v="21"/>
    </i>
    <i r="1">
      <x/>
    </i>
    <i r="1">
      <x v="1"/>
    </i>
    <i>
      <x v="22"/>
    </i>
    <i r="1">
      <x/>
    </i>
    <i r="1">
      <x v="1"/>
    </i>
    <i>
      <x v="23"/>
    </i>
    <i r="1">
      <x/>
    </i>
    <i r="1">
      <x v="1"/>
    </i>
    <i>
      <x v="24"/>
    </i>
    <i r="1">
      <x/>
    </i>
    <i r="1">
      <x v="1"/>
    </i>
    <i>
      <x v="25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Cell_ID" fld="2" subtotal="count" baseField="0" baseItem="0"/>
    <dataField fld="3" subtotal="count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6"/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STER_KADEA_TELCO.xlsx!Logs_Reseau_Part56">
        <x15:activeTabTopLevelEntity name="[Logs_Reseau_Part5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19DF85-502F-4BA9-AC2F-0C463E1B580C}" name="Tableau croisé dynamique4" cacheId="1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07" firstHeaderRow="1" firstDataRow="1" firstDataCol="1"/>
  <pivotFields count="12">
    <pivotField numFmtId="14" showAll="0"/>
    <pivotField numFmtId="164" showAll="0"/>
    <pivotField dataField="1" showAll="0"/>
    <pivotField showAll="0"/>
    <pivotField showAll="0"/>
    <pivotField showAll="0"/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2">
    <field x="6"/>
    <field x="9"/>
  </rowFields>
  <rowItems count="104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>
      <x v="12"/>
    </i>
    <i r="1">
      <x/>
    </i>
    <i r="1">
      <x v="1"/>
    </i>
    <i r="1">
      <x v="2"/>
    </i>
    <i>
      <x v="13"/>
    </i>
    <i r="1">
      <x/>
    </i>
    <i r="1">
      <x v="1"/>
    </i>
    <i r="1">
      <x v="2"/>
    </i>
    <i>
      <x v="14"/>
    </i>
    <i r="1">
      <x/>
    </i>
    <i r="1">
      <x v="1"/>
    </i>
    <i r="1">
      <x v="2"/>
    </i>
    <i>
      <x v="15"/>
    </i>
    <i r="1">
      <x/>
    </i>
    <i r="1">
      <x v="1"/>
    </i>
    <i r="1">
      <x v="2"/>
    </i>
    <i>
      <x v="16"/>
    </i>
    <i r="1">
      <x v="1"/>
    </i>
    <i r="1">
      <x v="2"/>
    </i>
    <i>
      <x v="17"/>
    </i>
    <i r="1">
      <x/>
    </i>
    <i r="1">
      <x v="1"/>
    </i>
    <i r="1">
      <x v="2"/>
    </i>
    <i>
      <x v="18"/>
    </i>
    <i r="1">
      <x/>
    </i>
    <i r="1">
      <x v="1"/>
    </i>
    <i r="1">
      <x v="2"/>
    </i>
    <i>
      <x v="19"/>
    </i>
    <i r="1">
      <x/>
    </i>
    <i r="1">
      <x v="1"/>
    </i>
    <i r="1">
      <x v="2"/>
    </i>
    <i>
      <x v="20"/>
    </i>
    <i r="1">
      <x/>
    </i>
    <i r="1">
      <x v="1"/>
    </i>
    <i r="1">
      <x v="2"/>
    </i>
    <i>
      <x v="21"/>
    </i>
    <i r="1">
      <x/>
    </i>
    <i r="1">
      <x v="1"/>
    </i>
    <i r="1">
      <x v="2"/>
    </i>
    <i>
      <x v="22"/>
    </i>
    <i r="1">
      <x/>
    </i>
    <i r="1">
      <x v="1"/>
    </i>
    <i r="1">
      <x v="2"/>
    </i>
    <i>
      <x v="23"/>
    </i>
    <i r="1">
      <x/>
    </i>
    <i r="1">
      <x v="1"/>
    </i>
    <i r="1">
      <x v="2"/>
    </i>
    <i>
      <x v="24"/>
    </i>
    <i r="1">
      <x/>
    </i>
    <i r="1">
      <x v="1"/>
    </i>
    <i r="1">
      <x v="2"/>
    </i>
    <i>
      <x v="25"/>
    </i>
    <i r="1">
      <x/>
    </i>
    <i r="1">
      <x v="1"/>
    </i>
    <i r="1">
      <x v="2"/>
    </i>
    <i t="grand">
      <x/>
    </i>
  </rowItems>
  <colItems count="1">
    <i/>
  </colItems>
  <dataFields count="1">
    <dataField name="Nombre de Cell_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50A349-6F52-4A49-954E-6182E48B0B2C}" name="Tableau croisé dynamique5" cacheId="1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7" firstHeaderRow="1" firstDataRow="1" firstDataCol="1"/>
  <pivotFields count="12">
    <pivotField numFmtId="14" showAll="0"/>
    <pivotField numFmtId="164" showAll="0"/>
    <pivotField showAll="0"/>
    <pivotField showAll="0"/>
    <pivotField dataField="1" showAll="0"/>
    <pivotField showAll="0"/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duree_panne_heure" fld="4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7" xr16:uid="{6EE7192F-FAFE-46D9-B8C2-D7E069C67569}" autoFormatId="16" applyNumberFormats="0" applyBorderFormats="0" applyFontFormats="0" applyPatternFormats="0" applyAlignmentFormats="0" applyWidthHeightFormats="0">
  <queryTableRefresh nextId="17" unboundColumnsLeft="1" unboundColumnsRight="6">
    <queryTableFields count="12">
      <queryTableField id="6" dataBound="0" tableColumnId="6"/>
      <queryTableField id="2" name="Date_Heure_Panne" tableColumnId="2"/>
      <queryTableField id="3" name="Cell_ID" tableColumnId="3"/>
      <queryTableField id="4" name="Duree_Panne_Min" tableColumnId="4"/>
      <queryTableField id="16" dataBound="0" tableColumnId="1"/>
      <queryTableField id="5" name="Statut_Resolution" tableColumnId="5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5" dataBound="0" tableColumnId="7"/>
    </queryTableFields>
    <queryTableDeletedFields count="1">
      <deletedField name="Source.Na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DE2B2CAC-8D12-4F40-A27C-59DD50A0E0D3}" autoFormatId="16" applyNumberFormats="0" applyBorderFormats="0" applyFontFormats="0" applyPatternFormats="0" applyAlignmentFormats="0" applyWidthHeightFormats="0">
  <queryTableRefresh nextId="15" unboundColumnsRight="3">
    <queryTableFields count="14">
      <queryTableField id="1" name="Source.Name" tableColumnId="1"/>
      <queryTableField id="2" name="ID_Client" tableColumnId="2"/>
      <queryTableField id="3" name="Province_Client" tableColumnId="3"/>
      <queryTableField id="4" name="Anciennete_Mois" tableColumnId="4"/>
      <queryTableField id="11" dataBound="0" tableColumnId="13"/>
      <queryTableField id="5" name="Type_Forfait" tableColumnId="5"/>
      <queryTableField id="10" dataBound="0" tableColumnId="12"/>
      <queryTableField id="6" name="Duree_Cumulee_Panne_Min" tableColumnId="6"/>
      <queryTableField id="12" dataBound="0" tableColumnId="14"/>
      <queryTableField id="7" name="Facture_Mensuelle" tableColumnId="7"/>
      <queryTableField id="8" name="Plaintes_Service_Client" tableColumnId="8"/>
      <queryTableField id="13" dataBound="0" tableColumnId="15"/>
      <queryTableField id="14" dataBound="0" tableColumnId="16"/>
      <queryTableField id="9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5" xr16:uid="{2C3D8F0B-B48B-46FA-96A6-F21E3431EB9A}" autoFormatId="16" applyNumberFormats="0" applyBorderFormats="0" applyFontFormats="0" applyPatternFormats="0" applyAlignmentFormats="0" applyWidthHeightFormats="0">
  <queryTableRefresh nextId="9" unboundColumnsRight="1">
    <queryTableFields count="7">
      <queryTableField id="1" name="Source.Name" tableColumnId="1"/>
      <queryTableField id="6" dataBound="0" tableColumnId="6"/>
      <queryTableField id="2" name="Date_Heure_Panne" tableColumnId="2"/>
      <queryTableField id="3" name="Cell_ID" tableColumnId="3"/>
      <queryTableField id="4" name="Duree_Panne_Min" tableColumnId="4"/>
      <queryTableField id="5" name="Statut_Resolution" tableColumnId="5"/>
      <queryTableField id="7" dataBound="0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1" xr16:uid="{C3410C3A-6512-4A62-87CD-3A780655D234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Source.Name" tableColumnId="1"/>
      <queryTableField id="2" name="ID_Antenne" tableColumnId="2"/>
      <queryTableField id="3" name="Province_RDC" tableColumnId="3"/>
      <queryTableField id="4" name="Latitude" tableColumnId="4"/>
      <queryTableField id="5" name="Longitude" tableColumnId="5"/>
      <queryTableField id="6" name="Technologie" tableColumnId="6"/>
      <queryTableField id="7" name="Equipementier" tableColumnId="7"/>
      <queryTableField id="8" dataBound="0" tableColumnId="8"/>
      <queryTableField id="9" dataBound="0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6" xr16:uid="{6AB3808F-1DFD-4126-B918-F24D0EFC25E5}" autoFormatId="16" applyNumberFormats="0" applyBorderFormats="0" applyFontFormats="0" applyPatternFormats="0" applyAlignmentFormats="0" applyWidthHeightFormats="0">
  <queryTableRefresh nextId="14" unboundColumnsRight="5">
    <queryTableFields count="11">
      <queryTableField id="1" name="Source.Name" tableColumnId="1"/>
      <queryTableField id="6" dataBound="0" tableColumnId="6"/>
      <queryTableField id="2" name="Date_Heure_Panne" tableColumnId="2"/>
      <queryTableField id="3" name="Cell_ID" tableColumnId="3"/>
      <queryTableField id="4" name="Duree_Panne_Min" tableColumnId="4"/>
      <queryTableField id="5" name="Statut_Resolution" tableColumnId="5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vince_RDC" xr10:uid="{6DDA2F02-C528-4CF4-9A6E-2CC669AAEEC5}" sourceName="Province_RDC">
  <pivotTables>
    <pivotTable tabId="22" name="Tableau croisé dynamique5"/>
  </pivotTables>
  <data>
    <tabular pivotCacheId="392926629">
      <items count="26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vince_RDC" xr10:uid="{60917650-7F0F-47AE-A74B-659C58746CFC}" cache="Segment_Province_RDC" caption="Province_RDC" columnCount="13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87455B-6770-4104-AB56-28CADD4826E4}" name="Logs_Reseau_Part56" displayName="Logs_Reseau_Part56" ref="A1:L479" tableType="queryTable" totalsRowShown="0">
  <autoFilter ref="A1:L479" xr:uid="{831D0BF1-0505-46DE-AE2B-072A2A9E4664}"/>
  <sortState xmlns:xlrd2="http://schemas.microsoft.com/office/spreadsheetml/2017/richdata2" ref="A2:G479">
    <sortCondition ref="G1:G479"/>
  </sortState>
  <tableColumns count="12">
    <tableColumn id="6" xr3:uid="{F83DE75D-617E-49EC-91C5-B9E425954280}" uniqueName="6" name="Date_Panne" queryTableFieldId="6" dataDxfId="36"/>
    <tableColumn id="2" xr3:uid="{BA73530D-2222-4A6D-9CFE-1B8E11BF126C}" uniqueName="2" name="Heure_Panne" queryTableFieldId="2" dataDxfId="35"/>
    <tableColumn id="3" xr3:uid="{D2F64640-4980-493A-9F19-3D73E8D291F7}" uniqueName="3" name="Cell_ID" queryTableFieldId="3" dataDxfId="34"/>
    <tableColumn id="4" xr3:uid="{55E8F8D6-CEAD-4DCB-A575-0E673476B138}" uniqueName="4" name="Duree_Panne_Min" queryTableFieldId="4"/>
    <tableColumn id="1" xr3:uid="{D610EF3E-DFAE-4B97-AB60-806A7A51126B}" uniqueName="1" name="duree_panne_heure" queryTableFieldId="16" dataDxfId="0">
      <calculatedColumnFormula>Logs_Reseau_Part56[[#This Row],[Duree_Panne_Min]]/60</calculatedColumnFormula>
    </tableColumn>
    <tableColumn id="5" xr3:uid="{68BFA110-F3F3-4DB8-8684-C8E8DD5ADB6E}" uniqueName="5" name="Statut_Resolution" queryTableFieldId="5" dataDxfId="33"/>
    <tableColumn id="9" xr3:uid="{BB970EDC-384C-49D7-9684-841CF19EDE86}" uniqueName="9" name="Province_RDC" queryTableFieldId="9" dataDxfId="32">
      <calculatedColumnFormula>IFERROR(VLOOKUP(Logs_Reseau_Part56[[#This Row],[Cell_ID]],Registre_Maintenance_Part[[ID_Antenne]:[Colonne2]],2,FALSE),"")</calculatedColumnFormula>
    </tableColumn>
    <tableColumn id="10" xr3:uid="{D1F0F291-A036-4795-A7D4-202154CC8C14}" uniqueName="10" name="Latitude" queryTableFieldId="10" dataDxfId="31">
      <calculatedColumnFormula>IFERROR(VLOOKUP(Logs_Reseau_Part56[[#This Row],[Cell_ID]],Registre_Maintenance_Part[[ID_Antenne]:[Colonne2]],3,FALSE),"")</calculatedColumnFormula>
    </tableColumn>
    <tableColumn id="11" xr3:uid="{31B30EA1-B98C-40AA-BECD-0FB062B388A6}" uniqueName="11" name="Longitude" queryTableFieldId="11" dataDxfId="30">
      <calculatedColumnFormula>IFERROR(VLOOKUP(Logs_Reseau_Part56[[#This Row],[Cell_ID]],Registre_Maintenance_Part[[ID_Antenne]:[Colonne2]],4,FALSE),"")</calculatedColumnFormula>
    </tableColumn>
    <tableColumn id="12" xr3:uid="{BCECB143-5B81-4274-ACD5-86852CD3DE62}" uniqueName="12" name="Technologie" queryTableFieldId="12" dataDxfId="29">
      <calculatedColumnFormula>IFERROR(VLOOKUP(Logs_Reseau_Part56[[#This Row],[Cell_ID]],Registre_Maintenance_Part[[ID_Antenne]:[Colonne2]],5,FALSE),"")</calculatedColumnFormula>
    </tableColumn>
    <tableColumn id="13" xr3:uid="{80578837-5E8B-4F1B-86EA-161706B7E43D}" uniqueName="13" name="Equipementier" queryTableFieldId="13" dataDxfId="28">
      <calculatedColumnFormula>IFERROR(VLOOKUP(Logs_Reseau_Part56[[#This Row],[Cell_ID]],Registre_Maintenance_Part[[ID_Antenne]:[Colonne2]],6,FALSE),"")</calculatedColumnFormula>
    </tableColumn>
    <tableColumn id="7" xr3:uid="{5325D91D-29BB-439C-B400-37116C6606E2}" uniqueName="7" name="Colonne1" queryTableFieldId="15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ED448-6399-4B5B-878A-46EBF6998EB5}" name="Clients_Churn_Part" displayName="Clients_Churn_Part" ref="A1:N674" tableType="queryTable" totalsRowShown="0">
  <autoFilter ref="A1:N674" xr:uid="{F13ED448-6399-4B5B-878A-46EBF6998EB5}"/>
  <sortState xmlns:xlrd2="http://schemas.microsoft.com/office/spreadsheetml/2017/richdata2" ref="A2:N674">
    <sortCondition ref="B1:B674"/>
  </sortState>
  <tableColumns count="14">
    <tableColumn id="1" xr3:uid="{54701CC6-1C19-455B-8F71-B8F1EA37AA19}" uniqueName="1" name="Source.Name" queryTableFieldId="1" dataDxfId="26"/>
    <tableColumn id="2" xr3:uid="{3DEFDE9F-9C6B-4978-838F-67E36CA093FA}" uniqueName="2" name="ID_Client" queryTableFieldId="2" dataDxfId="25"/>
    <tableColumn id="3" xr3:uid="{677CA64B-418A-4F22-A6B2-66C7FFB89513}" uniqueName="3" name="Province_Client" queryTableFieldId="3" dataDxfId="24"/>
    <tableColumn id="4" xr3:uid="{619946CC-8E86-469F-A89B-398308527652}" uniqueName="4" name="Anciennete_Mois" queryTableFieldId="4"/>
    <tableColumn id="13" xr3:uid="{7895DD0F-9BEC-4305-95AA-6CBB1A4CA537}" uniqueName="13" name="Anciennete_annee" queryTableFieldId="11" dataDxfId="23">
      <calculatedColumnFormula>Clients_Churn_Part[[#This Row],[Anciennete_Mois]]/12</calculatedColumnFormula>
    </tableColumn>
    <tableColumn id="5" xr3:uid="{E8FC2F0A-A573-4E28-A0B6-40649C19EA86}" uniqueName="5" name="Type_Forfait" queryTableFieldId="5" dataDxfId="22"/>
    <tableColumn id="12" xr3:uid="{19434ACC-EAD4-4A30-89BC-6073CBFF1710}" uniqueName="12" name="type_client" queryTableFieldId="10" dataDxfId="21">
      <calculatedColumnFormula>IF(Clients_Churn_Part[[#This Row],[Type_Forfait]]="pro Monde","B2B","B2C")</calculatedColumnFormula>
    </tableColumn>
    <tableColumn id="6" xr3:uid="{9A4650D8-DE29-4527-B205-1C0F2652CF70}" uniqueName="6" name="Duree_Cumulee_Panne_Min" queryTableFieldId="6"/>
    <tableColumn id="14" xr3:uid="{5230FCDE-D44B-4921-9D8F-FC3897E70196}" uniqueName="14" name="Duree_cumule_heure" queryTableFieldId="12" dataDxfId="20">
      <calculatedColumnFormula>Clients_Churn_Part[[#This Row],[Duree_Cumulee_Panne_Min]]/60</calculatedColumnFormula>
    </tableColumn>
    <tableColumn id="7" xr3:uid="{88C1476E-B123-478C-BFB9-897E74774A9C}" uniqueName="7" name="Facture_Mensuelle" queryTableFieldId="7"/>
    <tableColumn id="8" xr3:uid="{0B59FDD5-1889-4F9B-B261-0E013D1C757A}" uniqueName="8" name="Plaintes_Service_Client" queryTableFieldId="8"/>
    <tableColumn id="15" xr3:uid="{AB41132D-2DDB-4A5A-B3F8-69CDE2A108C1}" uniqueName="15" name="Remise" queryTableFieldId="13" dataDxfId="19">
      <calculatedColumnFormula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calculatedColumnFormula>
    </tableColumn>
    <tableColumn id="16" xr3:uid="{152FA446-77D9-43E2-B195-A449C7C95F24}" uniqueName="16" name="Montant_Remise" queryTableFieldId="14" dataDxfId="18">
      <calculatedColumnFormula>Clients_Churn_Part[[#This Row],[Facture_Mensuelle]]*Clients_Churn_Part[[#This Row],[Remise]]</calculatedColumnFormula>
    </tableColumn>
    <tableColumn id="9" xr3:uid="{D40C4868-C0BA-4633-9F65-9AB0FA26C161}" uniqueName="9" name="check_facture" queryTableFieldId="9" dataDxfId="17">
      <calculatedColumnFormula>AND(INT(Clients_Churn_Part[[#This Row],[Facture_Mensuelle]]*100)=Clients_Churn_Part[[#This Row],[Facture_Mensuelle]]*100,INT(Clients_Churn_Part[[#This Row],[Facture_Mensuelle]]*10)&lt;&gt;Clients_Churn_Part[[#This Row],[Facture_Mensuelle]]*10)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591D3C-54D7-470A-A939-C0305E0B9961}" name="Logs_Reseau_Part" displayName="Logs_Reseau_Part" ref="A1:G1069" tableType="queryTable" totalsRowShown="0">
  <autoFilter ref="A1:G1069" xr:uid="{5A591D3C-54D7-470A-A939-C0305E0B9961}"/>
  <sortState xmlns:xlrd2="http://schemas.microsoft.com/office/spreadsheetml/2017/richdata2" ref="A2:G1069">
    <sortCondition descending="1" ref="C1:C1074"/>
  </sortState>
  <tableColumns count="7">
    <tableColumn id="1" xr3:uid="{58C46FF6-7680-4BCB-A75D-FD383627AD49}" uniqueName="1" name="Source.Name" queryTableFieldId="1" dataDxfId="16"/>
    <tableColumn id="6" xr3:uid="{1057BB7E-B1F9-43E4-B7DD-567B9EE758CC}" uniqueName="6" name="Date_Panne" queryTableFieldId="6" dataDxfId="15"/>
    <tableColumn id="2" xr3:uid="{955E35B9-6805-4009-861E-B2A3B6053E92}" uniqueName="2" name="Date_Heure_Panne" queryTableFieldId="2" dataDxfId="14"/>
    <tableColumn id="3" xr3:uid="{DAFCAA32-DC22-4F5C-97DD-BF894DE9DC77}" uniqueName="3" name="Cell_ID" queryTableFieldId="3" dataDxfId="13"/>
    <tableColumn id="4" xr3:uid="{FA4C1CF0-256C-4802-8498-19A73CC0EBAF}" uniqueName="4" name="Duree_Panne_Min" queryTableFieldId="4"/>
    <tableColumn id="5" xr3:uid="{8EDC5304-F2A9-41C4-93AF-8523D38FC484}" uniqueName="5" name="Statut_Resolution" queryTableFieldId="5" dataDxfId="12"/>
    <tableColumn id="7" xr3:uid="{127F708F-C35C-48B5-B7AA-21A540496A5A}" uniqueName="7" name="Colonne1" queryTableFieldId="7" dataDxfId="11">
      <calculatedColumnFormula>LEFT(Logs_Reseau_Part[[#This Row],[Cell_ID]],1)="A"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63AF66-99B7-41D7-9CF7-22061EC677C5}" name="Registre_Maintenance_Part" displayName="Registre_Maintenance_Part" ref="A1:I418" tableType="queryTable" totalsRowShown="0">
  <autoFilter ref="A1:I418" xr:uid="{8A63AF66-99B7-41D7-9CF7-22061EC677C5}"/>
  <tableColumns count="9">
    <tableColumn id="1" xr3:uid="{34F64A05-5D7F-486A-8022-E950780E4F66}" uniqueName="1" name="Source.Name" queryTableFieldId="1" dataDxfId="43"/>
    <tableColumn id="2" xr3:uid="{6B408E2E-9F01-4314-9917-C2D0A5BAFF9E}" uniqueName="2" name="ID_Antenne" queryTableFieldId="2" dataDxfId="42"/>
    <tableColumn id="3" xr3:uid="{CABC38FA-6838-44E0-96D9-509BDEBE4A07}" uniqueName="3" name="Province_RDC" queryTableFieldId="3" dataDxfId="41"/>
    <tableColumn id="4" xr3:uid="{37BDF334-95A0-4383-BF70-3FA78678F3A4}" uniqueName="4" name="Latitude" queryTableFieldId="4"/>
    <tableColumn id="5" xr3:uid="{4632C155-7788-49C7-BDEC-7CA5CC581C05}" uniqueName="5" name="Longitude" queryTableFieldId="5"/>
    <tableColumn id="6" xr3:uid="{E7BC832E-A79F-44CC-A104-A9BBEF1D23BD}" uniqueName="6" name="Technologie" queryTableFieldId="6" dataDxfId="40"/>
    <tableColumn id="7" xr3:uid="{39E77513-958B-44D7-88F5-49FAB9C147A7}" uniqueName="7" name="Equipementier" queryTableFieldId="7" dataDxfId="39"/>
    <tableColumn id="8" xr3:uid="{62CC918A-A9EF-4266-BCD0-AC0B952359E9}" uniqueName="8" name="Colonne1" queryTableFieldId="8" dataDxfId="38">
      <calculatedColumnFormula>IF(LEN(RIGHT(Registre_Maintenance_Part[[#This Row],[Latitude]],LEN(Registre_Maintenance_Part[[#This Row],[Latitude]])-SEARCH(",",Registre_Maintenance_Part[[#This Row],[Latitude]])))=6,Registre_Maintenance_Part[[#This Row],[Latitude]],"")</calculatedColumnFormula>
    </tableColumn>
    <tableColumn id="9" xr3:uid="{C2E7BA39-7200-4C6C-8AB1-C555A9B288D6}" uniqueName="9" name="Colonne2" queryTableFieldId="9" dataDxfId="37">
      <calculatedColumnFormula>IF(LEN(RIGHT(Registre_Maintenance_Part[[#This Row],[Longitude]],LEN(Registre_Maintenance_Part[[#This Row],[Longitude]])-SEARCH(",",Registre_Maintenance_Part[[#This Row],[Longitude]])))=6,Registre_Maintenance_Part[[#This Row],[Longitude]],"")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1D0BF1-0505-46DE-AE2B-072A2A9E4664}" name="Logs_Reseau_Part5" displayName="Logs_Reseau_Part5" ref="A1:K1069" tableType="queryTable" totalsRowShown="0">
  <autoFilter ref="A1:K1069" xr:uid="{831D0BF1-0505-46DE-AE2B-072A2A9E4664}"/>
  <sortState xmlns:xlrd2="http://schemas.microsoft.com/office/spreadsheetml/2017/richdata2" ref="A2:G1069">
    <sortCondition ref="G1:G1069"/>
  </sortState>
  <tableColumns count="11">
    <tableColumn id="1" xr3:uid="{43D4DC61-F6C2-4906-9D1E-F0888B2C2D6F}" uniqueName="1" name="Source.Name" queryTableFieldId="1" dataDxfId="10"/>
    <tableColumn id="6" xr3:uid="{33AEE988-5CAF-4F66-BA9B-2284F57C3141}" uniqueName="6" name="Date_Panne" queryTableFieldId="6" dataDxfId="9"/>
    <tableColumn id="2" xr3:uid="{827638FA-E1F3-4D17-875E-928CF725401D}" uniqueName="2" name="Date_Heure_Panne" queryTableFieldId="2" dataDxfId="8"/>
    <tableColumn id="3" xr3:uid="{291DECED-76DA-4BB8-9A63-39FEADAB9069}" uniqueName="3" name="Cell_ID" queryTableFieldId="3" dataDxfId="7"/>
    <tableColumn id="4" xr3:uid="{BBBEDC11-C151-40E2-889D-03C1AEDC9710}" uniqueName="4" name="Duree_Panne_Min" queryTableFieldId="4"/>
    <tableColumn id="5" xr3:uid="{93499814-A993-49D2-8E40-AF0F82D1D0D1}" uniqueName="5" name="Statut_Resolution" queryTableFieldId="5" dataDxfId="6"/>
    <tableColumn id="9" xr3:uid="{B6582BC4-7A0E-4C6E-AAFD-5EFC131F4932}" uniqueName="9" name="Province_RDC" queryTableFieldId="9" dataDxfId="5">
      <calculatedColumnFormula>IFERROR(VLOOKUP(Logs_Reseau_Part5[[#This Row],[Cell_ID]],Registre_Maintenance_Part[[ID_Antenne]:[Colonne2]],2,FALSE),"")</calculatedColumnFormula>
    </tableColumn>
    <tableColumn id="10" xr3:uid="{37227641-6EDB-4898-B3D9-D655CDFD4518}" uniqueName="10" name="Latitude" queryTableFieldId="10" dataDxfId="4">
      <calculatedColumnFormula>IFERROR(VLOOKUP(Logs_Reseau_Part5[[#This Row],[Cell_ID]],Registre_Maintenance_Part[[ID_Antenne]:[Colonne2]],3,FALSE),"")</calculatedColumnFormula>
    </tableColumn>
    <tableColumn id="11" xr3:uid="{0EADBC83-8A1B-4DE6-B00E-5AE4103361A3}" uniqueName="11" name="Longitude" queryTableFieldId="11" dataDxfId="3">
      <calculatedColumnFormula>IFERROR(VLOOKUP(Logs_Reseau_Part5[[#This Row],[Cell_ID]],Registre_Maintenance_Part[[ID_Antenne]:[Colonne2]],4,FALSE),"")</calculatedColumnFormula>
    </tableColumn>
    <tableColumn id="12" xr3:uid="{6B402FB8-F38B-44AF-9367-20D0FC47C8D9}" uniqueName="12" name="Technologie" queryTableFieldId="12" dataDxfId="2">
      <calculatedColumnFormula>IFERROR(VLOOKUP(Logs_Reseau_Part5[[#This Row],[Cell_ID]],Registre_Maintenance_Part[[ID_Antenne]:[Colonne2]],5,FALSE),"")</calculatedColumnFormula>
    </tableColumn>
    <tableColumn id="13" xr3:uid="{D7E4B48C-14C3-4F79-B245-697C37A2AF37}" uniqueName="13" name="Equipementier" queryTableFieldId="13" dataDxfId="1">
      <calculatedColumnFormula>IFERROR(VLOOKUP(Logs_Reseau_Part5[[#This Row],[Cell_ID]],Registre_Maintenance_Part[[ID_Antenne]:[Colonne2]],6,FALSE),"")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F09A7-A192-4C02-BFF5-C50B18218C0E}">
  <dimension ref="A3:C82"/>
  <sheetViews>
    <sheetView workbookViewId="0">
      <selection activeCell="J15" sqref="J15"/>
    </sheetView>
  </sheetViews>
  <sheetFormatPr baseColWidth="10" defaultRowHeight="14.4" x14ac:dyDescent="0.3"/>
  <cols>
    <col min="1" max="1" width="19.5546875" bestFit="1" customWidth="1"/>
    <col min="2" max="2" width="16.77734375" bestFit="1" customWidth="1"/>
    <col min="3" max="3" width="9" bestFit="1" customWidth="1"/>
    <col min="4" max="4" width="11.88671875" bestFit="1" customWidth="1"/>
    <col min="5" max="5" width="9" bestFit="1" customWidth="1"/>
    <col min="6" max="6" width="21.5546875" bestFit="1" customWidth="1"/>
    <col min="7" max="7" width="13.6640625" bestFit="1" customWidth="1"/>
  </cols>
  <sheetData>
    <row r="3" spans="1:3" x14ac:dyDescent="0.3">
      <c r="A3" s="3" t="s">
        <v>1576</v>
      </c>
      <c r="B3" t="s">
        <v>1578</v>
      </c>
      <c r="C3" t="s">
        <v>1581</v>
      </c>
    </row>
    <row r="4" spans="1:3" x14ac:dyDescent="0.3">
      <c r="A4" s="4" t="s">
        <v>24</v>
      </c>
    </row>
    <row r="5" spans="1:3" x14ac:dyDescent="0.3">
      <c r="A5" s="5" t="s">
        <v>737</v>
      </c>
      <c r="B5">
        <v>3</v>
      </c>
      <c r="C5" s="6">
        <v>0.11538461538461539</v>
      </c>
    </row>
    <row r="6" spans="1:3" x14ac:dyDescent="0.3">
      <c r="A6" s="5" t="s">
        <v>734</v>
      </c>
      <c r="B6">
        <v>9</v>
      </c>
      <c r="C6" s="6">
        <v>0.34615384615384615</v>
      </c>
    </row>
    <row r="7" spans="1:3" x14ac:dyDescent="0.3">
      <c r="A7" s="4" t="s">
        <v>57</v>
      </c>
    </row>
    <row r="8" spans="1:3" x14ac:dyDescent="0.3">
      <c r="A8" s="5" t="s">
        <v>737</v>
      </c>
      <c r="B8">
        <v>6</v>
      </c>
      <c r="C8" s="6">
        <v>0.23076923076923078</v>
      </c>
    </row>
    <row r="9" spans="1:3" x14ac:dyDescent="0.3">
      <c r="A9" s="5" t="s">
        <v>734</v>
      </c>
      <c r="B9">
        <v>4</v>
      </c>
      <c r="C9" s="6">
        <v>0.15384615384615385</v>
      </c>
    </row>
    <row r="10" spans="1:3" x14ac:dyDescent="0.3">
      <c r="A10" s="4" t="s">
        <v>23</v>
      </c>
    </row>
    <row r="11" spans="1:3" x14ac:dyDescent="0.3">
      <c r="A11" s="5" t="s">
        <v>737</v>
      </c>
      <c r="B11">
        <v>12</v>
      </c>
      <c r="C11" s="6">
        <v>0.46153846153846156</v>
      </c>
    </row>
    <row r="12" spans="1:3" x14ac:dyDescent="0.3">
      <c r="A12" s="5" t="s">
        <v>734</v>
      </c>
      <c r="B12">
        <v>8</v>
      </c>
      <c r="C12" s="6">
        <v>0.30769230769230771</v>
      </c>
    </row>
    <row r="13" spans="1:3" x14ac:dyDescent="0.3">
      <c r="A13" s="4" t="s">
        <v>17</v>
      </c>
    </row>
    <row r="14" spans="1:3" x14ac:dyDescent="0.3">
      <c r="A14" s="5" t="s">
        <v>737</v>
      </c>
      <c r="B14">
        <v>5</v>
      </c>
      <c r="C14" s="6">
        <v>0.19230769230769232</v>
      </c>
    </row>
    <row r="15" spans="1:3" x14ac:dyDescent="0.3">
      <c r="A15" s="5" t="s">
        <v>734</v>
      </c>
      <c r="B15">
        <v>3</v>
      </c>
      <c r="C15" s="6">
        <v>0.11538461538461539</v>
      </c>
    </row>
    <row r="16" spans="1:3" x14ac:dyDescent="0.3">
      <c r="A16" s="4" t="s">
        <v>118</v>
      </c>
    </row>
    <row r="17" spans="1:3" x14ac:dyDescent="0.3">
      <c r="A17" s="5" t="s">
        <v>737</v>
      </c>
      <c r="B17">
        <v>8</v>
      </c>
      <c r="C17" s="6">
        <v>0.30769230769230771</v>
      </c>
    </row>
    <row r="18" spans="1:3" x14ac:dyDescent="0.3">
      <c r="A18" s="5" t="s">
        <v>734</v>
      </c>
      <c r="B18">
        <v>11</v>
      </c>
      <c r="C18" s="6">
        <v>0.42307692307692307</v>
      </c>
    </row>
    <row r="19" spans="1:3" x14ac:dyDescent="0.3">
      <c r="A19" s="4" t="s">
        <v>9</v>
      </c>
    </row>
    <row r="20" spans="1:3" x14ac:dyDescent="0.3">
      <c r="A20" s="5" t="s">
        <v>737</v>
      </c>
      <c r="B20">
        <v>4</v>
      </c>
      <c r="C20" s="6">
        <v>0.15384615384615385</v>
      </c>
    </row>
    <row r="21" spans="1:3" x14ac:dyDescent="0.3">
      <c r="A21" s="5" t="s">
        <v>734</v>
      </c>
      <c r="B21">
        <v>4</v>
      </c>
      <c r="C21" s="6">
        <v>0.15384615384615385</v>
      </c>
    </row>
    <row r="22" spans="1:3" x14ac:dyDescent="0.3">
      <c r="A22" s="4" t="s">
        <v>27</v>
      </c>
    </row>
    <row r="23" spans="1:3" x14ac:dyDescent="0.3">
      <c r="A23" s="5" t="s">
        <v>737</v>
      </c>
      <c r="B23">
        <v>4</v>
      </c>
      <c r="C23" s="6">
        <v>0.15384615384615385</v>
      </c>
    </row>
    <row r="24" spans="1:3" x14ac:dyDescent="0.3">
      <c r="A24" s="5" t="s">
        <v>734</v>
      </c>
      <c r="B24">
        <v>3</v>
      </c>
      <c r="C24" s="6">
        <v>0.11538461538461539</v>
      </c>
    </row>
    <row r="25" spans="1:3" x14ac:dyDescent="0.3">
      <c r="A25" s="4" t="s">
        <v>31</v>
      </c>
    </row>
    <row r="26" spans="1:3" x14ac:dyDescent="0.3">
      <c r="A26" s="5" t="s">
        <v>737</v>
      </c>
      <c r="B26">
        <v>6</v>
      </c>
      <c r="C26" s="6">
        <v>0.23076923076923078</v>
      </c>
    </row>
    <row r="27" spans="1:3" x14ac:dyDescent="0.3">
      <c r="A27" s="5" t="s">
        <v>734</v>
      </c>
      <c r="B27">
        <v>8</v>
      </c>
      <c r="C27" s="6">
        <v>0.30769230769230771</v>
      </c>
    </row>
    <row r="28" spans="1:3" x14ac:dyDescent="0.3">
      <c r="A28" s="4" t="s">
        <v>54</v>
      </c>
    </row>
    <row r="29" spans="1:3" x14ac:dyDescent="0.3">
      <c r="A29" s="5" t="s">
        <v>737</v>
      </c>
      <c r="B29">
        <v>4</v>
      </c>
      <c r="C29" s="6">
        <v>0.15384615384615385</v>
      </c>
    </row>
    <row r="30" spans="1:3" x14ac:dyDescent="0.3">
      <c r="A30" s="5" t="s">
        <v>734</v>
      </c>
      <c r="B30">
        <v>1</v>
      </c>
      <c r="C30" s="6">
        <v>3.8461538461538464E-2</v>
      </c>
    </row>
    <row r="31" spans="1:3" x14ac:dyDescent="0.3">
      <c r="A31" s="4" t="s">
        <v>61</v>
      </c>
    </row>
    <row r="32" spans="1:3" x14ac:dyDescent="0.3">
      <c r="A32" s="5" t="s">
        <v>737</v>
      </c>
      <c r="B32">
        <v>7</v>
      </c>
      <c r="C32" s="6">
        <v>0.26923076923076922</v>
      </c>
    </row>
    <row r="33" spans="1:3" x14ac:dyDescent="0.3">
      <c r="A33" s="5" t="s">
        <v>734</v>
      </c>
      <c r="B33">
        <v>5</v>
      </c>
      <c r="C33" s="6">
        <v>0.19230769230769232</v>
      </c>
    </row>
    <row r="34" spans="1:3" x14ac:dyDescent="0.3">
      <c r="A34" s="4" t="s">
        <v>59</v>
      </c>
    </row>
    <row r="35" spans="1:3" x14ac:dyDescent="0.3">
      <c r="A35" s="5" t="s">
        <v>737</v>
      </c>
      <c r="B35">
        <v>8</v>
      </c>
      <c r="C35" s="6">
        <v>0.30769230769230771</v>
      </c>
    </row>
    <row r="36" spans="1:3" x14ac:dyDescent="0.3">
      <c r="A36" s="5" t="s">
        <v>734</v>
      </c>
      <c r="B36">
        <v>10</v>
      </c>
      <c r="C36" s="6">
        <v>0.38461538461538464</v>
      </c>
    </row>
    <row r="37" spans="1:3" x14ac:dyDescent="0.3">
      <c r="A37" s="4" t="s">
        <v>37</v>
      </c>
    </row>
    <row r="38" spans="1:3" x14ac:dyDescent="0.3">
      <c r="A38" s="5" t="s">
        <v>737</v>
      </c>
      <c r="B38">
        <v>2</v>
      </c>
      <c r="C38" s="6">
        <v>7.6923076923076927E-2</v>
      </c>
    </row>
    <row r="39" spans="1:3" x14ac:dyDescent="0.3">
      <c r="A39" s="5" t="s">
        <v>734</v>
      </c>
      <c r="B39">
        <v>9</v>
      </c>
      <c r="C39" s="6">
        <v>0.34615384615384615</v>
      </c>
    </row>
    <row r="40" spans="1:3" x14ac:dyDescent="0.3">
      <c r="A40" s="4" t="s">
        <v>48</v>
      </c>
    </row>
    <row r="41" spans="1:3" x14ac:dyDescent="0.3">
      <c r="A41" s="5" t="s">
        <v>737</v>
      </c>
      <c r="B41">
        <v>7</v>
      </c>
      <c r="C41" s="6">
        <v>0.26923076923076922</v>
      </c>
    </row>
    <row r="42" spans="1:3" x14ac:dyDescent="0.3">
      <c r="A42" s="5" t="s">
        <v>734</v>
      </c>
      <c r="B42">
        <v>6</v>
      </c>
      <c r="C42" s="6">
        <v>0.23076923076923078</v>
      </c>
    </row>
    <row r="43" spans="1:3" x14ac:dyDescent="0.3">
      <c r="A43" s="4" t="s">
        <v>62</v>
      </c>
    </row>
    <row r="44" spans="1:3" x14ac:dyDescent="0.3">
      <c r="A44" s="5" t="s">
        <v>737</v>
      </c>
      <c r="B44">
        <v>8</v>
      </c>
      <c r="C44" s="6">
        <v>0.30769230769230771</v>
      </c>
    </row>
    <row r="45" spans="1:3" x14ac:dyDescent="0.3">
      <c r="A45" s="5" t="s">
        <v>734</v>
      </c>
      <c r="B45">
        <v>3</v>
      </c>
      <c r="C45" s="6">
        <v>0.11538461538461539</v>
      </c>
    </row>
    <row r="46" spans="1:3" x14ac:dyDescent="0.3">
      <c r="A46" s="4" t="s">
        <v>126</v>
      </c>
    </row>
    <row r="47" spans="1:3" x14ac:dyDescent="0.3">
      <c r="A47" s="5" t="s">
        <v>737</v>
      </c>
      <c r="B47">
        <v>9</v>
      </c>
      <c r="C47" s="6">
        <v>0.34615384615384615</v>
      </c>
    </row>
    <row r="48" spans="1:3" x14ac:dyDescent="0.3">
      <c r="A48" s="5" t="s">
        <v>734</v>
      </c>
      <c r="B48">
        <v>6</v>
      </c>
      <c r="C48" s="6">
        <v>0.23076923076923078</v>
      </c>
    </row>
    <row r="49" spans="1:3" x14ac:dyDescent="0.3">
      <c r="A49" s="4" t="s">
        <v>41</v>
      </c>
    </row>
    <row r="50" spans="1:3" x14ac:dyDescent="0.3">
      <c r="A50" s="5" t="s">
        <v>737</v>
      </c>
      <c r="B50">
        <v>3</v>
      </c>
      <c r="C50" s="6">
        <v>0.11538461538461539</v>
      </c>
    </row>
    <row r="51" spans="1:3" x14ac:dyDescent="0.3">
      <c r="A51" s="5" t="s">
        <v>734</v>
      </c>
      <c r="B51">
        <v>3</v>
      </c>
      <c r="C51" s="6">
        <v>0.11538461538461539</v>
      </c>
    </row>
    <row r="52" spans="1:3" x14ac:dyDescent="0.3">
      <c r="A52" s="4" t="s">
        <v>72</v>
      </c>
    </row>
    <row r="53" spans="1:3" x14ac:dyDescent="0.3">
      <c r="A53" s="5" t="s">
        <v>737</v>
      </c>
      <c r="B53">
        <v>3</v>
      </c>
      <c r="C53" s="6">
        <v>0.11538461538461539</v>
      </c>
    </row>
    <row r="54" spans="1:3" x14ac:dyDescent="0.3">
      <c r="A54" s="5" t="s">
        <v>734</v>
      </c>
      <c r="B54">
        <v>4</v>
      </c>
      <c r="C54" s="6">
        <v>0.15384615384615385</v>
      </c>
    </row>
    <row r="55" spans="1:3" x14ac:dyDescent="0.3">
      <c r="A55" s="4" t="s">
        <v>15</v>
      </c>
    </row>
    <row r="56" spans="1:3" x14ac:dyDescent="0.3">
      <c r="A56" s="5" t="s">
        <v>737</v>
      </c>
      <c r="B56">
        <v>3</v>
      </c>
      <c r="C56" s="6">
        <v>0.11538461538461539</v>
      </c>
    </row>
    <row r="57" spans="1:3" x14ac:dyDescent="0.3">
      <c r="A57" s="5" t="s">
        <v>734</v>
      </c>
      <c r="B57">
        <v>6</v>
      </c>
      <c r="C57" s="6">
        <v>0.23076923076923078</v>
      </c>
    </row>
    <row r="58" spans="1:3" x14ac:dyDescent="0.3">
      <c r="A58" s="4" t="s">
        <v>122</v>
      </c>
    </row>
    <row r="59" spans="1:3" x14ac:dyDescent="0.3">
      <c r="A59" s="5" t="s">
        <v>737</v>
      </c>
      <c r="B59">
        <v>10</v>
      </c>
      <c r="C59" s="6">
        <v>0.38461538461538464</v>
      </c>
    </row>
    <row r="60" spans="1:3" x14ac:dyDescent="0.3">
      <c r="A60" s="5" t="s">
        <v>734</v>
      </c>
      <c r="B60">
        <v>14</v>
      </c>
      <c r="C60" s="6">
        <v>0.53846153846153844</v>
      </c>
    </row>
    <row r="61" spans="1:3" x14ac:dyDescent="0.3">
      <c r="A61" s="4" t="s">
        <v>83</v>
      </c>
    </row>
    <row r="62" spans="1:3" x14ac:dyDescent="0.3">
      <c r="A62" s="5" t="s">
        <v>737</v>
      </c>
      <c r="B62">
        <v>11</v>
      </c>
      <c r="C62" s="6">
        <v>0.42307692307692307</v>
      </c>
    </row>
    <row r="63" spans="1:3" x14ac:dyDescent="0.3">
      <c r="A63" s="5" t="s">
        <v>734</v>
      </c>
      <c r="B63">
        <v>4</v>
      </c>
      <c r="C63" s="6">
        <v>0.15384615384615385</v>
      </c>
    </row>
    <row r="64" spans="1:3" x14ac:dyDescent="0.3">
      <c r="A64" s="4" t="s">
        <v>33</v>
      </c>
    </row>
    <row r="65" spans="1:3" x14ac:dyDescent="0.3">
      <c r="A65" s="5" t="s">
        <v>737</v>
      </c>
      <c r="B65">
        <v>3</v>
      </c>
      <c r="C65" s="6">
        <v>0.11538461538461539</v>
      </c>
    </row>
    <row r="66" spans="1:3" x14ac:dyDescent="0.3">
      <c r="A66" s="5" t="s">
        <v>734</v>
      </c>
      <c r="B66">
        <v>5</v>
      </c>
      <c r="C66" s="6">
        <v>0.19230769230769232</v>
      </c>
    </row>
    <row r="67" spans="1:3" x14ac:dyDescent="0.3">
      <c r="A67" s="4" t="s">
        <v>20</v>
      </c>
    </row>
    <row r="68" spans="1:3" x14ac:dyDescent="0.3">
      <c r="A68" s="5" t="s">
        <v>737</v>
      </c>
      <c r="B68">
        <v>9</v>
      </c>
      <c r="C68" s="6">
        <v>0.34615384615384615</v>
      </c>
    </row>
    <row r="69" spans="1:3" x14ac:dyDescent="0.3">
      <c r="A69" s="5" t="s">
        <v>734</v>
      </c>
      <c r="B69">
        <v>8</v>
      </c>
      <c r="C69" s="6">
        <v>0.30769230769230771</v>
      </c>
    </row>
    <row r="70" spans="1:3" x14ac:dyDescent="0.3">
      <c r="A70" s="4" t="s">
        <v>29</v>
      </c>
    </row>
    <row r="71" spans="1:3" x14ac:dyDescent="0.3">
      <c r="A71" s="5" t="s">
        <v>737</v>
      </c>
      <c r="B71">
        <v>6</v>
      </c>
      <c r="C71" s="6">
        <v>0.23076923076923078</v>
      </c>
    </row>
    <row r="72" spans="1:3" x14ac:dyDescent="0.3">
      <c r="A72" s="5" t="s">
        <v>734</v>
      </c>
      <c r="B72">
        <v>4</v>
      </c>
      <c r="C72" s="6">
        <v>0.15384615384615385</v>
      </c>
    </row>
    <row r="73" spans="1:3" x14ac:dyDescent="0.3">
      <c r="A73" s="4" t="s">
        <v>35</v>
      </c>
    </row>
    <row r="74" spans="1:3" x14ac:dyDescent="0.3">
      <c r="A74" s="5" t="s">
        <v>737</v>
      </c>
      <c r="B74">
        <v>5</v>
      </c>
      <c r="C74" s="6">
        <v>0.19230769230769232</v>
      </c>
    </row>
    <row r="75" spans="1:3" x14ac:dyDescent="0.3">
      <c r="A75" s="5" t="s">
        <v>734</v>
      </c>
      <c r="B75">
        <v>11</v>
      </c>
      <c r="C75" s="6">
        <v>0.42307692307692307</v>
      </c>
    </row>
    <row r="76" spans="1:3" x14ac:dyDescent="0.3">
      <c r="A76" s="4" t="s">
        <v>68</v>
      </c>
    </row>
    <row r="77" spans="1:3" x14ac:dyDescent="0.3">
      <c r="A77" s="5" t="s">
        <v>737</v>
      </c>
      <c r="B77">
        <v>6</v>
      </c>
      <c r="C77" s="6">
        <v>0.23076923076923078</v>
      </c>
    </row>
    <row r="78" spans="1:3" x14ac:dyDescent="0.3">
      <c r="A78" s="5" t="s">
        <v>734</v>
      </c>
      <c r="B78">
        <v>5</v>
      </c>
      <c r="C78" s="6">
        <v>0.19230769230769232</v>
      </c>
    </row>
    <row r="79" spans="1:3" x14ac:dyDescent="0.3">
      <c r="A79" s="4" t="s">
        <v>12</v>
      </c>
    </row>
    <row r="80" spans="1:3" x14ac:dyDescent="0.3">
      <c r="A80" s="5" t="s">
        <v>737</v>
      </c>
      <c r="B80">
        <v>5</v>
      </c>
      <c r="C80" s="6">
        <v>0.19230769230769232</v>
      </c>
    </row>
    <row r="81" spans="1:3" x14ac:dyDescent="0.3">
      <c r="A81" s="5" t="s">
        <v>734</v>
      </c>
      <c r="B81">
        <v>6</v>
      </c>
      <c r="C81" s="6">
        <v>0.23076923076923078</v>
      </c>
    </row>
    <row r="82" spans="1:3" x14ac:dyDescent="0.3">
      <c r="A82" s="4" t="s">
        <v>1577</v>
      </c>
      <c r="B82">
        <v>317</v>
      </c>
      <c r="C82" s="6">
        <v>12.192307692307692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58E51-262D-400B-876F-43074A7A7836}">
  <dimension ref="A3:B107"/>
  <sheetViews>
    <sheetView tabSelected="1" workbookViewId="0">
      <selection activeCell="F21" sqref="F21"/>
    </sheetView>
  </sheetViews>
  <sheetFormatPr baseColWidth="10" defaultRowHeight="14.4" x14ac:dyDescent="0.3"/>
  <cols>
    <col min="1" max="1" width="19.5546875" bestFit="1" customWidth="1"/>
    <col min="2" max="2" width="16.77734375" bestFit="1" customWidth="1"/>
  </cols>
  <sheetData>
    <row r="3" spans="1:2" x14ac:dyDescent="0.3">
      <c r="A3" s="3" t="s">
        <v>1576</v>
      </c>
      <c r="B3" t="s">
        <v>1578</v>
      </c>
    </row>
    <row r="4" spans="1:2" x14ac:dyDescent="0.3">
      <c r="A4" s="4" t="s">
        <v>24</v>
      </c>
      <c r="B4" s="8">
        <v>24</v>
      </c>
    </row>
    <row r="5" spans="1:2" x14ac:dyDescent="0.3">
      <c r="A5" s="5" t="s">
        <v>1431</v>
      </c>
      <c r="B5" s="8">
        <v>11</v>
      </c>
    </row>
    <row r="6" spans="1:2" x14ac:dyDescent="0.3">
      <c r="A6" s="5" t="s">
        <v>1429</v>
      </c>
      <c r="B6" s="8">
        <v>5</v>
      </c>
    </row>
    <row r="7" spans="1:2" x14ac:dyDescent="0.3">
      <c r="A7" s="5" t="s">
        <v>1426</v>
      </c>
      <c r="B7" s="8">
        <v>8</v>
      </c>
    </row>
    <row r="8" spans="1:2" x14ac:dyDescent="0.3">
      <c r="A8" s="4" t="s">
        <v>57</v>
      </c>
      <c r="B8" s="8">
        <v>17</v>
      </c>
    </row>
    <row r="9" spans="1:2" x14ac:dyDescent="0.3">
      <c r="A9" s="5" t="s">
        <v>1431</v>
      </c>
      <c r="B9" s="8">
        <v>5</v>
      </c>
    </row>
    <row r="10" spans="1:2" x14ac:dyDescent="0.3">
      <c r="A10" s="5" t="s">
        <v>1429</v>
      </c>
      <c r="B10" s="8">
        <v>2</v>
      </c>
    </row>
    <row r="11" spans="1:2" x14ac:dyDescent="0.3">
      <c r="A11" s="5" t="s">
        <v>1426</v>
      </c>
      <c r="B11" s="8">
        <v>10</v>
      </c>
    </row>
    <row r="12" spans="1:2" x14ac:dyDescent="0.3">
      <c r="A12" s="4" t="s">
        <v>23</v>
      </c>
      <c r="B12" s="8">
        <v>27</v>
      </c>
    </row>
    <row r="13" spans="1:2" x14ac:dyDescent="0.3">
      <c r="A13" s="5" t="s">
        <v>1431</v>
      </c>
      <c r="B13" s="8">
        <v>8</v>
      </c>
    </row>
    <row r="14" spans="1:2" x14ac:dyDescent="0.3">
      <c r="A14" s="5" t="s">
        <v>1429</v>
      </c>
      <c r="B14" s="8">
        <v>10</v>
      </c>
    </row>
    <row r="15" spans="1:2" x14ac:dyDescent="0.3">
      <c r="A15" s="5" t="s">
        <v>1426</v>
      </c>
      <c r="B15" s="8">
        <v>9</v>
      </c>
    </row>
    <row r="16" spans="1:2" x14ac:dyDescent="0.3">
      <c r="A16" s="4" t="s">
        <v>17</v>
      </c>
      <c r="B16" s="8">
        <v>17</v>
      </c>
    </row>
    <row r="17" spans="1:2" x14ac:dyDescent="0.3">
      <c r="A17" s="5" t="s">
        <v>1431</v>
      </c>
      <c r="B17" s="8">
        <v>3</v>
      </c>
    </row>
    <row r="18" spans="1:2" x14ac:dyDescent="0.3">
      <c r="A18" s="5" t="s">
        <v>1429</v>
      </c>
      <c r="B18" s="8">
        <v>13</v>
      </c>
    </row>
    <row r="19" spans="1:2" x14ac:dyDescent="0.3">
      <c r="A19" s="5" t="s">
        <v>1426</v>
      </c>
      <c r="B19" s="8">
        <v>1</v>
      </c>
    </row>
    <row r="20" spans="1:2" x14ac:dyDescent="0.3">
      <c r="A20" s="4" t="s">
        <v>118</v>
      </c>
      <c r="B20" s="8">
        <v>21</v>
      </c>
    </row>
    <row r="21" spans="1:2" x14ac:dyDescent="0.3">
      <c r="A21" s="5" t="s">
        <v>1431</v>
      </c>
      <c r="B21" s="8">
        <v>6</v>
      </c>
    </row>
    <row r="22" spans="1:2" x14ac:dyDescent="0.3">
      <c r="A22" s="5" t="s">
        <v>1429</v>
      </c>
      <c r="B22" s="8">
        <v>6</v>
      </c>
    </row>
    <row r="23" spans="1:2" x14ac:dyDescent="0.3">
      <c r="A23" s="5" t="s">
        <v>1426</v>
      </c>
      <c r="B23" s="8">
        <v>9</v>
      </c>
    </row>
    <row r="24" spans="1:2" x14ac:dyDescent="0.3">
      <c r="A24" s="4" t="s">
        <v>9</v>
      </c>
      <c r="B24" s="8">
        <v>12</v>
      </c>
    </row>
    <row r="25" spans="1:2" x14ac:dyDescent="0.3">
      <c r="A25" s="5" t="s">
        <v>1431</v>
      </c>
      <c r="B25" s="8">
        <v>3</v>
      </c>
    </row>
    <row r="26" spans="1:2" x14ac:dyDescent="0.3">
      <c r="A26" s="5" t="s">
        <v>1429</v>
      </c>
      <c r="B26" s="8">
        <v>2</v>
      </c>
    </row>
    <row r="27" spans="1:2" x14ac:dyDescent="0.3">
      <c r="A27" s="5" t="s">
        <v>1426</v>
      </c>
      <c r="B27" s="8">
        <v>7</v>
      </c>
    </row>
    <row r="28" spans="1:2" x14ac:dyDescent="0.3">
      <c r="A28" s="4" t="s">
        <v>27</v>
      </c>
      <c r="B28" s="8">
        <v>12</v>
      </c>
    </row>
    <row r="29" spans="1:2" x14ac:dyDescent="0.3">
      <c r="A29" s="5" t="s">
        <v>1431</v>
      </c>
      <c r="B29" s="8">
        <v>3</v>
      </c>
    </row>
    <row r="30" spans="1:2" x14ac:dyDescent="0.3">
      <c r="A30" s="5" t="s">
        <v>1429</v>
      </c>
      <c r="B30" s="8">
        <v>3</v>
      </c>
    </row>
    <row r="31" spans="1:2" x14ac:dyDescent="0.3">
      <c r="A31" s="5" t="s">
        <v>1426</v>
      </c>
      <c r="B31" s="8">
        <v>6</v>
      </c>
    </row>
    <row r="32" spans="1:2" x14ac:dyDescent="0.3">
      <c r="A32" s="4" t="s">
        <v>31</v>
      </c>
      <c r="B32" s="8">
        <v>20</v>
      </c>
    </row>
    <row r="33" spans="1:2" x14ac:dyDescent="0.3">
      <c r="A33" s="5" t="s">
        <v>1431</v>
      </c>
      <c r="B33" s="8">
        <v>7</v>
      </c>
    </row>
    <row r="34" spans="1:2" x14ac:dyDescent="0.3">
      <c r="A34" s="5" t="s">
        <v>1429</v>
      </c>
      <c r="B34" s="8">
        <v>9</v>
      </c>
    </row>
    <row r="35" spans="1:2" x14ac:dyDescent="0.3">
      <c r="A35" s="5" t="s">
        <v>1426</v>
      </c>
      <c r="B35" s="8">
        <v>4</v>
      </c>
    </row>
    <row r="36" spans="1:2" x14ac:dyDescent="0.3">
      <c r="A36" s="4" t="s">
        <v>54</v>
      </c>
      <c r="B36" s="8">
        <v>9</v>
      </c>
    </row>
    <row r="37" spans="1:2" x14ac:dyDescent="0.3">
      <c r="A37" s="5" t="s">
        <v>1431</v>
      </c>
      <c r="B37" s="8">
        <v>3</v>
      </c>
    </row>
    <row r="38" spans="1:2" x14ac:dyDescent="0.3">
      <c r="A38" s="5" t="s">
        <v>1429</v>
      </c>
      <c r="B38" s="8">
        <v>2</v>
      </c>
    </row>
    <row r="39" spans="1:2" x14ac:dyDescent="0.3">
      <c r="A39" s="5" t="s">
        <v>1426</v>
      </c>
      <c r="B39" s="8">
        <v>4</v>
      </c>
    </row>
    <row r="40" spans="1:2" x14ac:dyDescent="0.3">
      <c r="A40" s="4" t="s">
        <v>61</v>
      </c>
      <c r="B40" s="8">
        <v>16</v>
      </c>
    </row>
    <row r="41" spans="1:2" x14ac:dyDescent="0.3">
      <c r="A41" s="5" t="s">
        <v>1431</v>
      </c>
      <c r="B41" s="8">
        <v>7</v>
      </c>
    </row>
    <row r="42" spans="1:2" x14ac:dyDescent="0.3">
      <c r="A42" s="5" t="s">
        <v>1429</v>
      </c>
      <c r="B42" s="8">
        <v>2</v>
      </c>
    </row>
    <row r="43" spans="1:2" x14ac:dyDescent="0.3">
      <c r="A43" s="5" t="s">
        <v>1426</v>
      </c>
      <c r="B43" s="8">
        <v>7</v>
      </c>
    </row>
    <row r="44" spans="1:2" x14ac:dyDescent="0.3">
      <c r="A44" s="4" t="s">
        <v>59</v>
      </c>
      <c r="B44" s="8">
        <v>24</v>
      </c>
    </row>
    <row r="45" spans="1:2" x14ac:dyDescent="0.3">
      <c r="A45" s="5" t="s">
        <v>1431</v>
      </c>
      <c r="B45" s="8">
        <v>4</v>
      </c>
    </row>
    <row r="46" spans="1:2" x14ac:dyDescent="0.3">
      <c r="A46" s="5" t="s">
        <v>1429</v>
      </c>
      <c r="B46" s="8">
        <v>4</v>
      </c>
    </row>
    <row r="47" spans="1:2" x14ac:dyDescent="0.3">
      <c r="A47" s="5" t="s">
        <v>1426</v>
      </c>
      <c r="B47" s="8">
        <v>16</v>
      </c>
    </row>
    <row r="48" spans="1:2" x14ac:dyDescent="0.3">
      <c r="A48" s="4" t="s">
        <v>37</v>
      </c>
      <c r="B48" s="8">
        <v>16</v>
      </c>
    </row>
    <row r="49" spans="1:2" x14ac:dyDescent="0.3">
      <c r="A49" s="5" t="s">
        <v>1431</v>
      </c>
      <c r="B49" s="8">
        <v>3</v>
      </c>
    </row>
    <row r="50" spans="1:2" x14ac:dyDescent="0.3">
      <c r="A50" s="5" t="s">
        <v>1429</v>
      </c>
      <c r="B50" s="8">
        <v>7</v>
      </c>
    </row>
    <row r="51" spans="1:2" x14ac:dyDescent="0.3">
      <c r="A51" s="5" t="s">
        <v>1426</v>
      </c>
      <c r="B51" s="8">
        <v>6</v>
      </c>
    </row>
    <row r="52" spans="1:2" x14ac:dyDescent="0.3">
      <c r="A52" s="4" t="s">
        <v>48</v>
      </c>
      <c r="B52" s="8">
        <v>20</v>
      </c>
    </row>
    <row r="53" spans="1:2" x14ac:dyDescent="0.3">
      <c r="A53" s="5" t="s">
        <v>1431</v>
      </c>
      <c r="B53" s="8">
        <v>7</v>
      </c>
    </row>
    <row r="54" spans="1:2" x14ac:dyDescent="0.3">
      <c r="A54" s="5" t="s">
        <v>1429</v>
      </c>
      <c r="B54" s="8">
        <v>11</v>
      </c>
    </row>
    <row r="55" spans="1:2" x14ac:dyDescent="0.3">
      <c r="A55" s="5" t="s">
        <v>1426</v>
      </c>
      <c r="B55" s="8">
        <v>2</v>
      </c>
    </row>
    <row r="56" spans="1:2" x14ac:dyDescent="0.3">
      <c r="A56" s="4" t="s">
        <v>62</v>
      </c>
      <c r="B56" s="8">
        <v>18</v>
      </c>
    </row>
    <row r="57" spans="1:2" x14ac:dyDescent="0.3">
      <c r="A57" s="5" t="s">
        <v>1431</v>
      </c>
      <c r="B57" s="8">
        <v>9</v>
      </c>
    </row>
    <row r="58" spans="1:2" x14ac:dyDescent="0.3">
      <c r="A58" s="5" t="s">
        <v>1429</v>
      </c>
      <c r="B58" s="8">
        <v>5</v>
      </c>
    </row>
    <row r="59" spans="1:2" x14ac:dyDescent="0.3">
      <c r="A59" s="5" t="s">
        <v>1426</v>
      </c>
      <c r="B59" s="8">
        <v>4</v>
      </c>
    </row>
    <row r="60" spans="1:2" x14ac:dyDescent="0.3">
      <c r="A60" s="4" t="s">
        <v>126</v>
      </c>
      <c r="B60" s="8">
        <v>20</v>
      </c>
    </row>
    <row r="61" spans="1:2" x14ac:dyDescent="0.3">
      <c r="A61" s="5" t="s">
        <v>1431</v>
      </c>
      <c r="B61" s="8">
        <v>8</v>
      </c>
    </row>
    <row r="62" spans="1:2" x14ac:dyDescent="0.3">
      <c r="A62" s="5" t="s">
        <v>1429</v>
      </c>
      <c r="B62" s="8">
        <v>9</v>
      </c>
    </row>
    <row r="63" spans="1:2" x14ac:dyDescent="0.3">
      <c r="A63" s="5" t="s">
        <v>1426</v>
      </c>
      <c r="B63" s="8">
        <v>3</v>
      </c>
    </row>
    <row r="64" spans="1:2" x14ac:dyDescent="0.3">
      <c r="A64" s="4" t="s">
        <v>41</v>
      </c>
      <c r="B64" s="8">
        <v>11</v>
      </c>
    </row>
    <row r="65" spans="1:2" x14ac:dyDescent="0.3">
      <c r="A65" s="5" t="s">
        <v>1431</v>
      </c>
      <c r="B65" s="8">
        <v>1</v>
      </c>
    </row>
    <row r="66" spans="1:2" x14ac:dyDescent="0.3">
      <c r="A66" s="5" t="s">
        <v>1429</v>
      </c>
      <c r="B66" s="8">
        <v>8</v>
      </c>
    </row>
    <row r="67" spans="1:2" x14ac:dyDescent="0.3">
      <c r="A67" s="5" t="s">
        <v>1426</v>
      </c>
      <c r="B67" s="8">
        <v>2</v>
      </c>
    </row>
    <row r="68" spans="1:2" x14ac:dyDescent="0.3">
      <c r="A68" s="4" t="s">
        <v>72</v>
      </c>
      <c r="B68" s="8">
        <v>15</v>
      </c>
    </row>
    <row r="69" spans="1:2" x14ac:dyDescent="0.3">
      <c r="A69" s="5" t="s">
        <v>1429</v>
      </c>
      <c r="B69" s="8">
        <v>8</v>
      </c>
    </row>
    <row r="70" spans="1:2" x14ac:dyDescent="0.3">
      <c r="A70" s="5" t="s">
        <v>1426</v>
      </c>
      <c r="B70" s="8">
        <v>7</v>
      </c>
    </row>
    <row r="71" spans="1:2" x14ac:dyDescent="0.3">
      <c r="A71" s="4" t="s">
        <v>15</v>
      </c>
      <c r="B71" s="8">
        <v>14</v>
      </c>
    </row>
    <row r="72" spans="1:2" x14ac:dyDescent="0.3">
      <c r="A72" s="5" t="s">
        <v>1431</v>
      </c>
      <c r="B72" s="8">
        <v>2</v>
      </c>
    </row>
    <row r="73" spans="1:2" x14ac:dyDescent="0.3">
      <c r="A73" s="5" t="s">
        <v>1429</v>
      </c>
      <c r="B73" s="8">
        <v>3</v>
      </c>
    </row>
    <row r="74" spans="1:2" x14ac:dyDescent="0.3">
      <c r="A74" s="5" t="s">
        <v>1426</v>
      </c>
      <c r="B74" s="8">
        <v>9</v>
      </c>
    </row>
    <row r="75" spans="1:2" x14ac:dyDescent="0.3">
      <c r="A75" s="4" t="s">
        <v>122</v>
      </c>
      <c r="B75" s="8">
        <v>34</v>
      </c>
    </row>
    <row r="76" spans="1:2" x14ac:dyDescent="0.3">
      <c r="A76" s="5" t="s">
        <v>1431</v>
      </c>
      <c r="B76" s="8">
        <v>14</v>
      </c>
    </row>
    <row r="77" spans="1:2" x14ac:dyDescent="0.3">
      <c r="A77" s="5" t="s">
        <v>1429</v>
      </c>
      <c r="B77" s="8">
        <v>6</v>
      </c>
    </row>
    <row r="78" spans="1:2" x14ac:dyDescent="0.3">
      <c r="A78" s="5" t="s">
        <v>1426</v>
      </c>
      <c r="B78" s="8">
        <v>14</v>
      </c>
    </row>
    <row r="79" spans="1:2" x14ac:dyDescent="0.3">
      <c r="A79" s="4" t="s">
        <v>83</v>
      </c>
      <c r="B79" s="8">
        <v>25</v>
      </c>
    </row>
    <row r="80" spans="1:2" x14ac:dyDescent="0.3">
      <c r="A80" s="5" t="s">
        <v>1431</v>
      </c>
      <c r="B80" s="8">
        <v>5</v>
      </c>
    </row>
    <row r="81" spans="1:2" x14ac:dyDescent="0.3">
      <c r="A81" s="5" t="s">
        <v>1429</v>
      </c>
      <c r="B81" s="8">
        <v>12</v>
      </c>
    </row>
    <row r="82" spans="1:2" x14ac:dyDescent="0.3">
      <c r="A82" s="5" t="s">
        <v>1426</v>
      </c>
      <c r="B82" s="8">
        <v>8</v>
      </c>
    </row>
    <row r="83" spans="1:2" x14ac:dyDescent="0.3">
      <c r="A83" s="4" t="s">
        <v>33</v>
      </c>
      <c r="B83" s="8">
        <v>13</v>
      </c>
    </row>
    <row r="84" spans="1:2" x14ac:dyDescent="0.3">
      <c r="A84" s="5" t="s">
        <v>1431</v>
      </c>
      <c r="B84" s="8">
        <v>3</v>
      </c>
    </row>
    <row r="85" spans="1:2" x14ac:dyDescent="0.3">
      <c r="A85" s="5" t="s">
        <v>1429</v>
      </c>
      <c r="B85" s="8">
        <v>6</v>
      </c>
    </row>
    <row r="86" spans="1:2" x14ac:dyDescent="0.3">
      <c r="A86" s="5" t="s">
        <v>1426</v>
      </c>
      <c r="B86" s="8">
        <v>4</v>
      </c>
    </row>
    <row r="87" spans="1:2" x14ac:dyDescent="0.3">
      <c r="A87" s="4" t="s">
        <v>20</v>
      </c>
      <c r="B87" s="8">
        <v>25</v>
      </c>
    </row>
    <row r="88" spans="1:2" x14ac:dyDescent="0.3">
      <c r="A88" s="5" t="s">
        <v>1431</v>
      </c>
      <c r="B88" s="8">
        <v>18</v>
      </c>
    </row>
    <row r="89" spans="1:2" x14ac:dyDescent="0.3">
      <c r="A89" s="5" t="s">
        <v>1429</v>
      </c>
      <c r="B89" s="8">
        <v>2</v>
      </c>
    </row>
    <row r="90" spans="1:2" x14ac:dyDescent="0.3">
      <c r="A90" s="5" t="s">
        <v>1426</v>
      </c>
      <c r="B90" s="8">
        <v>5</v>
      </c>
    </row>
    <row r="91" spans="1:2" x14ac:dyDescent="0.3">
      <c r="A91" s="4" t="s">
        <v>29</v>
      </c>
      <c r="B91" s="8">
        <v>16</v>
      </c>
    </row>
    <row r="92" spans="1:2" x14ac:dyDescent="0.3">
      <c r="A92" s="5" t="s">
        <v>1431</v>
      </c>
      <c r="B92" s="8">
        <v>7</v>
      </c>
    </row>
    <row r="93" spans="1:2" x14ac:dyDescent="0.3">
      <c r="A93" s="5" t="s">
        <v>1429</v>
      </c>
      <c r="B93" s="8">
        <v>4</v>
      </c>
    </row>
    <row r="94" spans="1:2" x14ac:dyDescent="0.3">
      <c r="A94" s="5" t="s">
        <v>1426</v>
      </c>
      <c r="B94" s="8">
        <v>5</v>
      </c>
    </row>
    <row r="95" spans="1:2" x14ac:dyDescent="0.3">
      <c r="A95" s="4" t="s">
        <v>35</v>
      </c>
      <c r="B95" s="8">
        <v>21</v>
      </c>
    </row>
    <row r="96" spans="1:2" x14ac:dyDescent="0.3">
      <c r="A96" s="5" t="s">
        <v>1431</v>
      </c>
      <c r="B96" s="8">
        <v>3</v>
      </c>
    </row>
    <row r="97" spans="1:2" x14ac:dyDescent="0.3">
      <c r="A97" s="5" t="s">
        <v>1429</v>
      </c>
      <c r="B97" s="8">
        <v>8</v>
      </c>
    </row>
    <row r="98" spans="1:2" x14ac:dyDescent="0.3">
      <c r="A98" s="5" t="s">
        <v>1426</v>
      </c>
      <c r="B98" s="8">
        <v>10</v>
      </c>
    </row>
    <row r="99" spans="1:2" x14ac:dyDescent="0.3">
      <c r="A99" s="4" t="s">
        <v>68</v>
      </c>
      <c r="B99" s="8">
        <v>16</v>
      </c>
    </row>
    <row r="100" spans="1:2" x14ac:dyDescent="0.3">
      <c r="A100" s="5" t="s">
        <v>1431</v>
      </c>
      <c r="B100" s="8">
        <v>4</v>
      </c>
    </row>
    <row r="101" spans="1:2" x14ac:dyDescent="0.3">
      <c r="A101" s="5" t="s">
        <v>1429</v>
      </c>
      <c r="B101" s="8">
        <v>5</v>
      </c>
    </row>
    <row r="102" spans="1:2" x14ac:dyDescent="0.3">
      <c r="A102" s="5" t="s">
        <v>1426</v>
      </c>
      <c r="B102" s="8">
        <v>7</v>
      </c>
    </row>
    <row r="103" spans="1:2" x14ac:dyDescent="0.3">
      <c r="A103" s="4" t="s">
        <v>12</v>
      </c>
      <c r="B103" s="8">
        <v>15</v>
      </c>
    </row>
    <row r="104" spans="1:2" x14ac:dyDescent="0.3">
      <c r="A104" s="5" t="s">
        <v>1431</v>
      </c>
      <c r="B104" s="8">
        <v>5</v>
      </c>
    </row>
    <row r="105" spans="1:2" x14ac:dyDescent="0.3">
      <c r="A105" s="5" t="s">
        <v>1429</v>
      </c>
      <c r="B105" s="8">
        <v>5</v>
      </c>
    </row>
    <row r="106" spans="1:2" x14ac:dyDescent="0.3">
      <c r="A106" s="5" t="s">
        <v>1426</v>
      </c>
      <c r="B106" s="8">
        <v>5</v>
      </c>
    </row>
    <row r="107" spans="1:2" x14ac:dyDescent="0.3">
      <c r="A107" s="4" t="s">
        <v>1577</v>
      </c>
      <c r="B107" s="8">
        <v>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411F-EDCB-49E7-92DD-FF9D64F2AA3C}">
  <dimension ref="A1:B7"/>
  <sheetViews>
    <sheetView workbookViewId="0">
      <selection activeCell="E16" sqref="E16"/>
    </sheetView>
  </sheetViews>
  <sheetFormatPr baseColWidth="10" defaultRowHeight="14.4" x14ac:dyDescent="0.3"/>
  <cols>
    <col min="1" max="1" width="19.5546875" bestFit="1" customWidth="1"/>
    <col min="2" max="2" width="27.88671875" bestFit="1" customWidth="1"/>
  </cols>
  <sheetData>
    <row r="1" spans="1:2" ht="78" customHeight="1" x14ac:dyDescent="0.3"/>
    <row r="2" spans="1:2" ht="12" customHeight="1" x14ac:dyDescent="0.3"/>
    <row r="3" spans="1:2" x14ac:dyDescent="0.3">
      <c r="A3" s="3" t="s">
        <v>1576</v>
      </c>
      <c r="B3" t="s">
        <v>1587</v>
      </c>
    </row>
    <row r="4" spans="1:2" x14ac:dyDescent="0.3">
      <c r="A4" s="4" t="s">
        <v>1431</v>
      </c>
      <c r="B4" s="8">
        <v>156.21666666666658</v>
      </c>
    </row>
    <row r="5" spans="1:2" x14ac:dyDescent="0.3">
      <c r="A5" s="4" t="s">
        <v>1429</v>
      </c>
      <c r="B5" s="8">
        <v>167.30000000000007</v>
      </c>
    </row>
    <row r="6" spans="1:2" x14ac:dyDescent="0.3">
      <c r="A6" s="4" t="s">
        <v>1426</v>
      </c>
      <c r="B6" s="8">
        <v>188.41666666666666</v>
      </c>
    </row>
    <row r="7" spans="1:2" x14ac:dyDescent="0.3">
      <c r="A7" s="4" t="s">
        <v>1577</v>
      </c>
      <c r="B7" s="8">
        <v>511.93333333333328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B316A-2A7C-4FF0-98DC-8DC2668A158D}">
  <dimension ref="A1:L479"/>
  <sheetViews>
    <sheetView topLeftCell="A2" workbookViewId="0">
      <selection activeCell="F4" sqref="F4"/>
    </sheetView>
  </sheetViews>
  <sheetFormatPr baseColWidth="10" defaultColWidth="9.109375" defaultRowHeight="14.4" x14ac:dyDescent="0.3"/>
  <cols>
    <col min="1" max="1" width="20.44140625" customWidth="1"/>
    <col min="2" max="2" width="28.109375" customWidth="1"/>
    <col min="3" max="3" width="30.88671875" customWidth="1"/>
    <col min="4" max="5" width="19.109375" customWidth="1"/>
    <col min="6" max="6" width="21.88671875" customWidth="1"/>
    <col min="7" max="7" width="25" customWidth="1"/>
    <col min="8" max="8" width="20.5546875" customWidth="1"/>
    <col min="9" max="9" width="14.33203125" customWidth="1"/>
    <col min="10" max="10" width="16" customWidth="1"/>
    <col min="11" max="11" width="13.88671875" customWidth="1"/>
  </cols>
  <sheetData>
    <row r="1" spans="1:12" x14ac:dyDescent="0.3">
      <c r="A1" t="s">
        <v>1417</v>
      </c>
      <c r="B1" t="s">
        <v>1579</v>
      </c>
      <c r="C1" t="s">
        <v>729</v>
      </c>
      <c r="D1" t="s">
        <v>730</v>
      </c>
      <c r="E1" t="s">
        <v>1586</v>
      </c>
      <c r="F1" t="s">
        <v>731</v>
      </c>
      <c r="G1" t="s">
        <v>1420</v>
      </c>
      <c r="H1" t="s">
        <v>1421</v>
      </c>
      <c r="I1" t="s">
        <v>1422</v>
      </c>
      <c r="J1" t="s">
        <v>1423</v>
      </c>
      <c r="K1" t="s">
        <v>1424</v>
      </c>
      <c r="L1" t="s">
        <v>726</v>
      </c>
    </row>
    <row r="2" spans="1:12" x14ac:dyDescent="0.3">
      <c r="A2" s="1">
        <v>45200.98541666667</v>
      </c>
      <c r="B2" s="2">
        <v>45200.98541666667</v>
      </c>
      <c r="C2" t="s">
        <v>924</v>
      </c>
      <c r="D2">
        <v>29</v>
      </c>
      <c r="E2">
        <f>Logs_Reseau_Part56[[#This Row],[Duree_Panne_Min]]/60</f>
        <v>0.48333333333333334</v>
      </c>
      <c r="F2" t="s">
        <v>739</v>
      </c>
      <c r="G2" t="str">
        <f>IFERROR(VLOOKUP(Logs_Reseau_Part56[[#This Row],[Cell_ID]],Registre_Maintenance_Part[[ID_Antenne]:[Colonne2]],2,FALSE),"")</f>
        <v>Bas-Uele</v>
      </c>
      <c r="H2">
        <f>IFERROR(VLOOKUP(Logs_Reseau_Part56[[#This Row],[Cell_ID]],Registre_Maintenance_Part[[ID_Antenne]:[Colonne2]],3,FALSE),"")</f>
        <v>1.5278670000000001</v>
      </c>
      <c r="I2">
        <f>IFERROR(VLOOKUP(Logs_Reseau_Part56[[#This Row],[Cell_ID]],Registre_Maintenance_Part[[ID_Antenne]:[Colonne2]],4,FALSE),"")</f>
        <v>13.899388999999999</v>
      </c>
      <c r="J2" t="str">
        <f>IFERROR(VLOOKUP(Logs_Reseau_Part56[[#This Row],[Cell_ID]],Registre_Maintenance_Part[[ID_Antenne]:[Colonne2]],5,FALSE),"")</f>
        <v>3G</v>
      </c>
      <c r="K2" t="str">
        <f>IFERROR(VLOOKUP(Logs_Reseau_Part56[[#This Row],[Cell_ID]],Registre_Maintenance_Part[[ID_Antenne]:[Colonne2]],6,FALSE),"")</f>
        <v>Huawei</v>
      </c>
    </row>
    <row r="3" spans="1:12" x14ac:dyDescent="0.3">
      <c r="A3" s="1">
        <v>45201.527777777781</v>
      </c>
      <c r="B3" s="2">
        <v>45201.527777777781</v>
      </c>
      <c r="C3" t="s">
        <v>1255</v>
      </c>
      <c r="D3">
        <v>20</v>
      </c>
      <c r="E3">
        <f>Logs_Reseau_Part56[[#This Row],[Duree_Panne_Min]]/60</f>
        <v>0.33333333333333331</v>
      </c>
      <c r="F3" t="s">
        <v>737</v>
      </c>
      <c r="G3" t="str">
        <f>IFERROR(VLOOKUP(Logs_Reseau_Part56[[#This Row],[Cell_ID]],Registre_Maintenance_Part[[ID_Antenne]:[Colonne2]],2,FALSE),"")</f>
        <v>Bas-Uele</v>
      </c>
      <c r="H3">
        <f>IFERROR(VLOOKUP(Logs_Reseau_Part56[[#This Row],[Cell_ID]],Registre_Maintenance_Part[[ID_Antenne]:[Colonne2]],3,FALSE),"")</f>
        <v>0.45116099999999998</v>
      </c>
      <c r="I3">
        <f>IFERROR(VLOOKUP(Logs_Reseau_Part56[[#This Row],[Cell_ID]],Registre_Maintenance_Part[[ID_Antenne]:[Colonne2]],4,FALSE),"")</f>
        <v>17.265761000000001</v>
      </c>
      <c r="J3" t="str">
        <f>IFERROR(VLOOKUP(Logs_Reseau_Part56[[#This Row],[Cell_ID]],Registre_Maintenance_Part[[ID_Antenne]:[Colonne2]],5,FALSE),"")</f>
        <v>4G</v>
      </c>
      <c r="K3" t="str">
        <f>IFERROR(VLOOKUP(Logs_Reseau_Part56[[#This Row],[Cell_ID]],Registre_Maintenance_Part[[ID_Antenne]:[Colonne2]],6,FALSE),"")</f>
        <v>Huawei</v>
      </c>
    </row>
    <row r="4" spans="1:12" x14ac:dyDescent="0.3">
      <c r="A4" s="1">
        <v>45201.922222222223</v>
      </c>
      <c r="B4" s="2">
        <v>45201.922222222223</v>
      </c>
      <c r="C4" t="s">
        <v>924</v>
      </c>
      <c r="D4">
        <v>32</v>
      </c>
      <c r="E4">
        <f>Logs_Reseau_Part56[[#This Row],[Duree_Panne_Min]]/60</f>
        <v>0.53333333333333333</v>
      </c>
      <c r="F4" t="s">
        <v>734</v>
      </c>
      <c r="G4" t="str">
        <f>IFERROR(VLOOKUP(Logs_Reseau_Part56[[#This Row],[Cell_ID]],Registre_Maintenance_Part[[ID_Antenne]:[Colonne2]],2,FALSE),"")</f>
        <v>Bas-Uele</v>
      </c>
      <c r="H4">
        <f>IFERROR(VLOOKUP(Logs_Reseau_Part56[[#This Row],[Cell_ID]],Registre_Maintenance_Part[[ID_Antenne]:[Colonne2]],3,FALSE),"")</f>
        <v>1.5278670000000001</v>
      </c>
      <c r="I4">
        <f>IFERROR(VLOOKUP(Logs_Reseau_Part56[[#This Row],[Cell_ID]],Registre_Maintenance_Part[[ID_Antenne]:[Colonne2]],4,FALSE),"")</f>
        <v>13.899388999999999</v>
      </c>
      <c r="J4" t="str">
        <f>IFERROR(VLOOKUP(Logs_Reseau_Part56[[#This Row],[Cell_ID]],Registre_Maintenance_Part[[ID_Antenne]:[Colonne2]],5,FALSE),"")</f>
        <v>3G</v>
      </c>
      <c r="K4" t="str">
        <f>IFERROR(VLOOKUP(Logs_Reseau_Part56[[#This Row],[Cell_ID]],Registre_Maintenance_Part[[ID_Antenne]:[Colonne2]],6,FALSE),"")</f>
        <v>Huawei</v>
      </c>
    </row>
    <row r="5" spans="1:12" x14ac:dyDescent="0.3">
      <c r="A5" s="1">
        <v>45202.412499999999</v>
      </c>
      <c r="B5" s="2">
        <v>45202.412499999999</v>
      </c>
      <c r="C5" t="s">
        <v>1059</v>
      </c>
      <c r="D5">
        <v>35</v>
      </c>
      <c r="E5">
        <f>Logs_Reseau_Part56[[#This Row],[Duree_Panne_Min]]/60</f>
        <v>0.58333333333333337</v>
      </c>
      <c r="F5" t="s">
        <v>734</v>
      </c>
      <c r="G5" t="str">
        <f>IFERROR(VLOOKUP(Logs_Reseau_Part56[[#This Row],[Cell_ID]],Registre_Maintenance_Part[[ID_Antenne]:[Colonne2]],2,FALSE),"")</f>
        <v>Bas-Uele</v>
      </c>
      <c r="H5">
        <f>IFERROR(VLOOKUP(Logs_Reseau_Part56[[#This Row],[Cell_ID]],Registre_Maintenance_Part[[ID_Antenne]:[Colonne2]],3,FALSE),"")</f>
        <v>-6.4197189999999997</v>
      </c>
      <c r="I5">
        <f>IFERROR(VLOOKUP(Logs_Reseau_Part56[[#This Row],[Cell_ID]],Registre_Maintenance_Part[[ID_Antenne]:[Colonne2]],4,FALSE),"")</f>
        <v>22.287264</v>
      </c>
      <c r="J5" t="str">
        <f>IFERROR(VLOOKUP(Logs_Reseau_Part56[[#This Row],[Cell_ID]],Registre_Maintenance_Part[[ID_Antenne]:[Colonne2]],5,FALSE),"")</f>
        <v>3G</v>
      </c>
      <c r="K5" t="str">
        <f>IFERROR(VLOOKUP(Logs_Reseau_Part56[[#This Row],[Cell_ID]],Registre_Maintenance_Part[[ID_Antenne]:[Colonne2]],6,FALSE),"")</f>
        <v>Ericsson</v>
      </c>
    </row>
    <row r="6" spans="1:12" x14ac:dyDescent="0.3">
      <c r="A6" s="1">
        <v>45203.041666666657</v>
      </c>
      <c r="B6" s="2">
        <v>45203.041666666657</v>
      </c>
      <c r="C6" t="s">
        <v>1055</v>
      </c>
      <c r="D6">
        <v>69</v>
      </c>
      <c r="E6">
        <f>Logs_Reseau_Part56[[#This Row],[Duree_Panne_Min]]/60</f>
        <v>1.1499999999999999</v>
      </c>
      <c r="F6" t="s">
        <v>739</v>
      </c>
      <c r="G6" t="str">
        <f>IFERROR(VLOOKUP(Logs_Reseau_Part56[[#This Row],[Cell_ID]],Registre_Maintenance_Part[[ID_Antenne]:[Colonne2]],2,FALSE),"")</f>
        <v>Bas-Uele</v>
      </c>
      <c r="H6">
        <f>IFERROR(VLOOKUP(Logs_Reseau_Part56[[#This Row],[Cell_ID]],Registre_Maintenance_Part[[ID_Antenne]:[Colonne2]],3,FALSE),"")</f>
        <v>-2.2876210000000001</v>
      </c>
      <c r="I6">
        <f>IFERROR(VLOOKUP(Logs_Reseau_Part56[[#This Row],[Cell_ID]],Registre_Maintenance_Part[[ID_Antenne]:[Colonne2]],4,FALSE),"")</f>
        <v>27.582545</v>
      </c>
      <c r="J6" t="str">
        <f>IFERROR(VLOOKUP(Logs_Reseau_Part56[[#This Row],[Cell_ID]],Registre_Maintenance_Part[[ID_Antenne]:[Colonne2]],5,FALSE),"")</f>
        <v>4G</v>
      </c>
      <c r="K6" t="str">
        <f>IFERROR(VLOOKUP(Logs_Reseau_Part56[[#This Row],[Cell_ID]],Registre_Maintenance_Part[[ID_Antenne]:[Colonne2]],6,FALSE),"")</f>
        <v>Huawei</v>
      </c>
    </row>
    <row r="7" spans="1:12" x14ac:dyDescent="0.3">
      <c r="A7" s="1">
        <v>45204.625</v>
      </c>
      <c r="B7" s="2">
        <v>45204.625</v>
      </c>
      <c r="C7" t="s">
        <v>1386</v>
      </c>
      <c r="D7">
        <v>94</v>
      </c>
      <c r="E7">
        <f>Logs_Reseau_Part56[[#This Row],[Duree_Panne_Min]]/60</f>
        <v>1.5666666666666667</v>
      </c>
      <c r="F7" t="s">
        <v>739</v>
      </c>
      <c r="G7" t="str">
        <f>IFERROR(VLOOKUP(Logs_Reseau_Part56[[#This Row],[Cell_ID]],Registre_Maintenance_Part[[ID_Antenne]:[Colonne2]],2,FALSE),"")</f>
        <v>Bas-Uele</v>
      </c>
      <c r="H7">
        <f>IFERROR(VLOOKUP(Logs_Reseau_Part56[[#This Row],[Cell_ID]],Registre_Maintenance_Part[[ID_Antenne]:[Colonne2]],3,FALSE),"")</f>
        <v>-1.6893210000000001</v>
      </c>
      <c r="I7">
        <f>IFERROR(VLOOKUP(Logs_Reseau_Part56[[#This Row],[Cell_ID]],Registre_Maintenance_Part[[ID_Antenne]:[Colonne2]],4,FALSE),"")</f>
        <v>30.446543999999999</v>
      </c>
      <c r="J7" t="str">
        <f>IFERROR(VLOOKUP(Logs_Reseau_Part56[[#This Row],[Cell_ID]],Registre_Maintenance_Part[[ID_Antenne]:[Colonne2]],5,FALSE),"")</f>
        <v>4G</v>
      </c>
      <c r="K7" t="str">
        <f>IFERROR(VLOOKUP(Logs_Reseau_Part56[[#This Row],[Cell_ID]],Registre_Maintenance_Part[[ID_Antenne]:[Colonne2]],6,FALSE),"")</f>
        <v>Huawei</v>
      </c>
    </row>
    <row r="8" spans="1:12" x14ac:dyDescent="0.3">
      <c r="A8" s="1">
        <v>45204.905555555553</v>
      </c>
      <c r="B8" s="2">
        <v>45204.905555555553</v>
      </c>
      <c r="C8" t="s">
        <v>1052</v>
      </c>
      <c r="D8">
        <v>61</v>
      </c>
      <c r="E8">
        <f>Logs_Reseau_Part56[[#This Row],[Duree_Panne_Min]]/60</f>
        <v>1.0166666666666666</v>
      </c>
      <c r="F8" t="s">
        <v>734</v>
      </c>
      <c r="G8" t="str">
        <f>IFERROR(VLOOKUP(Logs_Reseau_Part56[[#This Row],[Cell_ID]],Registre_Maintenance_Part[[ID_Antenne]:[Colonne2]],2,FALSE),"")</f>
        <v>Bas-Uele</v>
      </c>
      <c r="H8">
        <f>IFERROR(VLOOKUP(Logs_Reseau_Part56[[#This Row],[Cell_ID]],Registre_Maintenance_Part[[ID_Antenne]:[Colonne2]],3,FALSE),"")</f>
        <v>4.497306</v>
      </c>
      <c r="I8">
        <f>IFERROR(VLOOKUP(Logs_Reseau_Part56[[#This Row],[Cell_ID]],Registre_Maintenance_Part[[ID_Antenne]:[Colonne2]],4,FALSE),"")</f>
        <v>12.857251</v>
      </c>
      <c r="J8" t="str">
        <f>IFERROR(VLOOKUP(Logs_Reseau_Part56[[#This Row],[Cell_ID]],Registre_Maintenance_Part[[ID_Antenne]:[Colonne2]],5,FALSE),"")</f>
        <v>5G</v>
      </c>
      <c r="K8" t="str">
        <f>IFERROR(VLOOKUP(Logs_Reseau_Part56[[#This Row],[Cell_ID]],Registre_Maintenance_Part[[ID_Antenne]:[Colonne2]],6,FALSE),"")</f>
        <v>Ericsson</v>
      </c>
    </row>
    <row r="9" spans="1:12" x14ac:dyDescent="0.3">
      <c r="A9" s="1">
        <v>45205.018055555563</v>
      </c>
      <c r="B9" s="2">
        <v>45205.018055555563</v>
      </c>
      <c r="C9" t="s">
        <v>924</v>
      </c>
      <c r="D9">
        <v>67</v>
      </c>
      <c r="E9">
        <f>Logs_Reseau_Part56[[#This Row],[Duree_Panne_Min]]/60</f>
        <v>1.1166666666666667</v>
      </c>
      <c r="F9" t="s">
        <v>739</v>
      </c>
      <c r="G9" t="str">
        <f>IFERROR(VLOOKUP(Logs_Reseau_Part56[[#This Row],[Cell_ID]],Registre_Maintenance_Part[[ID_Antenne]:[Colonne2]],2,FALSE),"")</f>
        <v>Bas-Uele</v>
      </c>
      <c r="H9">
        <f>IFERROR(VLOOKUP(Logs_Reseau_Part56[[#This Row],[Cell_ID]],Registre_Maintenance_Part[[ID_Antenne]:[Colonne2]],3,FALSE),"")</f>
        <v>1.5278670000000001</v>
      </c>
      <c r="I9">
        <f>IFERROR(VLOOKUP(Logs_Reseau_Part56[[#This Row],[Cell_ID]],Registre_Maintenance_Part[[ID_Antenne]:[Colonne2]],4,FALSE),"")</f>
        <v>13.899388999999999</v>
      </c>
      <c r="J9" t="str">
        <f>IFERROR(VLOOKUP(Logs_Reseau_Part56[[#This Row],[Cell_ID]],Registre_Maintenance_Part[[ID_Antenne]:[Colonne2]],5,FALSE),"")</f>
        <v>3G</v>
      </c>
      <c r="K9" t="str">
        <f>IFERROR(VLOOKUP(Logs_Reseau_Part56[[#This Row],[Cell_ID]],Registre_Maintenance_Part[[ID_Antenne]:[Colonne2]],6,FALSE),"")</f>
        <v>Huawei</v>
      </c>
    </row>
    <row r="10" spans="1:12" x14ac:dyDescent="0.3">
      <c r="A10" s="1">
        <v>45207.342361111107</v>
      </c>
      <c r="B10" s="2">
        <v>45207.342361111107</v>
      </c>
      <c r="C10" t="s">
        <v>1174</v>
      </c>
      <c r="D10">
        <v>28</v>
      </c>
      <c r="E10">
        <f>Logs_Reseau_Part56[[#This Row],[Duree_Panne_Min]]/60</f>
        <v>0.46666666666666667</v>
      </c>
      <c r="F10" t="s">
        <v>734</v>
      </c>
      <c r="G10" t="str">
        <f>IFERROR(VLOOKUP(Logs_Reseau_Part56[[#This Row],[Cell_ID]],Registre_Maintenance_Part[[ID_Antenne]:[Colonne2]],2,FALSE),"")</f>
        <v>Bas-Uele</v>
      </c>
      <c r="H10">
        <f>IFERROR(VLOOKUP(Logs_Reseau_Part56[[#This Row],[Cell_ID]],Registre_Maintenance_Part[[ID_Antenne]:[Colonne2]],3,FALSE),"")</f>
        <v>0.40267799999999998</v>
      </c>
      <c r="I10">
        <f>IFERROR(VLOOKUP(Logs_Reseau_Part56[[#This Row],[Cell_ID]],Registre_Maintenance_Part[[ID_Antenne]:[Colonne2]],4,FALSE),"")</f>
        <v>16.000858000000001</v>
      </c>
      <c r="J10" t="str">
        <f>IFERROR(VLOOKUP(Logs_Reseau_Part56[[#This Row],[Cell_ID]],Registre_Maintenance_Part[[ID_Antenne]:[Colonne2]],5,FALSE),"")</f>
        <v>3G</v>
      </c>
      <c r="K10" t="str">
        <f>IFERROR(VLOOKUP(Logs_Reseau_Part56[[#This Row],[Cell_ID]],Registre_Maintenance_Part[[ID_Antenne]:[Colonne2]],6,FALSE),"")</f>
        <v>Nokia</v>
      </c>
    </row>
    <row r="11" spans="1:12" x14ac:dyDescent="0.3">
      <c r="A11" s="1">
        <v>45208.961805555547</v>
      </c>
      <c r="B11" s="2">
        <v>45208.961805555547</v>
      </c>
      <c r="C11" t="s">
        <v>1365</v>
      </c>
      <c r="D11">
        <v>68</v>
      </c>
      <c r="E11">
        <f>Logs_Reseau_Part56[[#This Row],[Duree_Panne_Min]]/60</f>
        <v>1.1333333333333333</v>
      </c>
      <c r="F11" t="s">
        <v>734</v>
      </c>
      <c r="G11" t="str">
        <f>IFERROR(VLOOKUP(Logs_Reseau_Part56[[#This Row],[Cell_ID]],Registre_Maintenance_Part[[ID_Antenne]:[Colonne2]],2,FALSE),"")</f>
        <v>Bas-Uele</v>
      </c>
      <c r="H11">
        <f>IFERROR(VLOOKUP(Logs_Reseau_Part56[[#This Row],[Cell_ID]],Registre_Maintenance_Part[[ID_Antenne]:[Colonne2]],3,FALSE),"")</f>
        <v>-2.3269820000000001</v>
      </c>
      <c r="I11">
        <f>IFERROR(VLOOKUP(Logs_Reseau_Part56[[#This Row],[Cell_ID]],Registre_Maintenance_Part[[ID_Antenne]:[Colonne2]],4,FALSE),"")</f>
        <v>14.609259</v>
      </c>
      <c r="J11" t="str">
        <f>IFERROR(VLOOKUP(Logs_Reseau_Part56[[#This Row],[Cell_ID]],Registre_Maintenance_Part[[ID_Antenne]:[Colonne2]],5,FALSE),"")</f>
        <v>3G</v>
      </c>
      <c r="K11" t="str">
        <f>IFERROR(VLOOKUP(Logs_Reseau_Part56[[#This Row],[Cell_ID]],Registre_Maintenance_Part[[ID_Antenne]:[Colonne2]],6,FALSE),"")</f>
        <v>Nokia</v>
      </c>
    </row>
    <row r="12" spans="1:12" x14ac:dyDescent="0.3">
      <c r="A12" s="1">
        <v>45209.913888888892</v>
      </c>
      <c r="B12" s="2">
        <v>45209.913888888892</v>
      </c>
      <c r="C12" t="s">
        <v>1059</v>
      </c>
      <c r="D12">
        <v>111</v>
      </c>
      <c r="E12">
        <f>Logs_Reseau_Part56[[#This Row],[Duree_Panne_Min]]/60</f>
        <v>1.85</v>
      </c>
      <c r="F12" t="s">
        <v>739</v>
      </c>
      <c r="G12" t="str">
        <f>IFERROR(VLOOKUP(Logs_Reseau_Part56[[#This Row],[Cell_ID]],Registre_Maintenance_Part[[ID_Antenne]:[Colonne2]],2,FALSE),"")</f>
        <v>Bas-Uele</v>
      </c>
      <c r="H12">
        <f>IFERROR(VLOOKUP(Logs_Reseau_Part56[[#This Row],[Cell_ID]],Registre_Maintenance_Part[[ID_Antenne]:[Colonne2]],3,FALSE),"")</f>
        <v>-6.4197189999999997</v>
      </c>
      <c r="I12">
        <f>IFERROR(VLOOKUP(Logs_Reseau_Part56[[#This Row],[Cell_ID]],Registre_Maintenance_Part[[ID_Antenne]:[Colonne2]],4,FALSE),"")</f>
        <v>22.287264</v>
      </c>
      <c r="J12" t="str">
        <f>IFERROR(VLOOKUP(Logs_Reseau_Part56[[#This Row],[Cell_ID]],Registre_Maintenance_Part[[ID_Antenne]:[Colonne2]],5,FALSE),"")</f>
        <v>3G</v>
      </c>
      <c r="K12" t="str">
        <f>IFERROR(VLOOKUP(Logs_Reseau_Part56[[#This Row],[Cell_ID]],Registre_Maintenance_Part[[ID_Antenne]:[Colonne2]],6,FALSE),"")</f>
        <v>Ericsson</v>
      </c>
    </row>
    <row r="13" spans="1:12" x14ac:dyDescent="0.3">
      <c r="A13" s="1">
        <v>45209.921527777777</v>
      </c>
      <c r="B13" s="2">
        <v>45209.921527777777</v>
      </c>
      <c r="C13" t="s">
        <v>924</v>
      </c>
      <c r="D13">
        <v>119</v>
      </c>
      <c r="E13">
        <f>Logs_Reseau_Part56[[#This Row],[Duree_Panne_Min]]/60</f>
        <v>1.9833333333333334</v>
      </c>
      <c r="F13" t="s">
        <v>734</v>
      </c>
      <c r="G13" t="str">
        <f>IFERROR(VLOOKUP(Logs_Reseau_Part56[[#This Row],[Cell_ID]],Registre_Maintenance_Part[[ID_Antenne]:[Colonne2]],2,FALSE),"")</f>
        <v>Bas-Uele</v>
      </c>
      <c r="H13">
        <f>IFERROR(VLOOKUP(Logs_Reseau_Part56[[#This Row],[Cell_ID]],Registre_Maintenance_Part[[ID_Antenne]:[Colonne2]],3,FALSE),"")</f>
        <v>1.5278670000000001</v>
      </c>
      <c r="I13">
        <f>IFERROR(VLOOKUP(Logs_Reseau_Part56[[#This Row],[Cell_ID]],Registre_Maintenance_Part[[ID_Antenne]:[Colonne2]],4,FALSE),"")</f>
        <v>13.899388999999999</v>
      </c>
      <c r="J13" t="str">
        <f>IFERROR(VLOOKUP(Logs_Reseau_Part56[[#This Row],[Cell_ID]],Registre_Maintenance_Part[[ID_Antenne]:[Colonne2]],5,FALSE),"")</f>
        <v>3G</v>
      </c>
      <c r="K13" t="str">
        <f>IFERROR(VLOOKUP(Logs_Reseau_Part56[[#This Row],[Cell_ID]],Registre_Maintenance_Part[[ID_Antenne]:[Colonne2]],6,FALSE),"")</f>
        <v>Huawei</v>
      </c>
    </row>
    <row r="14" spans="1:12" x14ac:dyDescent="0.3">
      <c r="A14" s="1">
        <v>45214.172222222223</v>
      </c>
      <c r="B14" s="2">
        <v>45214.172222222223</v>
      </c>
      <c r="C14" t="s">
        <v>903</v>
      </c>
      <c r="D14">
        <v>6</v>
      </c>
      <c r="E14">
        <f>Logs_Reseau_Part56[[#This Row],[Duree_Panne_Min]]/60</f>
        <v>0.1</v>
      </c>
      <c r="F14" t="s">
        <v>734</v>
      </c>
      <c r="G14" t="str">
        <f>IFERROR(VLOOKUP(Logs_Reseau_Part56[[#This Row],[Cell_ID]],Registre_Maintenance_Part[[ID_Antenne]:[Colonne2]],2,FALSE),"")</f>
        <v>Bas-Uele</v>
      </c>
      <c r="H14">
        <f>IFERROR(VLOOKUP(Logs_Reseau_Part56[[#This Row],[Cell_ID]],Registre_Maintenance_Part[[ID_Antenne]:[Colonne2]],3,FALSE),"")</f>
        <v>-3.6945459999999999</v>
      </c>
      <c r="I14">
        <f>IFERROR(VLOOKUP(Logs_Reseau_Part56[[#This Row],[Cell_ID]],Registre_Maintenance_Part[[ID_Antenne]:[Colonne2]],4,FALSE),"")</f>
        <v>16.809108999999999</v>
      </c>
      <c r="J14" t="str">
        <f>IFERROR(VLOOKUP(Logs_Reseau_Part56[[#This Row],[Cell_ID]],Registre_Maintenance_Part[[ID_Antenne]:[Colonne2]],5,FALSE),"")</f>
        <v>5G</v>
      </c>
      <c r="K14" t="str">
        <f>IFERROR(VLOOKUP(Logs_Reseau_Part56[[#This Row],[Cell_ID]],Registre_Maintenance_Part[[ID_Antenne]:[Colonne2]],6,FALSE),"")</f>
        <v>ZTE</v>
      </c>
    </row>
    <row r="15" spans="1:12" x14ac:dyDescent="0.3">
      <c r="A15" s="1">
        <v>45216.970138888893</v>
      </c>
      <c r="B15" s="2">
        <v>45216.970138888893</v>
      </c>
      <c r="C15" t="s">
        <v>1059</v>
      </c>
      <c r="D15">
        <v>13</v>
      </c>
      <c r="E15">
        <f>Logs_Reseau_Part56[[#This Row],[Duree_Panne_Min]]/60</f>
        <v>0.21666666666666667</v>
      </c>
      <c r="F15" t="s">
        <v>739</v>
      </c>
      <c r="G15" t="str">
        <f>IFERROR(VLOOKUP(Logs_Reseau_Part56[[#This Row],[Cell_ID]],Registre_Maintenance_Part[[ID_Antenne]:[Colonne2]],2,FALSE),"")</f>
        <v>Bas-Uele</v>
      </c>
      <c r="H15">
        <f>IFERROR(VLOOKUP(Logs_Reseau_Part56[[#This Row],[Cell_ID]],Registre_Maintenance_Part[[ID_Antenne]:[Colonne2]],3,FALSE),"")</f>
        <v>-6.4197189999999997</v>
      </c>
      <c r="I15">
        <f>IFERROR(VLOOKUP(Logs_Reseau_Part56[[#This Row],[Cell_ID]],Registre_Maintenance_Part[[ID_Antenne]:[Colonne2]],4,FALSE),"")</f>
        <v>22.287264</v>
      </c>
      <c r="J15" t="str">
        <f>IFERROR(VLOOKUP(Logs_Reseau_Part56[[#This Row],[Cell_ID]],Registre_Maintenance_Part[[ID_Antenne]:[Colonne2]],5,FALSE),"")</f>
        <v>3G</v>
      </c>
      <c r="K15" t="str">
        <f>IFERROR(VLOOKUP(Logs_Reseau_Part56[[#This Row],[Cell_ID]],Registre_Maintenance_Part[[ID_Antenne]:[Colonne2]],6,FALSE),"")</f>
        <v>Ericsson</v>
      </c>
    </row>
    <row r="16" spans="1:12" x14ac:dyDescent="0.3">
      <c r="A16" s="1">
        <v>45219.095833333333</v>
      </c>
      <c r="B16" s="2">
        <v>45219.095833333333</v>
      </c>
      <c r="C16" t="s">
        <v>903</v>
      </c>
      <c r="D16">
        <v>113</v>
      </c>
      <c r="E16">
        <f>Logs_Reseau_Part56[[#This Row],[Duree_Panne_Min]]/60</f>
        <v>1.8833333333333333</v>
      </c>
      <c r="F16" t="s">
        <v>739</v>
      </c>
      <c r="G16" t="str">
        <f>IFERROR(VLOOKUP(Logs_Reseau_Part56[[#This Row],[Cell_ID]],Registre_Maintenance_Part[[ID_Antenne]:[Colonne2]],2,FALSE),"")</f>
        <v>Bas-Uele</v>
      </c>
      <c r="H16">
        <f>IFERROR(VLOOKUP(Logs_Reseau_Part56[[#This Row],[Cell_ID]],Registre_Maintenance_Part[[ID_Antenne]:[Colonne2]],3,FALSE),"")</f>
        <v>-3.6945459999999999</v>
      </c>
      <c r="I16">
        <f>IFERROR(VLOOKUP(Logs_Reseau_Part56[[#This Row],[Cell_ID]],Registre_Maintenance_Part[[ID_Antenne]:[Colonne2]],4,FALSE),"")</f>
        <v>16.809108999999999</v>
      </c>
      <c r="J16" t="str">
        <f>IFERROR(VLOOKUP(Logs_Reseau_Part56[[#This Row],[Cell_ID]],Registre_Maintenance_Part[[ID_Antenne]:[Colonne2]],5,FALSE),"")</f>
        <v>5G</v>
      </c>
      <c r="K16" t="str">
        <f>IFERROR(VLOOKUP(Logs_Reseau_Part56[[#This Row],[Cell_ID]],Registre_Maintenance_Part[[ID_Antenne]:[Colonne2]],6,FALSE),"")</f>
        <v>ZTE</v>
      </c>
    </row>
    <row r="17" spans="1:11" x14ac:dyDescent="0.3">
      <c r="A17" s="1">
        <v>45220.893750000003</v>
      </c>
      <c r="B17" s="2">
        <v>45220.893750000003</v>
      </c>
      <c r="C17" t="s">
        <v>1055</v>
      </c>
      <c r="D17">
        <v>101</v>
      </c>
      <c r="E17">
        <f>Logs_Reseau_Part56[[#This Row],[Duree_Panne_Min]]/60</f>
        <v>1.6833333333333333</v>
      </c>
      <c r="F17" t="s">
        <v>739</v>
      </c>
      <c r="G17" t="str">
        <f>IFERROR(VLOOKUP(Logs_Reseau_Part56[[#This Row],[Cell_ID]],Registre_Maintenance_Part[[ID_Antenne]:[Colonne2]],2,FALSE),"")</f>
        <v>Bas-Uele</v>
      </c>
      <c r="H17">
        <f>IFERROR(VLOOKUP(Logs_Reseau_Part56[[#This Row],[Cell_ID]],Registre_Maintenance_Part[[ID_Antenne]:[Colonne2]],3,FALSE),"")</f>
        <v>-2.2876210000000001</v>
      </c>
      <c r="I17">
        <f>IFERROR(VLOOKUP(Logs_Reseau_Part56[[#This Row],[Cell_ID]],Registre_Maintenance_Part[[ID_Antenne]:[Colonne2]],4,FALSE),"")</f>
        <v>27.582545</v>
      </c>
      <c r="J17" t="str">
        <f>IFERROR(VLOOKUP(Logs_Reseau_Part56[[#This Row],[Cell_ID]],Registre_Maintenance_Part[[ID_Antenne]:[Colonne2]],5,FALSE),"")</f>
        <v>4G</v>
      </c>
      <c r="K17" t="str">
        <f>IFERROR(VLOOKUP(Logs_Reseau_Part56[[#This Row],[Cell_ID]],Registre_Maintenance_Part[[ID_Antenne]:[Colonne2]],6,FALSE),"")</f>
        <v>Huawei</v>
      </c>
    </row>
    <row r="18" spans="1:11" x14ac:dyDescent="0.3">
      <c r="A18" s="1">
        <v>45222.427083333343</v>
      </c>
      <c r="B18" s="2">
        <v>45222.427083333343</v>
      </c>
      <c r="C18" t="s">
        <v>819</v>
      </c>
      <c r="D18">
        <v>82</v>
      </c>
      <c r="E18">
        <f>Logs_Reseau_Part56[[#This Row],[Duree_Panne_Min]]/60</f>
        <v>1.3666666666666667</v>
      </c>
      <c r="F18" t="s">
        <v>734</v>
      </c>
      <c r="G18" t="str">
        <f>IFERROR(VLOOKUP(Logs_Reseau_Part56[[#This Row],[Cell_ID]],Registre_Maintenance_Part[[ID_Antenne]:[Colonne2]],2,FALSE),"")</f>
        <v>Bas-Uele</v>
      </c>
      <c r="H18">
        <f>IFERROR(VLOOKUP(Logs_Reseau_Part56[[#This Row],[Cell_ID]],Registre_Maintenance_Part[[ID_Antenne]:[Colonne2]],3,FALSE),"")</f>
        <v>-4.4697000000000001E-2</v>
      </c>
      <c r="I18">
        <f>IFERROR(VLOOKUP(Logs_Reseau_Part56[[#This Row],[Cell_ID]],Registre_Maintenance_Part[[ID_Antenne]:[Colonne2]],4,FALSE),"")</f>
        <v>22.943373000000001</v>
      </c>
      <c r="J18" t="str">
        <f>IFERROR(VLOOKUP(Logs_Reseau_Part56[[#This Row],[Cell_ID]],Registre_Maintenance_Part[[ID_Antenne]:[Colonne2]],5,FALSE),"")</f>
        <v>3G</v>
      </c>
      <c r="K18" t="str">
        <f>IFERROR(VLOOKUP(Logs_Reseau_Part56[[#This Row],[Cell_ID]],Registre_Maintenance_Part[[ID_Antenne]:[Colonne2]],6,FALSE),"")</f>
        <v>Huawei</v>
      </c>
    </row>
    <row r="19" spans="1:11" x14ac:dyDescent="0.3">
      <c r="A19" s="1">
        <v>45222.763194444437</v>
      </c>
      <c r="B19" s="2">
        <v>45222.763194444437</v>
      </c>
      <c r="C19" t="s">
        <v>903</v>
      </c>
      <c r="D19">
        <v>91</v>
      </c>
      <c r="E19">
        <f>Logs_Reseau_Part56[[#This Row],[Duree_Panne_Min]]/60</f>
        <v>1.5166666666666666</v>
      </c>
      <c r="F19" t="s">
        <v>739</v>
      </c>
      <c r="G19" t="str">
        <f>IFERROR(VLOOKUP(Logs_Reseau_Part56[[#This Row],[Cell_ID]],Registre_Maintenance_Part[[ID_Antenne]:[Colonne2]],2,FALSE),"")</f>
        <v>Bas-Uele</v>
      </c>
      <c r="H19">
        <f>IFERROR(VLOOKUP(Logs_Reseau_Part56[[#This Row],[Cell_ID]],Registre_Maintenance_Part[[ID_Antenne]:[Colonne2]],3,FALSE),"")</f>
        <v>-3.6945459999999999</v>
      </c>
      <c r="I19">
        <f>IFERROR(VLOOKUP(Logs_Reseau_Part56[[#This Row],[Cell_ID]],Registre_Maintenance_Part[[ID_Antenne]:[Colonne2]],4,FALSE),"")</f>
        <v>16.809108999999999</v>
      </c>
      <c r="J19" t="str">
        <f>IFERROR(VLOOKUP(Logs_Reseau_Part56[[#This Row],[Cell_ID]],Registre_Maintenance_Part[[ID_Antenne]:[Colonne2]],5,FALSE),"")</f>
        <v>5G</v>
      </c>
      <c r="K19" t="str">
        <f>IFERROR(VLOOKUP(Logs_Reseau_Part56[[#This Row],[Cell_ID]],Registre_Maintenance_Part[[ID_Antenne]:[Colonne2]],6,FALSE),"")</f>
        <v>ZTE</v>
      </c>
    </row>
    <row r="20" spans="1:11" x14ac:dyDescent="0.3">
      <c r="A20" s="1">
        <v>45223.436111111107</v>
      </c>
      <c r="B20" s="2">
        <v>45223.436111111107</v>
      </c>
      <c r="C20" t="s">
        <v>924</v>
      </c>
      <c r="D20">
        <v>26</v>
      </c>
      <c r="E20">
        <f>Logs_Reseau_Part56[[#This Row],[Duree_Panne_Min]]/60</f>
        <v>0.43333333333333335</v>
      </c>
      <c r="F20" t="s">
        <v>734</v>
      </c>
      <c r="G20" t="str">
        <f>IFERROR(VLOOKUP(Logs_Reseau_Part56[[#This Row],[Cell_ID]],Registre_Maintenance_Part[[ID_Antenne]:[Colonne2]],2,FALSE),"")</f>
        <v>Bas-Uele</v>
      </c>
      <c r="H20">
        <f>IFERROR(VLOOKUP(Logs_Reseau_Part56[[#This Row],[Cell_ID]],Registre_Maintenance_Part[[ID_Antenne]:[Colonne2]],3,FALSE),"")</f>
        <v>1.5278670000000001</v>
      </c>
      <c r="I20">
        <f>IFERROR(VLOOKUP(Logs_Reseau_Part56[[#This Row],[Cell_ID]],Registre_Maintenance_Part[[ID_Antenne]:[Colonne2]],4,FALSE),"")</f>
        <v>13.899388999999999</v>
      </c>
      <c r="J20" t="str">
        <f>IFERROR(VLOOKUP(Logs_Reseau_Part56[[#This Row],[Cell_ID]],Registre_Maintenance_Part[[ID_Antenne]:[Colonne2]],5,FALSE),"")</f>
        <v>3G</v>
      </c>
      <c r="K20" t="str">
        <f>IFERROR(VLOOKUP(Logs_Reseau_Part56[[#This Row],[Cell_ID]],Registre_Maintenance_Part[[ID_Antenne]:[Colonne2]],6,FALSE),"")</f>
        <v>Huawei</v>
      </c>
    </row>
    <row r="21" spans="1:11" x14ac:dyDescent="0.3">
      <c r="A21" s="1">
        <v>45224.195138888892</v>
      </c>
      <c r="B21" s="2">
        <v>45224.195138888892</v>
      </c>
      <c r="C21" t="s">
        <v>1262</v>
      </c>
      <c r="D21">
        <v>81</v>
      </c>
      <c r="E21">
        <f>Logs_Reseau_Part56[[#This Row],[Duree_Panne_Min]]/60</f>
        <v>1.35</v>
      </c>
      <c r="F21" t="s">
        <v>737</v>
      </c>
      <c r="G21" t="str">
        <f>IFERROR(VLOOKUP(Logs_Reseau_Part56[[#This Row],[Cell_ID]],Registre_Maintenance_Part[[ID_Antenne]:[Colonne2]],2,FALSE),"")</f>
        <v>Bas-Uele</v>
      </c>
      <c r="H21">
        <f>IFERROR(VLOOKUP(Logs_Reseau_Part56[[#This Row],[Cell_ID]],Registre_Maintenance_Part[[ID_Antenne]:[Colonne2]],3,FALSE),"")</f>
        <v>-1.500685</v>
      </c>
      <c r="I21">
        <f>IFERROR(VLOOKUP(Logs_Reseau_Part56[[#This Row],[Cell_ID]],Registre_Maintenance_Part[[ID_Antenne]:[Colonne2]],4,FALSE),"")</f>
        <v>26.563376000000002</v>
      </c>
      <c r="J21" t="str">
        <f>IFERROR(VLOOKUP(Logs_Reseau_Part56[[#This Row],[Cell_ID]],Registre_Maintenance_Part[[ID_Antenne]:[Colonne2]],5,FALSE),"")</f>
        <v>5G</v>
      </c>
      <c r="K21" t="str">
        <f>IFERROR(VLOOKUP(Logs_Reseau_Part56[[#This Row],[Cell_ID]],Registre_Maintenance_Part[[ID_Antenne]:[Colonne2]],6,FALSE),"")</f>
        <v>Nokia</v>
      </c>
    </row>
    <row r="22" spans="1:11" x14ac:dyDescent="0.3">
      <c r="A22" s="1">
        <v>45228.614583333343</v>
      </c>
      <c r="B22" s="2">
        <v>45228.614583333343</v>
      </c>
      <c r="C22" t="s">
        <v>903</v>
      </c>
      <c r="D22">
        <v>48</v>
      </c>
      <c r="E22">
        <f>Logs_Reseau_Part56[[#This Row],[Duree_Panne_Min]]/60</f>
        <v>0.8</v>
      </c>
      <c r="F22" t="s">
        <v>737</v>
      </c>
      <c r="G22" t="str">
        <f>IFERROR(VLOOKUP(Logs_Reseau_Part56[[#This Row],[Cell_ID]],Registre_Maintenance_Part[[ID_Antenne]:[Colonne2]],2,FALSE),"")</f>
        <v>Bas-Uele</v>
      </c>
      <c r="H22">
        <f>IFERROR(VLOOKUP(Logs_Reseau_Part56[[#This Row],[Cell_ID]],Registre_Maintenance_Part[[ID_Antenne]:[Colonne2]],3,FALSE),"")</f>
        <v>-3.6945459999999999</v>
      </c>
      <c r="I22">
        <f>IFERROR(VLOOKUP(Logs_Reseau_Part56[[#This Row],[Cell_ID]],Registre_Maintenance_Part[[ID_Antenne]:[Colonne2]],4,FALSE),"")</f>
        <v>16.809108999999999</v>
      </c>
      <c r="J22" t="str">
        <f>IFERROR(VLOOKUP(Logs_Reseau_Part56[[#This Row],[Cell_ID]],Registre_Maintenance_Part[[ID_Antenne]:[Colonne2]],5,FALSE),"")</f>
        <v>5G</v>
      </c>
      <c r="K22" t="str">
        <f>IFERROR(VLOOKUP(Logs_Reseau_Part56[[#This Row],[Cell_ID]],Registre_Maintenance_Part[[ID_Antenne]:[Colonne2]],6,FALSE),"")</f>
        <v>ZTE</v>
      </c>
    </row>
    <row r="23" spans="1:11" x14ac:dyDescent="0.3">
      <c r="A23" s="1">
        <v>45230.395138888889</v>
      </c>
      <c r="B23" s="2">
        <v>45230.395138888889</v>
      </c>
      <c r="C23" t="s">
        <v>1362</v>
      </c>
      <c r="D23">
        <v>89</v>
      </c>
      <c r="E23">
        <f>Logs_Reseau_Part56[[#This Row],[Duree_Panne_Min]]/60</f>
        <v>1.4833333333333334</v>
      </c>
      <c r="F23" t="s">
        <v>739</v>
      </c>
      <c r="G23" t="str">
        <f>IFERROR(VLOOKUP(Logs_Reseau_Part56[[#This Row],[Cell_ID]],Registre_Maintenance_Part[[ID_Antenne]:[Colonne2]],2,FALSE),"")</f>
        <v>Bas-Uele</v>
      </c>
      <c r="H23">
        <f>IFERROR(VLOOKUP(Logs_Reseau_Part56[[#This Row],[Cell_ID]],Registre_Maintenance_Part[[ID_Antenne]:[Colonne2]],3,FALSE),"")</f>
        <v>-7.3952039999999997</v>
      </c>
      <c r="I23">
        <f>IFERROR(VLOOKUP(Logs_Reseau_Part56[[#This Row],[Cell_ID]],Registre_Maintenance_Part[[ID_Antenne]:[Colonne2]],4,FALSE),"")</f>
        <v>21.651043999999999</v>
      </c>
      <c r="J23" t="str">
        <f>IFERROR(VLOOKUP(Logs_Reseau_Part56[[#This Row],[Cell_ID]],Registre_Maintenance_Part[[ID_Antenne]:[Colonne2]],5,FALSE),"")</f>
        <v>4G</v>
      </c>
      <c r="K23" t="str">
        <f>IFERROR(VLOOKUP(Logs_Reseau_Part56[[#This Row],[Cell_ID]],Registre_Maintenance_Part[[ID_Antenne]:[Colonne2]],6,FALSE),"")</f>
        <v>Huawei</v>
      </c>
    </row>
    <row r="24" spans="1:11" x14ac:dyDescent="0.3">
      <c r="A24" s="1">
        <v>45230.429166666669</v>
      </c>
      <c r="B24" s="2">
        <v>45230.429166666669</v>
      </c>
      <c r="C24" t="s">
        <v>1125</v>
      </c>
      <c r="D24">
        <v>11</v>
      </c>
      <c r="E24">
        <f>Logs_Reseau_Part56[[#This Row],[Duree_Panne_Min]]/60</f>
        <v>0.18333333333333332</v>
      </c>
      <c r="F24" t="s">
        <v>739</v>
      </c>
      <c r="G24" t="str">
        <f>IFERROR(VLOOKUP(Logs_Reseau_Part56[[#This Row],[Cell_ID]],Registre_Maintenance_Part[[ID_Antenne]:[Colonne2]],2,FALSE),"")</f>
        <v>Bas-Uele</v>
      </c>
      <c r="H24">
        <f>IFERROR(VLOOKUP(Logs_Reseau_Part56[[#This Row],[Cell_ID]],Registre_Maintenance_Part[[ID_Antenne]:[Colonne2]],3,FALSE),"")</f>
        <v>-2.8532869999999999</v>
      </c>
      <c r="I24">
        <f>IFERROR(VLOOKUP(Logs_Reseau_Part56[[#This Row],[Cell_ID]],Registre_Maintenance_Part[[ID_Antenne]:[Colonne2]],4,FALSE),"")</f>
        <v>22.117896000000002</v>
      </c>
      <c r="J24" t="str">
        <f>IFERROR(VLOOKUP(Logs_Reseau_Part56[[#This Row],[Cell_ID]],Registre_Maintenance_Part[[ID_Antenne]:[Colonne2]],5,FALSE),"")</f>
        <v>5G</v>
      </c>
      <c r="K24" t="str">
        <f>IFERROR(VLOOKUP(Logs_Reseau_Part56[[#This Row],[Cell_ID]],Registre_Maintenance_Part[[ID_Antenne]:[Colonne2]],6,FALSE),"")</f>
        <v>Huawei</v>
      </c>
    </row>
    <row r="25" spans="1:11" x14ac:dyDescent="0.3">
      <c r="A25" s="1">
        <v>45230.868055555547</v>
      </c>
      <c r="B25" s="2">
        <v>45230.868055555547</v>
      </c>
      <c r="C25" t="s">
        <v>1125</v>
      </c>
      <c r="D25">
        <v>103</v>
      </c>
      <c r="E25">
        <f>Logs_Reseau_Part56[[#This Row],[Duree_Panne_Min]]/60</f>
        <v>1.7166666666666666</v>
      </c>
      <c r="F25" t="s">
        <v>739</v>
      </c>
      <c r="G25" t="str">
        <f>IFERROR(VLOOKUP(Logs_Reseau_Part56[[#This Row],[Cell_ID]],Registre_Maintenance_Part[[ID_Antenne]:[Colonne2]],2,FALSE),"")</f>
        <v>Bas-Uele</v>
      </c>
      <c r="H25">
        <f>IFERROR(VLOOKUP(Logs_Reseau_Part56[[#This Row],[Cell_ID]],Registre_Maintenance_Part[[ID_Antenne]:[Colonne2]],3,FALSE),"")</f>
        <v>-2.8532869999999999</v>
      </c>
      <c r="I25">
        <f>IFERROR(VLOOKUP(Logs_Reseau_Part56[[#This Row],[Cell_ID]],Registre_Maintenance_Part[[ID_Antenne]:[Colonne2]],4,FALSE),"")</f>
        <v>22.117896000000002</v>
      </c>
      <c r="J25" t="str">
        <f>IFERROR(VLOOKUP(Logs_Reseau_Part56[[#This Row],[Cell_ID]],Registre_Maintenance_Part[[ID_Antenne]:[Colonne2]],5,FALSE),"")</f>
        <v>5G</v>
      </c>
      <c r="K25" t="str">
        <f>IFERROR(VLOOKUP(Logs_Reseau_Part56[[#This Row],[Cell_ID]],Registre_Maintenance_Part[[ID_Antenne]:[Colonne2]],6,FALSE),"")</f>
        <v>Huawei</v>
      </c>
    </row>
    <row r="26" spans="1:11" x14ac:dyDescent="0.3">
      <c r="A26" s="1">
        <v>45202.290277777778</v>
      </c>
      <c r="B26" s="2">
        <v>45202.290277777778</v>
      </c>
      <c r="C26" t="s">
        <v>775</v>
      </c>
      <c r="D26">
        <v>103</v>
      </c>
      <c r="E26">
        <f>Logs_Reseau_Part56[[#This Row],[Duree_Panne_Min]]/60</f>
        <v>1.7166666666666666</v>
      </c>
      <c r="F26" t="s">
        <v>737</v>
      </c>
      <c r="G26" t="str">
        <f>IFERROR(VLOOKUP(Logs_Reseau_Part56[[#This Row],[Cell_ID]],Registre_Maintenance_Part[[ID_Antenne]:[Colonne2]],2,FALSE),"")</f>
        <v>Equateur</v>
      </c>
      <c r="H26">
        <f>IFERROR(VLOOKUP(Logs_Reseau_Part56[[#This Row],[Cell_ID]],Registre_Maintenance_Part[[ID_Antenne]:[Colonne2]],3,FALSE),"")</f>
        <v>4.9250049999999996</v>
      </c>
      <c r="I26">
        <f>IFERROR(VLOOKUP(Logs_Reseau_Part56[[#This Row],[Cell_ID]],Registre_Maintenance_Part[[ID_Antenne]:[Colonne2]],4,FALSE),"")</f>
        <v>19.887931999999999</v>
      </c>
      <c r="J26" t="str">
        <f>IFERROR(VLOOKUP(Logs_Reseau_Part56[[#This Row],[Cell_ID]],Registre_Maintenance_Part[[ID_Antenne]:[Colonne2]],5,FALSE),"")</f>
        <v>4G</v>
      </c>
      <c r="K26" t="str">
        <f>IFERROR(VLOOKUP(Logs_Reseau_Part56[[#This Row],[Cell_ID]],Registre_Maintenance_Part[[ID_Antenne]:[Colonne2]],6,FALSE),"")</f>
        <v>Huawei</v>
      </c>
    </row>
    <row r="27" spans="1:11" x14ac:dyDescent="0.3">
      <c r="A27" s="1">
        <v>45204.122916666667</v>
      </c>
      <c r="B27" s="2">
        <v>45204.122916666667</v>
      </c>
      <c r="C27" t="s">
        <v>1202</v>
      </c>
      <c r="D27">
        <v>34</v>
      </c>
      <c r="E27">
        <f>Logs_Reseau_Part56[[#This Row],[Duree_Panne_Min]]/60</f>
        <v>0.56666666666666665</v>
      </c>
      <c r="F27" t="s">
        <v>734</v>
      </c>
      <c r="G27" t="str">
        <f>IFERROR(VLOOKUP(Logs_Reseau_Part56[[#This Row],[Cell_ID]],Registre_Maintenance_Part[[ID_Antenne]:[Colonne2]],2,FALSE),"")</f>
        <v>Equateur</v>
      </c>
      <c r="H27">
        <f>IFERROR(VLOOKUP(Logs_Reseau_Part56[[#This Row],[Cell_ID]],Registre_Maintenance_Part[[ID_Antenne]:[Colonne2]],3,FALSE),"")</f>
        <v>-6.1490739999999997</v>
      </c>
      <c r="I27">
        <f>IFERROR(VLOOKUP(Logs_Reseau_Part56[[#This Row],[Cell_ID]],Registre_Maintenance_Part[[ID_Antenne]:[Colonne2]],4,FALSE),"")</f>
        <v>23.304411000000002</v>
      </c>
      <c r="J27" t="str">
        <f>IFERROR(VLOOKUP(Logs_Reseau_Part56[[#This Row],[Cell_ID]],Registre_Maintenance_Part[[ID_Antenne]:[Colonne2]],5,FALSE),"")</f>
        <v>5G</v>
      </c>
      <c r="K27" t="str">
        <f>IFERROR(VLOOKUP(Logs_Reseau_Part56[[#This Row],[Cell_ID]],Registre_Maintenance_Part[[ID_Antenne]:[Colonne2]],6,FALSE),"")</f>
        <v>ZTE</v>
      </c>
    </row>
    <row r="28" spans="1:11" x14ac:dyDescent="0.3">
      <c r="A28" s="1">
        <v>45209.32708333333</v>
      </c>
      <c r="B28" s="2">
        <v>45209.32708333333</v>
      </c>
      <c r="C28" t="s">
        <v>859</v>
      </c>
      <c r="D28">
        <v>107</v>
      </c>
      <c r="E28">
        <f>Logs_Reseau_Part56[[#This Row],[Duree_Panne_Min]]/60</f>
        <v>1.7833333333333334</v>
      </c>
      <c r="F28" t="s">
        <v>737</v>
      </c>
      <c r="G28" t="str">
        <f>IFERROR(VLOOKUP(Logs_Reseau_Part56[[#This Row],[Cell_ID]],Registre_Maintenance_Part[[ID_Antenne]:[Colonne2]],2,FALSE),"")</f>
        <v>Equateur</v>
      </c>
      <c r="H28">
        <f>IFERROR(VLOOKUP(Logs_Reseau_Part56[[#This Row],[Cell_ID]],Registre_Maintenance_Part[[ID_Antenne]:[Colonne2]],3,FALSE),"")</f>
        <v>-5.0402180000000003</v>
      </c>
      <c r="I28">
        <f>IFERROR(VLOOKUP(Logs_Reseau_Part56[[#This Row],[Cell_ID]],Registre_Maintenance_Part[[ID_Antenne]:[Colonne2]],4,FALSE),"")</f>
        <v>13.892471</v>
      </c>
      <c r="J28" t="str">
        <f>IFERROR(VLOOKUP(Logs_Reseau_Part56[[#This Row],[Cell_ID]],Registre_Maintenance_Part[[ID_Antenne]:[Colonne2]],5,FALSE),"")</f>
        <v>3G</v>
      </c>
      <c r="K28" t="str">
        <f>IFERROR(VLOOKUP(Logs_Reseau_Part56[[#This Row],[Cell_ID]],Registre_Maintenance_Part[[ID_Antenne]:[Colonne2]],6,FALSE),"")</f>
        <v>ZTE</v>
      </c>
    </row>
    <row r="29" spans="1:11" x14ac:dyDescent="0.3">
      <c r="A29" s="1">
        <v>45209.988888888889</v>
      </c>
      <c r="B29" s="2">
        <v>45209.988888888889</v>
      </c>
      <c r="C29" t="s">
        <v>1202</v>
      </c>
      <c r="D29">
        <v>51</v>
      </c>
      <c r="E29">
        <f>Logs_Reseau_Part56[[#This Row],[Duree_Panne_Min]]/60</f>
        <v>0.85</v>
      </c>
      <c r="F29" t="s">
        <v>737</v>
      </c>
      <c r="G29" t="str">
        <f>IFERROR(VLOOKUP(Logs_Reseau_Part56[[#This Row],[Cell_ID]],Registre_Maintenance_Part[[ID_Antenne]:[Colonne2]],2,FALSE),"")</f>
        <v>Equateur</v>
      </c>
      <c r="H29">
        <f>IFERROR(VLOOKUP(Logs_Reseau_Part56[[#This Row],[Cell_ID]],Registre_Maintenance_Part[[ID_Antenne]:[Colonne2]],3,FALSE),"")</f>
        <v>-6.1490739999999997</v>
      </c>
      <c r="I29">
        <f>IFERROR(VLOOKUP(Logs_Reseau_Part56[[#This Row],[Cell_ID]],Registre_Maintenance_Part[[ID_Antenne]:[Colonne2]],4,FALSE),"")</f>
        <v>23.304411000000002</v>
      </c>
      <c r="J29" t="str">
        <f>IFERROR(VLOOKUP(Logs_Reseau_Part56[[#This Row],[Cell_ID]],Registre_Maintenance_Part[[ID_Antenne]:[Colonne2]],5,FALSE),"")</f>
        <v>5G</v>
      </c>
      <c r="K29" t="str">
        <f>IFERROR(VLOOKUP(Logs_Reseau_Part56[[#This Row],[Cell_ID]],Registre_Maintenance_Part[[ID_Antenne]:[Colonne2]],6,FALSE),"")</f>
        <v>ZTE</v>
      </c>
    </row>
    <row r="30" spans="1:11" x14ac:dyDescent="0.3">
      <c r="A30" s="1">
        <v>45210.703472222223</v>
      </c>
      <c r="B30" s="2">
        <v>45210.703472222223</v>
      </c>
      <c r="C30" t="s">
        <v>1122</v>
      </c>
      <c r="D30">
        <v>20</v>
      </c>
      <c r="E30">
        <f>Logs_Reseau_Part56[[#This Row],[Duree_Panne_Min]]/60</f>
        <v>0.33333333333333331</v>
      </c>
      <c r="F30" t="s">
        <v>734</v>
      </c>
      <c r="G30" t="str">
        <f>IFERROR(VLOOKUP(Logs_Reseau_Part56[[#This Row],[Cell_ID]],Registre_Maintenance_Part[[ID_Antenne]:[Colonne2]],2,FALSE),"")</f>
        <v>Equateur</v>
      </c>
      <c r="H30">
        <f>IFERROR(VLOOKUP(Logs_Reseau_Part56[[#This Row],[Cell_ID]],Registre_Maintenance_Part[[ID_Antenne]:[Colonne2]],3,FALSE),"")</f>
        <v>-0.79459900000000006</v>
      </c>
      <c r="I30">
        <f>IFERROR(VLOOKUP(Logs_Reseau_Part56[[#This Row],[Cell_ID]],Registre_Maintenance_Part[[ID_Antenne]:[Colonne2]],4,FALSE),"")</f>
        <v>26.775570999999999</v>
      </c>
      <c r="J30" t="str">
        <f>IFERROR(VLOOKUP(Logs_Reseau_Part56[[#This Row],[Cell_ID]],Registre_Maintenance_Part[[ID_Antenne]:[Colonne2]],5,FALSE),"")</f>
        <v>5G</v>
      </c>
      <c r="K30" t="str">
        <f>IFERROR(VLOOKUP(Logs_Reseau_Part56[[#This Row],[Cell_ID]],Registre_Maintenance_Part[[ID_Antenne]:[Colonne2]],6,FALSE),"")</f>
        <v>Huawei</v>
      </c>
    </row>
    <row r="31" spans="1:11" x14ac:dyDescent="0.3">
      <c r="A31" s="1">
        <v>45211.587500000001</v>
      </c>
      <c r="B31" s="2">
        <v>45211.587500000001</v>
      </c>
      <c r="C31" t="s">
        <v>1402</v>
      </c>
      <c r="D31">
        <v>27</v>
      </c>
      <c r="E31">
        <f>Logs_Reseau_Part56[[#This Row],[Duree_Panne_Min]]/60</f>
        <v>0.45</v>
      </c>
      <c r="F31" t="s">
        <v>739</v>
      </c>
      <c r="G31" t="str">
        <f>IFERROR(VLOOKUP(Logs_Reseau_Part56[[#This Row],[Cell_ID]],Registre_Maintenance_Part[[ID_Antenne]:[Colonne2]],2,FALSE),"")</f>
        <v>Equateur</v>
      </c>
      <c r="H31">
        <f>IFERROR(VLOOKUP(Logs_Reseau_Part56[[#This Row],[Cell_ID]],Registre_Maintenance_Part[[ID_Antenne]:[Colonne2]],3,FALSE),"")</f>
        <v>-7.8215969999999997</v>
      </c>
      <c r="I31">
        <f>IFERROR(VLOOKUP(Logs_Reseau_Part56[[#This Row],[Cell_ID]],Registre_Maintenance_Part[[ID_Antenne]:[Colonne2]],4,FALSE),"")</f>
        <v>26.797349000000001</v>
      </c>
      <c r="J31" t="str">
        <f>IFERROR(VLOOKUP(Logs_Reseau_Part56[[#This Row],[Cell_ID]],Registre_Maintenance_Part[[ID_Antenne]:[Colonne2]],5,FALSE),"")</f>
        <v>3G</v>
      </c>
      <c r="K31" t="str">
        <f>IFERROR(VLOOKUP(Logs_Reseau_Part56[[#This Row],[Cell_ID]],Registre_Maintenance_Part[[ID_Antenne]:[Colonne2]],6,FALSE),"")</f>
        <v>Ericsson</v>
      </c>
    </row>
    <row r="32" spans="1:11" x14ac:dyDescent="0.3">
      <c r="A32" s="1">
        <v>45213.763194444437</v>
      </c>
      <c r="B32" s="2">
        <v>45213.763194444437</v>
      </c>
      <c r="C32" t="s">
        <v>1122</v>
      </c>
      <c r="D32">
        <v>119</v>
      </c>
      <c r="E32">
        <f>Logs_Reseau_Part56[[#This Row],[Duree_Panne_Min]]/60</f>
        <v>1.9833333333333334</v>
      </c>
      <c r="F32" t="s">
        <v>739</v>
      </c>
      <c r="G32" t="str">
        <f>IFERROR(VLOOKUP(Logs_Reseau_Part56[[#This Row],[Cell_ID]],Registre_Maintenance_Part[[ID_Antenne]:[Colonne2]],2,FALSE),"")</f>
        <v>Equateur</v>
      </c>
      <c r="H32">
        <f>IFERROR(VLOOKUP(Logs_Reseau_Part56[[#This Row],[Cell_ID]],Registre_Maintenance_Part[[ID_Antenne]:[Colonne2]],3,FALSE),"")</f>
        <v>-0.79459900000000006</v>
      </c>
      <c r="I32">
        <f>IFERROR(VLOOKUP(Logs_Reseau_Part56[[#This Row],[Cell_ID]],Registre_Maintenance_Part[[ID_Antenne]:[Colonne2]],4,FALSE),"")</f>
        <v>26.775570999999999</v>
      </c>
      <c r="J32" t="str">
        <f>IFERROR(VLOOKUP(Logs_Reseau_Part56[[#This Row],[Cell_ID]],Registre_Maintenance_Part[[ID_Antenne]:[Colonne2]],5,FALSE),"")</f>
        <v>5G</v>
      </c>
      <c r="K32" t="str">
        <f>IFERROR(VLOOKUP(Logs_Reseau_Part56[[#This Row],[Cell_ID]],Registre_Maintenance_Part[[ID_Antenne]:[Colonne2]],6,FALSE),"")</f>
        <v>Huawei</v>
      </c>
    </row>
    <row r="33" spans="1:11" x14ac:dyDescent="0.3">
      <c r="A33" s="1">
        <v>45214.290277777778</v>
      </c>
      <c r="B33" s="2">
        <v>45214.290277777778</v>
      </c>
      <c r="C33" t="s">
        <v>1192</v>
      </c>
      <c r="D33">
        <v>27</v>
      </c>
      <c r="E33">
        <f>Logs_Reseau_Part56[[#This Row],[Duree_Panne_Min]]/60</f>
        <v>0.45</v>
      </c>
      <c r="F33" t="s">
        <v>737</v>
      </c>
      <c r="G33" t="str">
        <f>IFERROR(VLOOKUP(Logs_Reseau_Part56[[#This Row],[Cell_ID]],Registre_Maintenance_Part[[ID_Antenne]:[Colonne2]],2,FALSE),"")</f>
        <v>Equateur</v>
      </c>
      <c r="H33">
        <f>IFERROR(VLOOKUP(Logs_Reseau_Part56[[#This Row],[Cell_ID]],Registre_Maintenance_Part[[ID_Antenne]:[Colonne2]],3,FALSE),"")</f>
        <v>-12.839263000000001</v>
      </c>
      <c r="I33">
        <f>IFERROR(VLOOKUP(Logs_Reseau_Part56[[#This Row],[Cell_ID]],Registre_Maintenance_Part[[ID_Antenne]:[Colonne2]],4,FALSE),"")</f>
        <v>12.355677</v>
      </c>
      <c r="J33" t="str">
        <f>IFERROR(VLOOKUP(Logs_Reseau_Part56[[#This Row],[Cell_ID]],Registre_Maintenance_Part[[ID_Antenne]:[Colonne2]],5,FALSE),"")</f>
        <v>3G</v>
      </c>
      <c r="K33" t="str">
        <f>IFERROR(VLOOKUP(Logs_Reseau_Part56[[#This Row],[Cell_ID]],Registre_Maintenance_Part[[ID_Antenne]:[Colonne2]],6,FALSE),"")</f>
        <v>Huawei</v>
      </c>
    </row>
    <row r="34" spans="1:11" x14ac:dyDescent="0.3">
      <c r="A34" s="1">
        <v>45214.634722222218</v>
      </c>
      <c r="B34" s="2">
        <v>45214.634722222218</v>
      </c>
      <c r="C34" t="s">
        <v>1202</v>
      </c>
      <c r="D34">
        <v>112</v>
      </c>
      <c r="E34">
        <f>Logs_Reseau_Part56[[#This Row],[Duree_Panne_Min]]/60</f>
        <v>1.8666666666666667</v>
      </c>
      <c r="F34" t="s">
        <v>737</v>
      </c>
      <c r="G34" t="str">
        <f>IFERROR(VLOOKUP(Logs_Reseau_Part56[[#This Row],[Cell_ID]],Registre_Maintenance_Part[[ID_Antenne]:[Colonne2]],2,FALSE),"")</f>
        <v>Equateur</v>
      </c>
      <c r="H34">
        <f>IFERROR(VLOOKUP(Logs_Reseau_Part56[[#This Row],[Cell_ID]],Registre_Maintenance_Part[[ID_Antenne]:[Colonne2]],3,FALSE),"")</f>
        <v>-6.1490739999999997</v>
      </c>
      <c r="I34">
        <f>IFERROR(VLOOKUP(Logs_Reseau_Part56[[#This Row],[Cell_ID]],Registre_Maintenance_Part[[ID_Antenne]:[Colonne2]],4,FALSE),"")</f>
        <v>23.304411000000002</v>
      </c>
      <c r="J34" t="str">
        <f>IFERROR(VLOOKUP(Logs_Reseau_Part56[[#This Row],[Cell_ID]],Registre_Maintenance_Part[[ID_Antenne]:[Colonne2]],5,FALSE),"")</f>
        <v>5G</v>
      </c>
      <c r="K34" t="str">
        <f>IFERROR(VLOOKUP(Logs_Reseau_Part56[[#This Row],[Cell_ID]],Registre_Maintenance_Part[[ID_Antenne]:[Colonne2]],6,FALSE),"")</f>
        <v>ZTE</v>
      </c>
    </row>
    <row r="35" spans="1:11" x14ac:dyDescent="0.3">
      <c r="A35" s="1">
        <v>45216.274305555547</v>
      </c>
      <c r="B35" s="2">
        <v>45216.274305555547</v>
      </c>
      <c r="C35" t="s">
        <v>1126</v>
      </c>
      <c r="D35">
        <v>30</v>
      </c>
      <c r="E35">
        <f>Logs_Reseau_Part56[[#This Row],[Duree_Panne_Min]]/60</f>
        <v>0.5</v>
      </c>
      <c r="F35" t="s">
        <v>737</v>
      </c>
      <c r="G35" t="str">
        <f>IFERROR(VLOOKUP(Logs_Reseau_Part56[[#This Row],[Cell_ID]],Registre_Maintenance_Part[[ID_Antenne]:[Colonne2]],2,FALSE),"")</f>
        <v>Equateur</v>
      </c>
      <c r="H35">
        <f>IFERROR(VLOOKUP(Logs_Reseau_Part56[[#This Row],[Cell_ID]],Registre_Maintenance_Part[[ID_Antenne]:[Colonne2]],3,FALSE),"")</f>
        <v>-5.7200150000000001</v>
      </c>
      <c r="I35">
        <f>IFERROR(VLOOKUP(Logs_Reseau_Part56[[#This Row],[Cell_ID]],Registre_Maintenance_Part[[ID_Antenne]:[Colonne2]],4,FALSE),"")</f>
        <v>25.022109</v>
      </c>
      <c r="J35" t="str">
        <f>IFERROR(VLOOKUP(Logs_Reseau_Part56[[#This Row],[Cell_ID]],Registre_Maintenance_Part[[ID_Antenne]:[Colonne2]],5,FALSE),"")</f>
        <v>5G</v>
      </c>
      <c r="K35" t="str">
        <f>IFERROR(VLOOKUP(Logs_Reseau_Part56[[#This Row],[Cell_ID]],Registre_Maintenance_Part[[ID_Antenne]:[Colonne2]],6,FALSE),"")</f>
        <v>ZTE</v>
      </c>
    </row>
    <row r="36" spans="1:11" x14ac:dyDescent="0.3">
      <c r="A36" s="1">
        <v>45220.206944444442</v>
      </c>
      <c r="B36" s="2">
        <v>45220.206944444442</v>
      </c>
      <c r="C36" t="s">
        <v>931</v>
      </c>
      <c r="D36">
        <v>25</v>
      </c>
      <c r="E36">
        <f>Logs_Reseau_Part56[[#This Row],[Duree_Panne_Min]]/60</f>
        <v>0.41666666666666669</v>
      </c>
      <c r="F36" t="s">
        <v>734</v>
      </c>
      <c r="G36" t="str">
        <f>IFERROR(VLOOKUP(Logs_Reseau_Part56[[#This Row],[Cell_ID]],Registre_Maintenance_Part[[ID_Antenne]:[Colonne2]],2,FALSE),"")</f>
        <v>Equateur</v>
      </c>
      <c r="H36">
        <f>IFERROR(VLOOKUP(Logs_Reseau_Part56[[#This Row],[Cell_ID]],Registre_Maintenance_Part[[ID_Antenne]:[Colonne2]],3,FALSE),"")</f>
        <v>3.3289240000000002</v>
      </c>
      <c r="I36">
        <f>IFERROR(VLOOKUP(Logs_Reseau_Part56[[#This Row],[Cell_ID]],Registre_Maintenance_Part[[ID_Antenne]:[Colonne2]],4,FALSE),"")</f>
        <v>24.412261000000001</v>
      </c>
      <c r="J36" t="str">
        <f>IFERROR(VLOOKUP(Logs_Reseau_Part56[[#This Row],[Cell_ID]],Registre_Maintenance_Part[[ID_Antenne]:[Colonne2]],5,FALSE),"")</f>
        <v>5G</v>
      </c>
      <c r="K36" t="str">
        <f>IFERROR(VLOOKUP(Logs_Reseau_Part56[[#This Row],[Cell_ID]],Registre_Maintenance_Part[[ID_Antenne]:[Colonne2]],6,FALSE),"")</f>
        <v>Nokia</v>
      </c>
    </row>
    <row r="37" spans="1:11" x14ac:dyDescent="0.3">
      <c r="A37" s="1">
        <v>45222.584722222222</v>
      </c>
      <c r="B37" s="2">
        <v>45222.584722222222</v>
      </c>
      <c r="C37" t="s">
        <v>1082</v>
      </c>
      <c r="D37">
        <v>15</v>
      </c>
      <c r="E37">
        <f>Logs_Reseau_Part56[[#This Row],[Duree_Panne_Min]]/60</f>
        <v>0.25</v>
      </c>
      <c r="F37" t="s">
        <v>739</v>
      </c>
      <c r="G37" t="str">
        <f>IFERROR(VLOOKUP(Logs_Reseau_Part56[[#This Row],[Cell_ID]],Registre_Maintenance_Part[[ID_Antenne]:[Colonne2]],2,FALSE),"")</f>
        <v>Equateur</v>
      </c>
      <c r="H37">
        <f>IFERROR(VLOOKUP(Logs_Reseau_Part56[[#This Row],[Cell_ID]],Registre_Maintenance_Part[[ID_Antenne]:[Colonne2]],3,FALSE),"")</f>
        <v>-9.1215879999999991</v>
      </c>
      <c r="I37">
        <f>IFERROR(VLOOKUP(Logs_Reseau_Part56[[#This Row],[Cell_ID]],Registre_Maintenance_Part[[ID_Antenne]:[Colonne2]],4,FALSE),"")</f>
        <v>16.457916999999998</v>
      </c>
      <c r="J37" t="str">
        <f>IFERROR(VLOOKUP(Logs_Reseau_Part56[[#This Row],[Cell_ID]],Registre_Maintenance_Part[[ID_Antenne]:[Colonne2]],5,FALSE),"")</f>
        <v>4G</v>
      </c>
      <c r="K37" t="str">
        <f>IFERROR(VLOOKUP(Logs_Reseau_Part56[[#This Row],[Cell_ID]],Registre_Maintenance_Part[[ID_Antenne]:[Colonne2]],6,FALSE),"")</f>
        <v>Nokia</v>
      </c>
    </row>
    <row r="38" spans="1:11" x14ac:dyDescent="0.3">
      <c r="A38" s="1">
        <v>45224.775000000001</v>
      </c>
      <c r="B38" s="2">
        <v>45224.775000000001</v>
      </c>
      <c r="C38" t="s">
        <v>1126</v>
      </c>
      <c r="D38">
        <v>107</v>
      </c>
      <c r="E38">
        <f>Logs_Reseau_Part56[[#This Row],[Duree_Panne_Min]]/60</f>
        <v>1.7833333333333334</v>
      </c>
      <c r="F38" t="s">
        <v>739</v>
      </c>
      <c r="G38" t="str">
        <f>IFERROR(VLOOKUP(Logs_Reseau_Part56[[#This Row],[Cell_ID]],Registre_Maintenance_Part[[ID_Antenne]:[Colonne2]],2,FALSE),"")</f>
        <v>Equateur</v>
      </c>
      <c r="H38">
        <f>IFERROR(VLOOKUP(Logs_Reseau_Part56[[#This Row],[Cell_ID]],Registre_Maintenance_Part[[ID_Antenne]:[Colonne2]],3,FALSE),"")</f>
        <v>-5.7200150000000001</v>
      </c>
      <c r="I38">
        <f>IFERROR(VLOOKUP(Logs_Reseau_Part56[[#This Row],[Cell_ID]],Registre_Maintenance_Part[[ID_Antenne]:[Colonne2]],4,FALSE),"")</f>
        <v>25.022109</v>
      </c>
      <c r="J38" t="str">
        <f>IFERROR(VLOOKUP(Logs_Reseau_Part56[[#This Row],[Cell_ID]],Registre_Maintenance_Part[[ID_Antenne]:[Colonne2]],5,FALSE),"")</f>
        <v>5G</v>
      </c>
      <c r="K38" t="str">
        <f>IFERROR(VLOOKUP(Logs_Reseau_Part56[[#This Row],[Cell_ID]],Registre_Maintenance_Part[[ID_Antenne]:[Colonne2]],6,FALSE),"")</f>
        <v>ZTE</v>
      </c>
    </row>
    <row r="39" spans="1:11" x14ac:dyDescent="0.3">
      <c r="A39" s="1">
        <v>45226.313194444447</v>
      </c>
      <c r="B39" s="2">
        <v>45226.313194444447</v>
      </c>
      <c r="C39" t="s">
        <v>1192</v>
      </c>
      <c r="D39">
        <v>66</v>
      </c>
      <c r="E39">
        <f>Logs_Reseau_Part56[[#This Row],[Duree_Panne_Min]]/60</f>
        <v>1.1000000000000001</v>
      </c>
      <c r="F39" t="s">
        <v>739</v>
      </c>
      <c r="G39" t="str">
        <f>IFERROR(VLOOKUP(Logs_Reseau_Part56[[#This Row],[Cell_ID]],Registre_Maintenance_Part[[ID_Antenne]:[Colonne2]],2,FALSE),"")</f>
        <v>Equateur</v>
      </c>
      <c r="H39">
        <f>IFERROR(VLOOKUP(Logs_Reseau_Part56[[#This Row],[Cell_ID]],Registre_Maintenance_Part[[ID_Antenne]:[Colonne2]],3,FALSE),"")</f>
        <v>-12.839263000000001</v>
      </c>
      <c r="I39">
        <f>IFERROR(VLOOKUP(Logs_Reseau_Part56[[#This Row],[Cell_ID]],Registre_Maintenance_Part[[ID_Antenne]:[Colonne2]],4,FALSE),"")</f>
        <v>12.355677</v>
      </c>
      <c r="J39" t="str">
        <f>IFERROR(VLOOKUP(Logs_Reseau_Part56[[#This Row],[Cell_ID]],Registre_Maintenance_Part[[ID_Antenne]:[Colonne2]],5,FALSE),"")</f>
        <v>3G</v>
      </c>
      <c r="K39" t="str">
        <f>IFERROR(VLOOKUP(Logs_Reseau_Part56[[#This Row],[Cell_ID]],Registre_Maintenance_Part[[ID_Antenne]:[Colonne2]],6,FALSE),"")</f>
        <v>Huawei</v>
      </c>
    </row>
    <row r="40" spans="1:11" x14ac:dyDescent="0.3">
      <c r="A40" s="1">
        <v>45226.790277777778</v>
      </c>
      <c r="B40" s="2">
        <v>45226.790277777778</v>
      </c>
      <c r="C40" t="s">
        <v>934</v>
      </c>
      <c r="D40">
        <v>68</v>
      </c>
      <c r="E40">
        <f>Logs_Reseau_Part56[[#This Row],[Duree_Panne_Min]]/60</f>
        <v>1.1333333333333333</v>
      </c>
      <c r="F40" t="s">
        <v>739</v>
      </c>
      <c r="G40" t="str">
        <f>IFERROR(VLOOKUP(Logs_Reseau_Part56[[#This Row],[Cell_ID]],Registre_Maintenance_Part[[ID_Antenne]:[Colonne2]],2,FALSE),"")</f>
        <v>Equateur</v>
      </c>
      <c r="H40">
        <f>IFERROR(VLOOKUP(Logs_Reseau_Part56[[#This Row],[Cell_ID]],Registre_Maintenance_Part[[ID_Antenne]:[Colonne2]],3,FALSE),"")</f>
        <v>-0.37665700000000002</v>
      </c>
      <c r="I40">
        <f>IFERROR(VLOOKUP(Logs_Reseau_Part56[[#This Row],[Cell_ID]],Registre_Maintenance_Part[[ID_Antenne]:[Colonne2]],4,FALSE),"")</f>
        <v>25.154807999999999</v>
      </c>
      <c r="J40" t="str">
        <f>IFERROR(VLOOKUP(Logs_Reseau_Part56[[#This Row],[Cell_ID]],Registre_Maintenance_Part[[ID_Antenne]:[Colonne2]],5,FALSE),"")</f>
        <v>3G</v>
      </c>
      <c r="K40" t="str">
        <f>IFERROR(VLOOKUP(Logs_Reseau_Part56[[#This Row],[Cell_ID]],Registre_Maintenance_Part[[ID_Antenne]:[Colonne2]],6,FALSE),"")</f>
        <v>Nokia</v>
      </c>
    </row>
    <row r="41" spans="1:11" x14ac:dyDescent="0.3">
      <c r="A41" s="1">
        <v>45230.50277777778</v>
      </c>
      <c r="B41" s="2">
        <v>45230.50277777778</v>
      </c>
      <c r="C41" t="s">
        <v>1126</v>
      </c>
      <c r="D41">
        <v>99</v>
      </c>
      <c r="E41">
        <f>Logs_Reseau_Part56[[#This Row],[Duree_Panne_Min]]/60</f>
        <v>1.65</v>
      </c>
      <c r="F41" t="s">
        <v>734</v>
      </c>
      <c r="G41" t="str">
        <f>IFERROR(VLOOKUP(Logs_Reseau_Part56[[#This Row],[Cell_ID]],Registre_Maintenance_Part[[ID_Antenne]:[Colonne2]],2,FALSE),"")</f>
        <v>Equateur</v>
      </c>
      <c r="H41">
        <f>IFERROR(VLOOKUP(Logs_Reseau_Part56[[#This Row],[Cell_ID]],Registre_Maintenance_Part[[ID_Antenne]:[Colonne2]],3,FALSE),"")</f>
        <v>-5.7200150000000001</v>
      </c>
      <c r="I41">
        <f>IFERROR(VLOOKUP(Logs_Reseau_Part56[[#This Row],[Cell_ID]],Registre_Maintenance_Part[[ID_Antenne]:[Colonne2]],4,FALSE),"")</f>
        <v>25.022109</v>
      </c>
      <c r="J41" t="str">
        <f>IFERROR(VLOOKUP(Logs_Reseau_Part56[[#This Row],[Cell_ID]],Registre_Maintenance_Part[[ID_Antenne]:[Colonne2]],5,FALSE),"")</f>
        <v>5G</v>
      </c>
      <c r="K41" t="str">
        <f>IFERROR(VLOOKUP(Logs_Reseau_Part56[[#This Row],[Cell_ID]],Registre_Maintenance_Part[[ID_Antenne]:[Colonne2]],6,FALSE),"")</f>
        <v>ZTE</v>
      </c>
    </row>
    <row r="42" spans="1:11" x14ac:dyDescent="0.3">
      <c r="A42" s="1">
        <v>45230.839583333327</v>
      </c>
      <c r="B42" s="2">
        <v>45230.839583333327</v>
      </c>
      <c r="C42" t="s">
        <v>1122</v>
      </c>
      <c r="D42">
        <v>83</v>
      </c>
      <c r="E42">
        <f>Logs_Reseau_Part56[[#This Row],[Duree_Panne_Min]]/60</f>
        <v>1.3833333333333333</v>
      </c>
      <c r="F42" t="s">
        <v>739</v>
      </c>
      <c r="G42" t="str">
        <f>IFERROR(VLOOKUP(Logs_Reseau_Part56[[#This Row],[Cell_ID]],Registre_Maintenance_Part[[ID_Antenne]:[Colonne2]],2,FALSE),"")</f>
        <v>Equateur</v>
      </c>
      <c r="H42">
        <f>IFERROR(VLOOKUP(Logs_Reseau_Part56[[#This Row],[Cell_ID]],Registre_Maintenance_Part[[ID_Antenne]:[Colonne2]],3,FALSE),"")</f>
        <v>-0.79459900000000006</v>
      </c>
      <c r="I42">
        <f>IFERROR(VLOOKUP(Logs_Reseau_Part56[[#This Row],[Cell_ID]],Registre_Maintenance_Part[[ID_Antenne]:[Colonne2]],4,FALSE),"")</f>
        <v>26.775570999999999</v>
      </c>
      <c r="J42" t="str">
        <f>IFERROR(VLOOKUP(Logs_Reseau_Part56[[#This Row],[Cell_ID]],Registre_Maintenance_Part[[ID_Antenne]:[Colonne2]],5,FALSE),"")</f>
        <v>5G</v>
      </c>
      <c r="K42" t="str">
        <f>IFERROR(VLOOKUP(Logs_Reseau_Part56[[#This Row],[Cell_ID]],Registre_Maintenance_Part[[ID_Antenne]:[Colonne2]],6,FALSE),"")</f>
        <v>Huawei</v>
      </c>
    </row>
    <row r="43" spans="1:11" x14ac:dyDescent="0.3">
      <c r="A43" s="1">
        <v>45200.445138888892</v>
      </c>
      <c r="B43" s="2">
        <v>45200.445138888892</v>
      </c>
      <c r="C43" t="s">
        <v>1229</v>
      </c>
      <c r="D43">
        <v>112</v>
      </c>
      <c r="E43">
        <f>Logs_Reseau_Part56[[#This Row],[Duree_Panne_Min]]/60</f>
        <v>1.8666666666666667</v>
      </c>
      <c r="F43" t="s">
        <v>734</v>
      </c>
      <c r="G43" t="str">
        <f>IFERROR(VLOOKUP(Logs_Reseau_Part56[[#This Row],[Cell_ID]],Registre_Maintenance_Part[[ID_Antenne]:[Colonne2]],2,FALSE),"")</f>
        <v>Haut-Katanga</v>
      </c>
      <c r="H43">
        <f>IFERROR(VLOOKUP(Logs_Reseau_Part56[[#This Row],[Cell_ID]],Registre_Maintenance_Part[[ID_Antenne]:[Colonne2]],3,FALSE),"")</f>
        <v>-10.945031</v>
      </c>
      <c r="I43">
        <f>IFERROR(VLOOKUP(Logs_Reseau_Part56[[#This Row],[Cell_ID]],Registre_Maintenance_Part[[ID_Antenne]:[Colonne2]],4,FALSE),"")</f>
        <v>27.922274000000002</v>
      </c>
      <c r="J43" t="str">
        <f>IFERROR(VLOOKUP(Logs_Reseau_Part56[[#This Row],[Cell_ID]],Registre_Maintenance_Part[[ID_Antenne]:[Colonne2]],5,FALSE),"")</f>
        <v>4G</v>
      </c>
      <c r="K43" t="str">
        <f>IFERROR(VLOOKUP(Logs_Reseau_Part56[[#This Row],[Cell_ID]],Registre_Maintenance_Part[[ID_Antenne]:[Colonne2]],6,FALSE),"")</f>
        <v>Ericsson</v>
      </c>
    </row>
    <row r="44" spans="1:11" x14ac:dyDescent="0.3">
      <c r="A44" s="1">
        <v>45200.506249999999</v>
      </c>
      <c r="B44" s="2">
        <v>45200.506249999999</v>
      </c>
      <c r="C44" t="s">
        <v>1229</v>
      </c>
      <c r="D44">
        <v>99</v>
      </c>
      <c r="E44">
        <f>Logs_Reseau_Part56[[#This Row],[Duree_Panne_Min]]/60</f>
        <v>1.65</v>
      </c>
      <c r="F44" t="s">
        <v>734</v>
      </c>
      <c r="G44" t="str">
        <f>IFERROR(VLOOKUP(Logs_Reseau_Part56[[#This Row],[Cell_ID]],Registre_Maintenance_Part[[ID_Antenne]:[Colonne2]],2,FALSE),"")</f>
        <v>Haut-Katanga</v>
      </c>
      <c r="H44">
        <f>IFERROR(VLOOKUP(Logs_Reseau_Part56[[#This Row],[Cell_ID]],Registre_Maintenance_Part[[ID_Antenne]:[Colonne2]],3,FALSE),"")</f>
        <v>-10.945031</v>
      </c>
      <c r="I44">
        <f>IFERROR(VLOOKUP(Logs_Reseau_Part56[[#This Row],[Cell_ID]],Registre_Maintenance_Part[[ID_Antenne]:[Colonne2]],4,FALSE),"")</f>
        <v>27.922274000000002</v>
      </c>
      <c r="J44" t="str">
        <f>IFERROR(VLOOKUP(Logs_Reseau_Part56[[#This Row],[Cell_ID]],Registre_Maintenance_Part[[ID_Antenne]:[Colonne2]],5,FALSE),"")</f>
        <v>4G</v>
      </c>
      <c r="K44" t="str">
        <f>IFERROR(VLOOKUP(Logs_Reseau_Part56[[#This Row],[Cell_ID]],Registre_Maintenance_Part[[ID_Antenne]:[Colonne2]],6,FALSE),"")</f>
        <v>Ericsson</v>
      </c>
    </row>
    <row r="45" spans="1:11" x14ac:dyDescent="0.3">
      <c r="A45" s="1">
        <v>45201.057638888888</v>
      </c>
      <c r="B45" s="2">
        <v>45201.057638888888</v>
      </c>
      <c r="C45" t="s">
        <v>1027</v>
      </c>
      <c r="D45">
        <v>103</v>
      </c>
      <c r="E45">
        <f>Logs_Reseau_Part56[[#This Row],[Duree_Panne_Min]]/60</f>
        <v>1.7166666666666666</v>
      </c>
      <c r="F45" t="s">
        <v>734</v>
      </c>
      <c r="G45" t="str">
        <f>IFERROR(VLOOKUP(Logs_Reseau_Part56[[#This Row],[Cell_ID]],Registre_Maintenance_Part[[ID_Antenne]:[Colonne2]],2,FALSE),"")</f>
        <v>Haut-Katanga</v>
      </c>
      <c r="H45">
        <f>IFERROR(VLOOKUP(Logs_Reseau_Part56[[#This Row],[Cell_ID]],Registre_Maintenance_Part[[ID_Antenne]:[Colonne2]],3,FALSE),"")</f>
        <v>-11.594525000000001</v>
      </c>
      <c r="I45">
        <f>IFERROR(VLOOKUP(Logs_Reseau_Part56[[#This Row],[Cell_ID]],Registre_Maintenance_Part[[ID_Antenne]:[Colonne2]],4,FALSE),"")</f>
        <v>29.744895</v>
      </c>
      <c r="J45" t="str">
        <f>IFERROR(VLOOKUP(Logs_Reseau_Part56[[#This Row],[Cell_ID]],Registre_Maintenance_Part[[ID_Antenne]:[Colonne2]],5,FALSE),"")</f>
        <v>3G</v>
      </c>
      <c r="K45" t="str">
        <f>IFERROR(VLOOKUP(Logs_Reseau_Part56[[#This Row],[Cell_ID]],Registre_Maintenance_Part[[ID_Antenne]:[Colonne2]],6,FALSE),"")</f>
        <v>ZTE</v>
      </c>
    </row>
    <row r="46" spans="1:11" x14ac:dyDescent="0.3">
      <c r="A46" s="1">
        <v>45201.468055555553</v>
      </c>
      <c r="B46" s="2">
        <v>45201.468055555553</v>
      </c>
      <c r="C46" t="s">
        <v>878</v>
      </c>
      <c r="D46">
        <v>80</v>
      </c>
      <c r="E46">
        <f>Logs_Reseau_Part56[[#This Row],[Duree_Panne_Min]]/60</f>
        <v>1.3333333333333333</v>
      </c>
      <c r="F46" t="s">
        <v>734</v>
      </c>
      <c r="G46" t="str">
        <f>IFERROR(VLOOKUP(Logs_Reseau_Part56[[#This Row],[Cell_ID]],Registre_Maintenance_Part[[ID_Antenne]:[Colonne2]],2,FALSE),"")</f>
        <v>Haut-Katanga</v>
      </c>
      <c r="H46">
        <f>IFERROR(VLOOKUP(Logs_Reseau_Part56[[#This Row],[Cell_ID]],Registre_Maintenance_Part[[ID_Antenne]:[Colonne2]],3,FALSE),"")</f>
        <v>-3.3890790000000002</v>
      </c>
      <c r="I46">
        <f>IFERROR(VLOOKUP(Logs_Reseau_Part56[[#This Row],[Cell_ID]],Registre_Maintenance_Part[[ID_Antenne]:[Colonne2]],4,FALSE),"")</f>
        <v>18.374571</v>
      </c>
      <c r="J46" t="str">
        <f>IFERROR(VLOOKUP(Logs_Reseau_Part56[[#This Row],[Cell_ID]],Registre_Maintenance_Part[[ID_Antenne]:[Colonne2]],5,FALSE),"")</f>
        <v>5G</v>
      </c>
      <c r="K46" t="str">
        <f>IFERROR(VLOOKUP(Logs_Reseau_Part56[[#This Row],[Cell_ID]],Registre_Maintenance_Part[[ID_Antenne]:[Colonne2]],6,FALSE),"")</f>
        <v>ZTE</v>
      </c>
    </row>
    <row r="47" spans="1:11" x14ac:dyDescent="0.3">
      <c r="A47" s="1">
        <v>45201.574305555558</v>
      </c>
      <c r="B47" s="2">
        <v>45201.574305555558</v>
      </c>
      <c r="C47" t="s">
        <v>755</v>
      </c>
      <c r="D47">
        <v>75</v>
      </c>
      <c r="E47">
        <f>Logs_Reseau_Part56[[#This Row],[Duree_Panne_Min]]/60</f>
        <v>1.25</v>
      </c>
      <c r="F47" t="s">
        <v>739</v>
      </c>
      <c r="G47" t="str">
        <f>IFERROR(VLOOKUP(Logs_Reseau_Part56[[#This Row],[Cell_ID]],Registre_Maintenance_Part[[ID_Antenne]:[Colonne2]],2,FALSE),"")</f>
        <v>Haut-Katanga</v>
      </c>
      <c r="H47">
        <f>IFERROR(VLOOKUP(Logs_Reseau_Part56[[#This Row],[Cell_ID]],Registre_Maintenance_Part[[ID_Antenne]:[Colonne2]],3,FALSE),"")</f>
        <v>0.172153</v>
      </c>
      <c r="I47">
        <f>IFERROR(VLOOKUP(Logs_Reseau_Part56[[#This Row],[Cell_ID]],Registre_Maintenance_Part[[ID_Antenne]:[Colonne2]],4,FALSE),"")</f>
        <v>21.091376</v>
      </c>
      <c r="J47" t="str">
        <f>IFERROR(VLOOKUP(Logs_Reseau_Part56[[#This Row],[Cell_ID]],Registre_Maintenance_Part[[ID_Antenne]:[Colonne2]],5,FALSE),"")</f>
        <v>3G</v>
      </c>
      <c r="K47" t="str">
        <f>IFERROR(VLOOKUP(Logs_Reseau_Part56[[#This Row],[Cell_ID]],Registre_Maintenance_Part[[ID_Antenne]:[Colonne2]],6,FALSE),"")</f>
        <v>Ericsson</v>
      </c>
    </row>
    <row r="48" spans="1:11" x14ac:dyDescent="0.3">
      <c r="A48" s="1">
        <v>45203.603472222218</v>
      </c>
      <c r="B48" s="2">
        <v>45203.603472222218</v>
      </c>
      <c r="C48" t="s">
        <v>1385</v>
      </c>
      <c r="D48">
        <v>106</v>
      </c>
      <c r="E48">
        <f>Logs_Reseau_Part56[[#This Row],[Duree_Panne_Min]]/60</f>
        <v>1.7666666666666666</v>
      </c>
      <c r="F48" t="s">
        <v>737</v>
      </c>
      <c r="G48" t="str">
        <f>IFERROR(VLOOKUP(Logs_Reseau_Part56[[#This Row],[Cell_ID]],Registre_Maintenance_Part[[ID_Antenne]:[Colonne2]],2,FALSE),"")</f>
        <v>Haut-Katanga</v>
      </c>
      <c r="H48">
        <f>IFERROR(VLOOKUP(Logs_Reseau_Part56[[#This Row],[Cell_ID]],Registre_Maintenance_Part[[ID_Antenne]:[Colonne2]],3,FALSE),"")</f>
        <v>-5.1507670000000001</v>
      </c>
      <c r="I48">
        <f>IFERROR(VLOOKUP(Logs_Reseau_Part56[[#This Row],[Cell_ID]],Registre_Maintenance_Part[[ID_Antenne]:[Colonne2]],4,FALSE),"")</f>
        <v>28.075324999999999</v>
      </c>
      <c r="J48" t="str">
        <f>IFERROR(VLOOKUP(Logs_Reseau_Part56[[#This Row],[Cell_ID]],Registre_Maintenance_Part[[ID_Antenne]:[Colonne2]],5,FALSE),"")</f>
        <v>5G</v>
      </c>
      <c r="K48" t="str">
        <f>IFERROR(VLOOKUP(Logs_Reseau_Part56[[#This Row],[Cell_ID]],Registre_Maintenance_Part[[ID_Antenne]:[Colonne2]],6,FALSE),"")</f>
        <v>Huawei</v>
      </c>
    </row>
    <row r="49" spans="1:11" x14ac:dyDescent="0.3">
      <c r="A49" s="1">
        <v>45203.652083333327</v>
      </c>
      <c r="B49" s="2">
        <v>45203.652083333327</v>
      </c>
      <c r="C49" t="s">
        <v>985</v>
      </c>
      <c r="D49">
        <v>65</v>
      </c>
      <c r="E49">
        <f>Logs_Reseau_Part56[[#This Row],[Duree_Panne_Min]]/60</f>
        <v>1.0833333333333333</v>
      </c>
      <c r="F49" t="s">
        <v>739</v>
      </c>
      <c r="G49" t="str">
        <f>IFERROR(VLOOKUP(Logs_Reseau_Part56[[#This Row],[Cell_ID]],Registre_Maintenance_Part[[ID_Antenne]:[Colonne2]],2,FALSE),"")</f>
        <v>Haut-Katanga</v>
      </c>
      <c r="H49">
        <f>IFERROR(VLOOKUP(Logs_Reseau_Part56[[#This Row],[Cell_ID]],Registre_Maintenance_Part[[ID_Antenne]:[Colonne2]],3,FALSE),"")</f>
        <v>2.016505</v>
      </c>
      <c r="I49">
        <f>IFERROR(VLOOKUP(Logs_Reseau_Part56[[#This Row],[Cell_ID]],Registre_Maintenance_Part[[ID_Antenne]:[Colonne2]],4,FALSE),"")</f>
        <v>14.294164</v>
      </c>
      <c r="J49" t="str">
        <f>IFERROR(VLOOKUP(Logs_Reseau_Part56[[#This Row],[Cell_ID]],Registre_Maintenance_Part[[ID_Antenne]:[Colonne2]],5,FALSE),"")</f>
        <v>5G</v>
      </c>
      <c r="K49" t="str">
        <f>IFERROR(VLOOKUP(Logs_Reseau_Part56[[#This Row],[Cell_ID]],Registre_Maintenance_Part[[ID_Antenne]:[Colonne2]],6,FALSE),"")</f>
        <v>Huawei</v>
      </c>
    </row>
    <row r="50" spans="1:11" x14ac:dyDescent="0.3">
      <c r="A50" s="1">
        <v>45205.729166666657</v>
      </c>
      <c r="B50" s="2">
        <v>45205.729166666657</v>
      </c>
      <c r="C50" t="s">
        <v>1171</v>
      </c>
      <c r="D50">
        <v>106</v>
      </c>
      <c r="E50">
        <f>Logs_Reseau_Part56[[#This Row],[Duree_Panne_Min]]/60</f>
        <v>1.7666666666666666</v>
      </c>
      <c r="F50" t="s">
        <v>739</v>
      </c>
      <c r="G50" t="str">
        <f>IFERROR(VLOOKUP(Logs_Reseau_Part56[[#This Row],[Cell_ID]],Registre_Maintenance_Part[[ID_Antenne]:[Colonne2]],2,FALSE),"")</f>
        <v>Haut-Katanga</v>
      </c>
      <c r="H50">
        <f>IFERROR(VLOOKUP(Logs_Reseau_Part56[[#This Row],[Cell_ID]],Registre_Maintenance_Part[[ID_Antenne]:[Colonne2]],3,FALSE),"")</f>
        <v>-4.4958720000000003</v>
      </c>
      <c r="I50">
        <f>IFERROR(VLOOKUP(Logs_Reseau_Part56[[#This Row],[Cell_ID]],Registre_Maintenance_Part[[ID_Antenne]:[Colonne2]],4,FALSE),"")</f>
        <v>18.514112000000001</v>
      </c>
      <c r="J50" t="str">
        <f>IFERROR(VLOOKUP(Logs_Reseau_Part56[[#This Row],[Cell_ID]],Registre_Maintenance_Part[[ID_Antenne]:[Colonne2]],5,FALSE),"")</f>
        <v>4G</v>
      </c>
      <c r="K50" t="str">
        <f>IFERROR(VLOOKUP(Logs_Reseau_Part56[[#This Row],[Cell_ID]],Registre_Maintenance_Part[[ID_Antenne]:[Colonne2]],6,FALSE),"")</f>
        <v>Nokia</v>
      </c>
    </row>
    <row r="51" spans="1:11" x14ac:dyDescent="0.3">
      <c r="A51" s="1">
        <v>45206.286805555559</v>
      </c>
      <c r="B51" s="2">
        <v>45206.286805555559</v>
      </c>
      <c r="C51" t="s">
        <v>794</v>
      </c>
      <c r="D51">
        <v>96</v>
      </c>
      <c r="E51">
        <f>Logs_Reseau_Part56[[#This Row],[Duree_Panne_Min]]/60</f>
        <v>1.6</v>
      </c>
      <c r="F51" t="s">
        <v>737</v>
      </c>
      <c r="G51" t="str">
        <f>IFERROR(VLOOKUP(Logs_Reseau_Part56[[#This Row],[Cell_ID]],Registre_Maintenance_Part[[ID_Antenne]:[Colonne2]],2,FALSE),"")</f>
        <v>Haut-Katanga</v>
      </c>
      <c r="H51">
        <f>IFERROR(VLOOKUP(Logs_Reseau_Part56[[#This Row],[Cell_ID]],Registre_Maintenance_Part[[ID_Antenne]:[Colonne2]],3,FALSE),"")</f>
        <v>-5.5445120000000001</v>
      </c>
      <c r="I51">
        <f>IFERROR(VLOOKUP(Logs_Reseau_Part56[[#This Row],[Cell_ID]],Registre_Maintenance_Part[[ID_Antenne]:[Colonne2]],4,FALSE),"")</f>
        <v>27.547335</v>
      </c>
      <c r="J51" t="str">
        <f>IFERROR(VLOOKUP(Logs_Reseau_Part56[[#This Row],[Cell_ID]],Registre_Maintenance_Part[[ID_Antenne]:[Colonne2]],5,FALSE),"")</f>
        <v>4G</v>
      </c>
      <c r="K51" t="str">
        <f>IFERROR(VLOOKUP(Logs_Reseau_Part56[[#This Row],[Cell_ID]],Registre_Maintenance_Part[[ID_Antenne]:[Colonne2]],6,FALSE),"")</f>
        <v>Ericsson</v>
      </c>
    </row>
    <row r="52" spans="1:11" x14ac:dyDescent="0.3">
      <c r="A52" s="1">
        <v>45206.974305555559</v>
      </c>
      <c r="B52" s="2">
        <v>45206.974305555559</v>
      </c>
      <c r="C52" t="s">
        <v>1360</v>
      </c>
      <c r="D52">
        <v>53</v>
      </c>
      <c r="E52">
        <f>Logs_Reseau_Part56[[#This Row],[Duree_Panne_Min]]/60</f>
        <v>0.8833333333333333</v>
      </c>
      <c r="F52" t="s">
        <v>737</v>
      </c>
      <c r="G52" t="str">
        <f>IFERROR(VLOOKUP(Logs_Reseau_Part56[[#This Row],[Cell_ID]],Registre_Maintenance_Part[[ID_Antenne]:[Colonne2]],2,FALSE),"")</f>
        <v>Haut-Katanga</v>
      </c>
      <c r="H52">
        <f>IFERROR(VLOOKUP(Logs_Reseau_Part56[[#This Row],[Cell_ID]],Registre_Maintenance_Part[[ID_Antenne]:[Colonne2]],3,FALSE),"")</f>
        <v>-2.926736</v>
      </c>
      <c r="I52">
        <f>IFERROR(VLOOKUP(Logs_Reseau_Part56[[#This Row],[Cell_ID]],Registre_Maintenance_Part[[ID_Antenne]:[Colonne2]],4,FALSE),"")</f>
        <v>18.170461</v>
      </c>
      <c r="J52" t="str">
        <f>IFERROR(VLOOKUP(Logs_Reseau_Part56[[#This Row],[Cell_ID]],Registre_Maintenance_Part[[ID_Antenne]:[Colonne2]],5,FALSE),"")</f>
        <v>5G</v>
      </c>
      <c r="K52" t="str">
        <f>IFERROR(VLOOKUP(Logs_Reseau_Part56[[#This Row],[Cell_ID]],Registre_Maintenance_Part[[ID_Antenne]:[Colonne2]],6,FALSE),"")</f>
        <v>Ericsson</v>
      </c>
    </row>
    <row r="53" spans="1:11" x14ac:dyDescent="0.3">
      <c r="A53" s="1">
        <v>45207.526388888888</v>
      </c>
      <c r="B53" s="2">
        <v>45207.526388888888</v>
      </c>
      <c r="C53" t="s">
        <v>1025</v>
      </c>
      <c r="D53">
        <v>78</v>
      </c>
      <c r="E53">
        <f>Logs_Reseau_Part56[[#This Row],[Duree_Panne_Min]]/60</f>
        <v>1.3</v>
      </c>
      <c r="F53" t="s">
        <v>739</v>
      </c>
      <c r="G53" t="str">
        <f>IFERROR(VLOOKUP(Logs_Reseau_Part56[[#This Row],[Cell_ID]],Registre_Maintenance_Part[[ID_Antenne]:[Colonne2]],2,FALSE),"")</f>
        <v>Haut-Katanga</v>
      </c>
      <c r="H53">
        <f>IFERROR(VLOOKUP(Logs_Reseau_Part56[[#This Row],[Cell_ID]],Registre_Maintenance_Part[[ID_Antenne]:[Colonne2]],3,FALSE),"")</f>
        <v>-9.4229749999999992</v>
      </c>
      <c r="I53">
        <f>IFERROR(VLOOKUP(Logs_Reseau_Part56[[#This Row],[Cell_ID]],Registre_Maintenance_Part[[ID_Antenne]:[Colonne2]],4,FALSE),"")</f>
        <v>29.375005999999999</v>
      </c>
      <c r="J53" t="str">
        <f>IFERROR(VLOOKUP(Logs_Reseau_Part56[[#This Row],[Cell_ID]],Registre_Maintenance_Part[[ID_Antenne]:[Colonne2]],5,FALSE),"")</f>
        <v>3G</v>
      </c>
      <c r="K53" t="str">
        <f>IFERROR(VLOOKUP(Logs_Reseau_Part56[[#This Row],[Cell_ID]],Registre_Maintenance_Part[[ID_Antenne]:[Colonne2]],6,FALSE),"")</f>
        <v>Ericsson</v>
      </c>
    </row>
    <row r="54" spans="1:11" x14ac:dyDescent="0.3">
      <c r="A54" s="1">
        <v>45207.955555555563</v>
      </c>
      <c r="B54" s="2">
        <v>45207.955555555563</v>
      </c>
      <c r="C54" t="s">
        <v>985</v>
      </c>
      <c r="D54">
        <v>73</v>
      </c>
      <c r="E54">
        <f>Logs_Reseau_Part56[[#This Row],[Duree_Panne_Min]]/60</f>
        <v>1.2166666666666666</v>
      </c>
      <c r="F54" t="s">
        <v>737</v>
      </c>
      <c r="G54" t="str">
        <f>IFERROR(VLOOKUP(Logs_Reseau_Part56[[#This Row],[Cell_ID]],Registre_Maintenance_Part[[ID_Antenne]:[Colonne2]],2,FALSE),"")</f>
        <v>Haut-Katanga</v>
      </c>
      <c r="H54">
        <f>IFERROR(VLOOKUP(Logs_Reseau_Part56[[#This Row],[Cell_ID]],Registre_Maintenance_Part[[ID_Antenne]:[Colonne2]],3,FALSE),"")</f>
        <v>2.016505</v>
      </c>
      <c r="I54">
        <f>IFERROR(VLOOKUP(Logs_Reseau_Part56[[#This Row],[Cell_ID]],Registre_Maintenance_Part[[ID_Antenne]:[Colonne2]],4,FALSE),"")</f>
        <v>14.294164</v>
      </c>
      <c r="J54" t="str">
        <f>IFERROR(VLOOKUP(Logs_Reseau_Part56[[#This Row],[Cell_ID]],Registre_Maintenance_Part[[ID_Antenne]:[Colonne2]],5,FALSE),"")</f>
        <v>5G</v>
      </c>
      <c r="K54" t="str">
        <f>IFERROR(VLOOKUP(Logs_Reseau_Part56[[#This Row],[Cell_ID]],Registre_Maintenance_Part[[ID_Antenne]:[Colonne2]],6,FALSE),"")</f>
        <v>Huawei</v>
      </c>
    </row>
    <row r="55" spans="1:11" x14ac:dyDescent="0.3">
      <c r="A55" s="1">
        <v>45209.938888888893</v>
      </c>
      <c r="B55" s="2">
        <v>45209.938888888893</v>
      </c>
      <c r="C55" t="s">
        <v>794</v>
      </c>
      <c r="D55">
        <v>37</v>
      </c>
      <c r="E55">
        <f>Logs_Reseau_Part56[[#This Row],[Duree_Panne_Min]]/60</f>
        <v>0.6166666666666667</v>
      </c>
      <c r="F55" t="s">
        <v>737</v>
      </c>
      <c r="G55" t="str">
        <f>IFERROR(VLOOKUP(Logs_Reseau_Part56[[#This Row],[Cell_ID]],Registre_Maintenance_Part[[ID_Antenne]:[Colonne2]],2,FALSE),"")</f>
        <v>Haut-Katanga</v>
      </c>
      <c r="H55">
        <f>IFERROR(VLOOKUP(Logs_Reseau_Part56[[#This Row],[Cell_ID]],Registre_Maintenance_Part[[ID_Antenne]:[Colonne2]],3,FALSE),"")</f>
        <v>-5.5445120000000001</v>
      </c>
      <c r="I55">
        <f>IFERROR(VLOOKUP(Logs_Reseau_Part56[[#This Row],[Cell_ID]],Registre_Maintenance_Part[[ID_Antenne]:[Colonne2]],4,FALSE),"")</f>
        <v>27.547335</v>
      </c>
      <c r="J55" t="str">
        <f>IFERROR(VLOOKUP(Logs_Reseau_Part56[[#This Row],[Cell_ID]],Registre_Maintenance_Part[[ID_Antenne]:[Colonne2]],5,FALSE),"")</f>
        <v>4G</v>
      </c>
      <c r="K55" t="str">
        <f>IFERROR(VLOOKUP(Logs_Reseau_Part56[[#This Row],[Cell_ID]],Registre_Maintenance_Part[[ID_Antenne]:[Colonne2]],6,FALSE),"")</f>
        <v>Ericsson</v>
      </c>
    </row>
    <row r="56" spans="1:11" x14ac:dyDescent="0.3">
      <c r="A56" s="1">
        <v>45210.835416666669</v>
      </c>
      <c r="B56" s="2">
        <v>45210.835416666669</v>
      </c>
      <c r="C56" t="s">
        <v>807</v>
      </c>
      <c r="D56">
        <v>80</v>
      </c>
      <c r="E56">
        <f>Logs_Reseau_Part56[[#This Row],[Duree_Panne_Min]]/60</f>
        <v>1.3333333333333333</v>
      </c>
      <c r="F56" t="s">
        <v>737</v>
      </c>
      <c r="G56" t="str">
        <f>IFERROR(VLOOKUP(Logs_Reseau_Part56[[#This Row],[Cell_ID]],Registre_Maintenance_Part[[ID_Antenne]:[Colonne2]],2,FALSE),"")</f>
        <v>Haut-Katanga</v>
      </c>
      <c r="H56">
        <f>IFERROR(VLOOKUP(Logs_Reseau_Part56[[#This Row],[Cell_ID]],Registre_Maintenance_Part[[ID_Antenne]:[Colonne2]],3,FALSE),"")</f>
        <v>4.4712560000000003</v>
      </c>
      <c r="I56">
        <f>IFERROR(VLOOKUP(Logs_Reseau_Part56[[#This Row],[Cell_ID]],Registre_Maintenance_Part[[ID_Antenne]:[Colonne2]],4,FALSE),"")</f>
        <v>27.107028</v>
      </c>
      <c r="J56" t="str">
        <f>IFERROR(VLOOKUP(Logs_Reseau_Part56[[#This Row],[Cell_ID]],Registre_Maintenance_Part[[ID_Antenne]:[Colonne2]],5,FALSE),"")</f>
        <v>3G</v>
      </c>
      <c r="K56" t="str">
        <f>IFERROR(VLOOKUP(Logs_Reseau_Part56[[#This Row],[Cell_ID]],Registre_Maintenance_Part[[ID_Antenne]:[Colonne2]],6,FALSE),"")</f>
        <v>Ericsson</v>
      </c>
    </row>
    <row r="57" spans="1:11" x14ac:dyDescent="0.3">
      <c r="A57" s="1">
        <v>45213.645833333343</v>
      </c>
      <c r="B57" s="2">
        <v>45213.645833333343</v>
      </c>
      <c r="C57" t="s">
        <v>797</v>
      </c>
      <c r="D57">
        <v>95</v>
      </c>
      <c r="E57">
        <f>Logs_Reseau_Part56[[#This Row],[Duree_Panne_Min]]/60</f>
        <v>1.5833333333333333</v>
      </c>
      <c r="F57" t="s">
        <v>734</v>
      </c>
      <c r="G57" t="str">
        <f>IFERROR(VLOOKUP(Logs_Reseau_Part56[[#This Row],[Cell_ID]],Registre_Maintenance_Part[[ID_Antenne]:[Colonne2]],2,FALSE),"")</f>
        <v>Haut-Katanga</v>
      </c>
      <c r="H57">
        <f>IFERROR(VLOOKUP(Logs_Reseau_Part56[[#This Row],[Cell_ID]],Registre_Maintenance_Part[[ID_Antenne]:[Colonne2]],3,FALSE),"")</f>
        <v>-2.9417719999999998</v>
      </c>
      <c r="I57">
        <f>IFERROR(VLOOKUP(Logs_Reseau_Part56[[#This Row],[Cell_ID]],Registre_Maintenance_Part[[ID_Antenne]:[Colonne2]],4,FALSE),"")</f>
        <v>18.587305000000001</v>
      </c>
      <c r="J57" t="str">
        <f>IFERROR(VLOOKUP(Logs_Reseau_Part56[[#This Row],[Cell_ID]],Registre_Maintenance_Part[[ID_Antenne]:[Colonne2]],5,FALSE),"")</f>
        <v>5G</v>
      </c>
      <c r="K57" t="str">
        <f>IFERROR(VLOOKUP(Logs_Reseau_Part56[[#This Row],[Cell_ID]],Registre_Maintenance_Part[[ID_Antenne]:[Colonne2]],6,FALSE),"")</f>
        <v>Ericsson</v>
      </c>
    </row>
    <row r="58" spans="1:11" x14ac:dyDescent="0.3">
      <c r="A58" s="1">
        <v>45214.713194444441</v>
      </c>
      <c r="B58" s="2">
        <v>45214.713194444441</v>
      </c>
      <c r="C58" t="s">
        <v>755</v>
      </c>
      <c r="D58">
        <v>25</v>
      </c>
      <c r="E58">
        <f>Logs_Reseau_Part56[[#This Row],[Duree_Panne_Min]]/60</f>
        <v>0.41666666666666669</v>
      </c>
      <c r="F58" t="s">
        <v>734</v>
      </c>
      <c r="G58" t="str">
        <f>IFERROR(VLOOKUP(Logs_Reseau_Part56[[#This Row],[Cell_ID]],Registre_Maintenance_Part[[ID_Antenne]:[Colonne2]],2,FALSE),"")</f>
        <v>Haut-Katanga</v>
      </c>
      <c r="H58">
        <f>IFERROR(VLOOKUP(Logs_Reseau_Part56[[#This Row],[Cell_ID]],Registre_Maintenance_Part[[ID_Antenne]:[Colonne2]],3,FALSE),"")</f>
        <v>0.172153</v>
      </c>
      <c r="I58">
        <f>IFERROR(VLOOKUP(Logs_Reseau_Part56[[#This Row],[Cell_ID]],Registre_Maintenance_Part[[ID_Antenne]:[Colonne2]],4,FALSE),"")</f>
        <v>21.091376</v>
      </c>
      <c r="J58" t="str">
        <f>IFERROR(VLOOKUP(Logs_Reseau_Part56[[#This Row],[Cell_ID]],Registre_Maintenance_Part[[ID_Antenne]:[Colonne2]],5,FALSE),"")</f>
        <v>3G</v>
      </c>
      <c r="K58" t="str">
        <f>IFERROR(VLOOKUP(Logs_Reseau_Part56[[#This Row],[Cell_ID]],Registre_Maintenance_Part[[ID_Antenne]:[Colonne2]],6,FALSE),"")</f>
        <v>Ericsson</v>
      </c>
    </row>
    <row r="59" spans="1:11" x14ac:dyDescent="0.3">
      <c r="A59" s="1">
        <v>45216.583333333343</v>
      </c>
      <c r="B59" s="2">
        <v>45216.583333333343</v>
      </c>
      <c r="C59" t="s">
        <v>950</v>
      </c>
      <c r="D59">
        <v>78</v>
      </c>
      <c r="E59">
        <f>Logs_Reseau_Part56[[#This Row],[Duree_Panne_Min]]/60</f>
        <v>1.3</v>
      </c>
      <c r="F59" t="s">
        <v>739</v>
      </c>
      <c r="G59" t="str">
        <f>IFERROR(VLOOKUP(Logs_Reseau_Part56[[#This Row],[Cell_ID]],Registre_Maintenance_Part[[ID_Antenne]:[Colonne2]],2,FALSE),"")</f>
        <v>Haut-Katanga</v>
      </c>
      <c r="H59">
        <f>IFERROR(VLOOKUP(Logs_Reseau_Part56[[#This Row],[Cell_ID]],Registre_Maintenance_Part[[ID_Antenne]:[Colonne2]],3,FALSE),"")</f>
        <v>0.16841400000000001</v>
      </c>
      <c r="I59">
        <f>IFERROR(VLOOKUP(Logs_Reseau_Part56[[#This Row],[Cell_ID]],Registre_Maintenance_Part[[ID_Antenne]:[Colonne2]],4,FALSE),"")</f>
        <v>30.029876999999999</v>
      </c>
      <c r="J59" t="str">
        <f>IFERROR(VLOOKUP(Logs_Reseau_Part56[[#This Row],[Cell_ID]],Registre_Maintenance_Part[[ID_Antenne]:[Colonne2]],5,FALSE),"")</f>
        <v>5G</v>
      </c>
      <c r="K59" t="str">
        <f>IFERROR(VLOOKUP(Logs_Reseau_Part56[[#This Row],[Cell_ID]],Registre_Maintenance_Part[[ID_Antenne]:[Colonne2]],6,FALSE),"")</f>
        <v>Huawei</v>
      </c>
    </row>
    <row r="60" spans="1:11" x14ac:dyDescent="0.3">
      <c r="A60" s="1">
        <v>45220.436805555553</v>
      </c>
      <c r="B60" s="2">
        <v>45220.436805555553</v>
      </c>
      <c r="C60" t="s">
        <v>794</v>
      </c>
      <c r="D60">
        <v>64</v>
      </c>
      <c r="E60">
        <f>Logs_Reseau_Part56[[#This Row],[Duree_Panne_Min]]/60</f>
        <v>1.0666666666666667</v>
      </c>
      <c r="F60" t="s">
        <v>737</v>
      </c>
      <c r="G60" t="str">
        <f>IFERROR(VLOOKUP(Logs_Reseau_Part56[[#This Row],[Cell_ID]],Registre_Maintenance_Part[[ID_Antenne]:[Colonne2]],2,FALSE),"")</f>
        <v>Haut-Katanga</v>
      </c>
      <c r="H60">
        <f>IFERROR(VLOOKUP(Logs_Reseau_Part56[[#This Row],[Cell_ID]],Registre_Maintenance_Part[[ID_Antenne]:[Colonne2]],3,FALSE),"")</f>
        <v>-5.5445120000000001</v>
      </c>
      <c r="I60">
        <f>IFERROR(VLOOKUP(Logs_Reseau_Part56[[#This Row],[Cell_ID]],Registre_Maintenance_Part[[ID_Antenne]:[Colonne2]],4,FALSE),"")</f>
        <v>27.547335</v>
      </c>
      <c r="J60" t="str">
        <f>IFERROR(VLOOKUP(Logs_Reseau_Part56[[#This Row],[Cell_ID]],Registre_Maintenance_Part[[ID_Antenne]:[Colonne2]],5,FALSE),"")</f>
        <v>4G</v>
      </c>
      <c r="K60" t="str">
        <f>IFERROR(VLOOKUP(Logs_Reseau_Part56[[#This Row],[Cell_ID]],Registre_Maintenance_Part[[ID_Antenne]:[Colonne2]],6,FALSE),"")</f>
        <v>Ericsson</v>
      </c>
    </row>
    <row r="61" spans="1:11" x14ac:dyDescent="0.3">
      <c r="A61" s="1">
        <v>45222.748611111107</v>
      </c>
      <c r="B61" s="2">
        <v>45222.748611111107</v>
      </c>
      <c r="C61" t="s">
        <v>1151</v>
      </c>
      <c r="D61">
        <v>28</v>
      </c>
      <c r="E61">
        <f>Logs_Reseau_Part56[[#This Row],[Duree_Panne_Min]]/60</f>
        <v>0.46666666666666667</v>
      </c>
      <c r="F61" t="s">
        <v>737</v>
      </c>
      <c r="G61" t="str">
        <f>IFERROR(VLOOKUP(Logs_Reseau_Part56[[#This Row],[Cell_ID]],Registre_Maintenance_Part[[ID_Antenne]:[Colonne2]],2,FALSE),"")</f>
        <v>Haut-Katanga</v>
      </c>
      <c r="H61">
        <f>IFERROR(VLOOKUP(Logs_Reseau_Part56[[#This Row],[Cell_ID]],Registre_Maintenance_Part[[ID_Antenne]:[Colonne2]],3,FALSE),"")</f>
        <v>-11.468578000000001</v>
      </c>
      <c r="I61">
        <f>IFERROR(VLOOKUP(Logs_Reseau_Part56[[#This Row],[Cell_ID]],Registre_Maintenance_Part[[ID_Antenne]:[Colonne2]],4,FALSE),"")</f>
        <v>16.914501999999999</v>
      </c>
      <c r="J61" t="str">
        <f>IFERROR(VLOOKUP(Logs_Reseau_Part56[[#This Row],[Cell_ID]],Registre_Maintenance_Part[[ID_Antenne]:[Colonne2]],5,FALSE),"")</f>
        <v>4G</v>
      </c>
      <c r="K61" t="str">
        <f>IFERROR(VLOOKUP(Logs_Reseau_Part56[[#This Row],[Cell_ID]],Registre_Maintenance_Part[[ID_Antenne]:[Colonne2]],6,FALSE),"")</f>
        <v>Ericsson</v>
      </c>
    </row>
    <row r="62" spans="1:11" x14ac:dyDescent="0.3">
      <c r="A62" s="1">
        <v>45222.834027777782</v>
      </c>
      <c r="B62" s="2">
        <v>45222.834027777782</v>
      </c>
      <c r="C62" t="s">
        <v>797</v>
      </c>
      <c r="D62">
        <v>109</v>
      </c>
      <c r="E62">
        <f>Logs_Reseau_Part56[[#This Row],[Duree_Panne_Min]]/60</f>
        <v>1.8166666666666667</v>
      </c>
      <c r="F62" t="s">
        <v>737</v>
      </c>
      <c r="G62" t="str">
        <f>IFERROR(VLOOKUP(Logs_Reseau_Part56[[#This Row],[Cell_ID]],Registre_Maintenance_Part[[ID_Antenne]:[Colonne2]],2,FALSE),"")</f>
        <v>Haut-Katanga</v>
      </c>
      <c r="H62">
        <f>IFERROR(VLOOKUP(Logs_Reseau_Part56[[#This Row],[Cell_ID]],Registre_Maintenance_Part[[ID_Antenne]:[Colonne2]],3,FALSE),"")</f>
        <v>-2.9417719999999998</v>
      </c>
      <c r="I62">
        <f>IFERROR(VLOOKUP(Logs_Reseau_Part56[[#This Row],[Cell_ID]],Registre_Maintenance_Part[[ID_Antenne]:[Colonne2]],4,FALSE),"")</f>
        <v>18.587305000000001</v>
      </c>
      <c r="J62" t="str">
        <f>IFERROR(VLOOKUP(Logs_Reseau_Part56[[#This Row],[Cell_ID]],Registre_Maintenance_Part[[ID_Antenne]:[Colonne2]],5,FALSE),"")</f>
        <v>5G</v>
      </c>
      <c r="K62" t="str">
        <f>IFERROR(VLOOKUP(Logs_Reseau_Part56[[#This Row],[Cell_ID]],Registre_Maintenance_Part[[ID_Antenne]:[Colonne2]],6,FALSE),"")</f>
        <v>Ericsson</v>
      </c>
    </row>
    <row r="63" spans="1:11" x14ac:dyDescent="0.3">
      <c r="A63" s="1">
        <v>45223.293749999997</v>
      </c>
      <c r="B63" s="2">
        <v>45223.293749999997</v>
      </c>
      <c r="C63" t="s">
        <v>1171</v>
      </c>
      <c r="D63">
        <v>42</v>
      </c>
      <c r="E63">
        <f>Logs_Reseau_Part56[[#This Row],[Duree_Panne_Min]]/60</f>
        <v>0.7</v>
      </c>
      <c r="F63" t="s">
        <v>739</v>
      </c>
      <c r="G63" t="str">
        <f>IFERROR(VLOOKUP(Logs_Reseau_Part56[[#This Row],[Cell_ID]],Registre_Maintenance_Part[[ID_Antenne]:[Colonne2]],2,FALSE),"")</f>
        <v>Haut-Katanga</v>
      </c>
      <c r="H63">
        <f>IFERROR(VLOOKUP(Logs_Reseau_Part56[[#This Row],[Cell_ID]],Registre_Maintenance_Part[[ID_Antenne]:[Colonne2]],3,FALSE),"")</f>
        <v>-4.4958720000000003</v>
      </c>
      <c r="I63">
        <f>IFERROR(VLOOKUP(Logs_Reseau_Part56[[#This Row],[Cell_ID]],Registre_Maintenance_Part[[ID_Antenne]:[Colonne2]],4,FALSE),"")</f>
        <v>18.514112000000001</v>
      </c>
      <c r="J63" t="str">
        <f>IFERROR(VLOOKUP(Logs_Reseau_Part56[[#This Row],[Cell_ID]],Registre_Maintenance_Part[[ID_Antenne]:[Colonne2]],5,FALSE),"")</f>
        <v>4G</v>
      </c>
      <c r="K63" t="str">
        <f>IFERROR(VLOOKUP(Logs_Reseau_Part56[[#This Row],[Cell_ID]],Registre_Maintenance_Part[[ID_Antenne]:[Colonne2]],6,FALSE),"")</f>
        <v>Nokia</v>
      </c>
    </row>
    <row r="64" spans="1:11" x14ac:dyDescent="0.3">
      <c r="A64" s="1">
        <v>45223.418749999997</v>
      </c>
      <c r="B64" s="2">
        <v>45223.418749999997</v>
      </c>
      <c r="C64" t="s">
        <v>807</v>
      </c>
      <c r="D64">
        <v>89</v>
      </c>
      <c r="E64">
        <f>Logs_Reseau_Part56[[#This Row],[Duree_Panne_Min]]/60</f>
        <v>1.4833333333333334</v>
      </c>
      <c r="F64" t="s">
        <v>734</v>
      </c>
      <c r="G64" t="str">
        <f>IFERROR(VLOOKUP(Logs_Reseau_Part56[[#This Row],[Cell_ID]],Registre_Maintenance_Part[[ID_Antenne]:[Colonne2]],2,FALSE),"")</f>
        <v>Haut-Katanga</v>
      </c>
      <c r="H64">
        <f>IFERROR(VLOOKUP(Logs_Reseau_Part56[[#This Row],[Cell_ID]],Registre_Maintenance_Part[[ID_Antenne]:[Colonne2]],3,FALSE),"")</f>
        <v>4.4712560000000003</v>
      </c>
      <c r="I64">
        <f>IFERROR(VLOOKUP(Logs_Reseau_Part56[[#This Row],[Cell_ID]],Registre_Maintenance_Part[[ID_Antenne]:[Colonne2]],4,FALSE),"")</f>
        <v>27.107028</v>
      </c>
      <c r="J64" t="str">
        <f>IFERROR(VLOOKUP(Logs_Reseau_Part56[[#This Row],[Cell_ID]],Registre_Maintenance_Part[[ID_Antenne]:[Colonne2]],5,FALSE),"")</f>
        <v>3G</v>
      </c>
      <c r="K64" t="str">
        <f>IFERROR(VLOOKUP(Logs_Reseau_Part56[[#This Row],[Cell_ID]],Registre_Maintenance_Part[[ID_Antenne]:[Colonne2]],6,FALSE),"")</f>
        <v>Ericsson</v>
      </c>
    </row>
    <row r="65" spans="1:11" x14ac:dyDescent="0.3">
      <c r="A65" s="1">
        <v>45223.736111111109</v>
      </c>
      <c r="B65" s="2">
        <v>45223.736111111109</v>
      </c>
      <c r="C65" t="s">
        <v>950</v>
      </c>
      <c r="D65">
        <v>116</v>
      </c>
      <c r="E65">
        <f>Logs_Reseau_Part56[[#This Row],[Duree_Panne_Min]]/60</f>
        <v>1.9333333333333333</v>
      </c>
      <c r="F65" t="s">
        <v>737</v>
      </c>
      <c r="G65" t="str">
        <f>IFERROR(VLOOKUP(Logs_Reseau_Part56[[#This Row],[Cell_ID]],Registre_Maintenance_Part[[ID_Antenne]:[Colonne2]],2,FALSE),"")</f>
        <v>Haut-Katanga</v>
      </c>
      <c r="H65">
        <f>IFERROR(VLOOKUP(Logs_Reseau_Part56[[#This Row],[Cell_ID]],Registre_Maintenance_Part[[ID_Antenne]:[Colonne2]],3,FALSE),"")</f>
        <v>0.16841400000000001</v>
      </c>
      <c r="I65">
        <f>IFERROR(VLOOKUP(Logs_Reseau_Part56[[#This Row],[Cell_ID]],Registre_Maintenance_Part[[ID_Antenne]:[Colonne2]],4,FALSE),"")</f>
        <v>30.029876999999999</v>
      </c>
      <c r="J65" t="str">
        <f>IFERROR(VLOOKUP(Logs_Reseau_Part56[[#This Row],[Cell_ID]],Registre_Maintenance_Part[[ID_Antenne]:[Colonne2]],5,FALSE),"")</f>
        <v>5G</v>
      </c>
      <c r="K65" t="str">
        <f>IFERROR(VLOOKUP(Logs_Reseau_Part56[[#This Row],[Cell_ID]],Registre_Maintenance_Part[[ID_Antenne]:[Colonne2]],6,FALSE),"")</f>
        <v>Huawei</v>
      </c>
    </row>
    <row r="66" spans="1:11" x14ac:dyDescent="0.3">
      <c r="A66" s="1">
        <v>45224.428472222222</v>
      </c>
      <c r="B66" s="2">
        <v>45224.428472222222</v>
      </c>
      <c r="C66" t="s">
        <v>755</v>
      </c>
      <c r="D66">
        <v>65</v>
      </c>
      <c r="E66">
        <f>Logs_Reseau_Part56[[#This Row],[Duree_Panne_Min]]/60</f>
        <v>1.0833333333333333</v>
      </c>
      <c r="F66" t="s">
        <v>737</v>
      </c>
      <c r="G66" t="str">
        <f>IFERROR(VLOOKUP(Logs_Reseau_Part56[[#This Row],[Cell_ID]],Registre_Maintenance_Part[[ID_Antenne]:[Colonne2]],2,FALSE),"")</f>
        <v>Haut-Katanga</v>
      </c>
      <c r="H66">
        <f>IFERROR(VLOOKUP(Logs_Reseau_Part56[[#This Row],[Cell_ID]],Registre_Maintenance_Part[[ID_Antenne]:[Colonne2]],3,FALSE),"")</f>
        <v>0.172153</v>
      </c>
      <c r="I66">
        <f>IFERROR(VLOOKUP(Logs_Reseau_Part56[[#This Row],[Cell_ID]],Registre_Maintenance_Part[[ID_Antenne]:[Colonne2]],4,FALSE),"")</f>
        <v>21.091376</v>
      </c>
      <c r="J66" t="str">
        <f>IFERROR(VLOOKUP(Logs_Reseau_Part56[[#This Row],[Cell_ID]],Registre_Maintenance_Part[[ID_Antenne]:[Colonne2]],5,FALSE),"")</f>
        <v>3G</v>
      </c>
      <c r="K66" t="str">
        <f>IFERROR(VLOOKUP(Logs_Reseau_Part56[[#This Row],[Cell_ID]],Registre_Maintenance_Part[[ID_Antenne]:[Colonne2]],6,FALSE),"")</f>
        <v>Ericsson</v>
      </c>
    </row>
    <row r="67" spans="1:11" x14ac:dyDescent="0.3">
      <c r="A67" s="1">
        <v>45225.712500000001</v>
      </c>
      <c r="B67" s="2">
        <v>45225.712500000001</v>
      </c>
      <c r="C67" t="s">
        <v>794</v>
      </c>
      <c r="D67">
        <v>25</v>
      </c>
      <c r="E67">
        <f>Logs_Reseau_Part56[[#This Row],[Duree_Panne_Min]]/60</f>
        <v>0.41666666666666669</v>
      </c>
      <c r="F67" t="s">
        <v>734</v>
      </c>
      <c r="G67" t="str">
        <f>IFERROR(VLOOKUP(Logs_Reseau_Part56[[#This Row],[Cell_ID]],Registre_Maintenance_Part[[ID_Antenne]:[Colonne2]],2,FALSE),"")</f>
        <v>Haut-Katanga</v>
      </c>
      <c r="H67">
        <f>IFERROR(VLOOKUP(Logs_Reseau_Part56[[#This Row],[Cell_ID]],Registre_Maintenance_Part[[ID_Antenne]:[Colonne2]],3,FALSE),"")</f>
        <v>-5.5445120000000001</v>
      </c>
      <c r="I67">
        <f>IFERROR(VLOOKUP(Logs_Reseau_Part56[[#This Row],[Cell_ID]],Registre_Maintenance_Part[[ID_Antenne]:[Colonne2]],4,FALSE),"")</f>
        <v>27.547335</v>
      </c>
      <c r="J67" t="str">
        <f>IFERROR(VLOOKUP(Logs_Reseau_Part56[[#This Row],[Cell_ID]],Registre_Maintenance_Part[[ID_Antenne]:[Colonne2]],5,FALSE),"")</f>
        <v>4G</v>
      </c>
      <c r="K67" t="str">
        <f>IFERROR(VLOOKUP(Logs_Reseau_Part56[[#This Row],[Cell_ID]],Registre_Maintenance_Part[[ID_Antenne]:[Colonne2]],6,FALSE),"")</f>
        <v>Ericsson</v>
      </c>
    </row>
    <row r="68" spans="1:11" x14ac:dyDescent="0.3">
      <c r="A68" s="1">
        <v>45226.659722222219</v>
      </c>
      <c r="B68" s="2">
        <v>45226.659722222219</v>
      </c>
      <c r="C68" t="s">
        <v>1027</v>
      </c>
      <c r="D68">
        <v>65</v>
      </c>
      <c r="E68">
        <f>Logs_Reseau_Part56[[#This Row],[Duree_Panne_Min]]/60</f>
        <v>1.0833333333333333</v>
      </c>
      <c r="F68" t="s">
        <v>737</v>
      </c>
      <c r="G68" t="str">
        <f>IFERROR(VLOOKUP(Logs_Reseau_Part56[[#This Row],[Cell_ID]],Registre_Maintenance_Part[[ID_Antenne]:[Colonne2]],2,FALSE),"")</f>
        <v>Haut-Katanga</v>
      </c>
      <c r="H68">
        <f>IFERROR(VLOOKUP(Logs_Reseau_Part56[[#This Row],[Cell_ID]],Registre_Maintenance_Part[[ID_Antenne]:[Colonne2]],3,FALSE),"")</f>
        <v>-11.594525000000001</v>
      </c>
      <c r="I68">
        <f>IFERROR(VLOOKUP(Logs_Reseau_Part56[[#This Row],[Cell_ID]],Registre_Maintenance_Part[[ID_Antenne]:[Colonne2]],4,FALSE),"")</f>
        <v>29.744895</v>
      </c>
      <c r="J68" t="str">
        <f>IFERROR(VLOOKUP(Logs_Reseau_Part56[[#This Row],[Cell_ID]],Registre_Maintenance_Part[[ID_Antenne]:[Colonne2]],5,FALSE),"")</f>
        <v>3G</v>
      </c>
      <c r="K68" t="str">
        <f>IFERROR(VLOOKUP(Logs_Reseau_Part56[[#This Row],[Cell_ID]],Registre_Maintenance_Part[[ID_Antenne]:[Colonne2]],6,FALSE),"")</f>
        <v>ZTE</v>
      </c>
    </row>
    <row r="69" spans="1:11" x14ac:dyDescent="0.3">
      <c r="A69" s="1">
        <v>45230.12777777778</v>
      </c>
      <c r="B69" s="2">
        <v>45230.12777777778</v>
      </c>
      <c r="C69" t="s">
        <v>1229</v>
      </c>
      <c r="D69">
        <v>87</v>
      </c>
      <c r="E69">
        <f>Logs_Reseau_Part56[[#This Row],[Duree_Panne_Min]]/60</f>
        <v>1.45</v>
      </c>
      <c r="F69" t="s">
        <v>739</v>
      </c>
      <c r="G69" t="str">
        <f>IFERROR(VLOOKUP(Logs_Reseau_Part56[[#This Row],[Cell_ID]],Registre_Maintenance_Part[[ID_Antenne]:[Colonne2]],2,FALSE),"")</f>
        <v>Haut-Katanga</v>
      </c>
      <c r="H69">
        <f>IFERROR(VLOOKUP(Logs_Reseau_Part56[[#This Row],[Cell_ID]],Registre_Maintenance_Part[[ID_Antenne]:[Colonne2]],3,FALSE),"")</f>
        <v>-10.945031</v>
      </c>
      <c r="I69">
        <f>IFERROR(VLOOKUP(Logs_Reseau_Part56[[#This Row],[Cell_ID]],Registre_Maintenance_Part[[ID_Antenne]:[Colonne2]],4,FALSE),"")</f>
        <v>27.922274000000002</v>
      </c>
      <c r="J69" t="str">
        <f>IFERROR(VLOOKUP(Logs_Reseau_Part56[[#This Row],[Cell_ID]],Registre_Maintenance_Part[[ID_Antenne]:[Colonne2]],5,FALSE),"")</f>
        <v>4G</v>
      </c>
      <c r="K69" t="str">
        <f>IFERROR(VLOOKUP(Logs_Reseau_Part56[[#This Row],[Cell_ID]],Registre_Maintenance_Part[[ID_Antenne]:[Colonne2]],6,FALSE),"")</f>
        <v>Ericsson</v>
      </c>
    </row>
    <row r="70" spans="1:11" x14ac:dyDescent="0.3">
      <c r="A70" s="1">
        <v>45200.342361111107</v>
      </c>
      <c r="B70" s="2">
        <v>45200.342361111107</v>
      </c>
      <c r="C70" t="s">
        <v>1016</v>
      </c>
      <c r="D70">
        <v>86</v>
      </c>
      <c r="E70">
        <f>Logs_Reseau_Part56[[#This Row],[Duree_Panne_Min]]/60</f>
        <v>1.4333333333333333</v>
      </c>
      <c r="F70" t="s">
        <v>737</v>
      </c>
      <c r="G70" t="str">
        <f>IFERROR(VLOOKUP(Logs_Reseau_Part56[[#This Row],[Cell_ID]],Registre_Maintenance_Part[[ID_Antenne]:[Colonne2]],2,FALSE),"")</f>
        <v>Haut-Lomami</v>
      </c>
      <c r="H70">
        <f>IFERROR(VLOOKUP(Logs_Reseau_Part56[[#This Row],[Cell_ID]],Registre_Maintenance_Part[[ID_Antenne]:[Colonne2]],3,FALSE),"")</f>
        <v>2.628638</v>
      </c>
      <c r="I70">
        <f>IFERROR(VLOOKUP(Logs_Reseau_Part56[[#This Row],[Cell_ID]],Registre_Maintenance_Part[[ID_Antenne]:[Colonne2]],4,FALSE),"")</f>
        <v>28.420582</v>
      </c>
      <c r="J70" t="str">
        <f>IFERROR(VLOOKUP(Logs_Reseau_Part56[[#This Row],[Cell_ID]],Registre_Maintenance_Part[[ID_Antenne]:[Colonne2]],5,FALSE),"")</f>
        <v>4G</v>
      </c>
      <c r="K70" t="str">
        <f>IFERROR(VLOOKUP(Logs_Reseau_Part56[[#This Row],[Cell_ID]],Registre_Maintenance_Part[[ID_Antenne]:[Colonne2]],6,FALSE),"")</f>
        <v>Huawei</v>
      </c>
    </row>
    <row r="71" spans="1:11" x14ac:dyDescent="0.3">
      <c r="A71" s="1">
        <v>45202.21875</v>
      </c>
      <c r="B71" s="2">
        <v>45202.21875</v>
      </c>
      <c r="C71" t="s">
        <v>922</v>
      </c>
      <c r="D71">
        <v>86</v>
      </c>
      <c r="E71">
        <f>Logs_Reseau_Part56[[#This Row],[Duree_Panne_Min]]/60</f>
        <v>1.4333333333333333</v>
      </c>
      <c r="F71" t="s">
        <v>739</v>
      </c>
      <c r="G71" t="str">
        <f>IFERROR(VLOOKUP(Logs_Reseau_Part56[[#This Row],[Cell_ID]],Registre_Maintenance_Part[[ID_Antenne]:[Colonne2]],2,FALSE),"")</f>
        <v>Haut-Lomami</v>
      </c>
      <c r="H71">
        <f>IFERROR(VLOOKUP(Logs_Reseau_Part56[[#This Row],[Cell_ID]],Registre_Maintenance_Part[[ID_Antenne]:[Colonne2]],3,FALSE),"")</f>
        <v>-12.112682</v>
      </c>
      <c r="I71">
        <f>IFERROR(VLOOKUP(Logs_Reseau_Part56[[#This Row],[Cell_ID]],Registre_Maintenance_Part[[ID_Antenne]:[Colonne2]],4,FALSE),"")</f>
        <v>19.972052000000001</v>
      </c>
      <c r="J71" t="str">
        <f>IFERROR(VLOOKUP(Logs_Reseau_Part56[[#This Row],[Cell_ID]],Registre_Maintenance_Part[[ID_Antenne]:[Colonne2]],5,FALSE),"")</f>
        <v>4G</v>
      </c>
      <c r="K71" t="str">
        <f>IFERROR(VLOOKUP(Logs_Reseau_Part56[[#This Row],[Cell_ID]],Registre_Maintenance_Part[[ID_Antenne]:[Colonne2]],6,FALSE),"")</f>
        <v>Huawei</v>
      </c>
    </row>
    <row r="72" spans="1:11" x14ac:dyDescent="0.3">
      <c r="A72" s="1">
        <v>45205.47152777778</v>
      </c>
      <c r="B72" s="2">
        <v>45205.47152777778</v>
      </c>
      <c r="C72" t="s">
        <v>1016</v>
      </c>
      <c r="D72">
        <v>50</v>
      </c>
      <c r="E72">
        <f>Logs_Reseau_Part56[[#This Row],[Duree_Panne_Min]]/60</f>
        <v>0.83333333333333337</v>
      </c>
      <c r="F72" t="s">
        <v>737</v>
      </c>
      <c r="G72" t="str">
        <f>IFERROR(VLOOKUP(Logs_Reseau_Part56[[#This Row],[Cell_ID]],Registre_Maintenance_Part[[ID_Antenne]:[Colonne2]],2,FALSE),"")</f>
        <v>Haut-Lomami</v>
      </c>
      <c r="H72">
        <f>IFERROR(VLOOKUP(Logs_Reseau_Part56[[#This Row],[Cell_ID]],Registre_Maintenance_Part[[ID_Antenne]:[Colonne2]],3,FALSE),"")</f>
        <v>2.628638</v>
      </c>
      <c r="I72">
        <f>IFERROR(VLOOKUP(Logs_Reseau_Part56[[#This Row],[Cell_ID]],Registre_Maintenance_Part[[ID_Antenne]:[Colonne2]],4,FALSE),"")</f>
        <v>28.420582</v>
      </c>
      <c r="J72" t="str">
        <f>IFERROR(VLOOKUP(Logs_Reseau_Part56[[#This Row],[Cell_ID]],Registre_Maintenance_Part[[ID_Antenne]:[Colonne2]],5,FALSE),"")</f>
        <v>4G</v>
      </c>
      <c r="K72" t="str">
        <f>IFERROR(VLOOKUP(Logs_Reseau_Part56[[#This Row],[Cell_ID]],Registre_Maintenance_Part[[ID_Antenne]:[Colonne2]],6,FALSE),"")</f>
        <v>Huawei</v>
      </c>
    </row>
    <row r="73" spans="1:11" x14ac:dyDescent="0.3">
      <c r="A73" s="1">
        <v>45206.443055555559</v>
      </c>
      <c r="B73" s="2">
        <v>45206.443055555559</v>
      </c>
      <c r="C73" t="s">
        <v>1034</v>
      </c>
      <c r="D73">
        <v>48</v>
      </c>
      <c r="E73">
        <f>Logs_Reseau_Part56[[#This Row],[Duree_Panne_Min]]/60</f>
        <v>0.8</v>
      </c>
      <c r="F73" t="s">
        <v>739</v>
      </c>
      <c r="G73" t="str">
        <f>IFERROR(VLOOKUP(Logs_Reseau_Part56[[#This Row],[Cell_ID]],Registre_Maintenance_Part[[ID_Antenne]:[Colonne2]],2,FALSE),"")</f>
        <v>Haut-Lomami</v>
      </c>
      <c r="H73">
        <f>IFERROR(VLOOKUP(Logs_Reseau_Part56[[#This Row],[Cell_ID]],Registre_Maintenance_Part[[ID_Antenne]:[Colonne2]],3,FALSE),"")</f>
        <v>0.16327700000000001</v>
      </c>
      <c r="I73">
        <f>IFERROR(VLOOKUP(Logs_Reseau_Part56[[#This Row],[Cell_ID]],Registre_Maintenance_Part[[ID_Antenne]:[Colonne2]],4,FALSE),"")</f>
        <v>14.871577</v>
      </c>
      <c r="J73" t="str">
        <f>IFERROR(VLOOKUP(Logs_Reseau_Part56[[#This Row],[Cell_ID]],Registre_Maintenance_Part[[ID_Antenne]:[Colonne2]],5,FALSE),"")</f>
        <v>4G</v>
      </c>
      <c r="K73" t="str">
        <f>IFERROR(VLOOKUP(Logs_Reseau_Part56[[#This Row],[Cell_ID]],Registre_Maintenance_Part[[ID_Antenne]:[Colonne2]],6,FALSE),"")</f>
        <v>Huawei</v>
      </c>
    </row>
    <row r="74" spans="1:11" x14ac:dyDescent="0.3">
      <c r="A74" s="1">
        <v>45206.857638888891</v>
      </c>
      <c r="B74" s="2">
        <v>45206.857638888891</v>
      </c>
      <c r="C74" t="s">
        <v>925</v>
      </c>
      <c r="D74">
        <v>45</v>
      </c>
      <c r="E74">
        <f>Logs_Reseau_Part56[[#This Row],[Duree_Panne_Min]]/60</f>
        <v>0.75</v>
      </c>
      <c r="F74" t="s">
        <v>739</v>
      </c>
      <c r="G74" t="str">
        <f>IFERROR(VLOOKUP(Logs_Reseau_Part56[[#This Row],[Cell_ID]],Registre_Maintenance_Part[[ID_Antenne]:[Colonne2]],2,FALSE),"")</f>
        <v>Haut-Lomami</v>
      </c>
      <c r="H74">
        <f>IFERROR(VLOOKUP(Logs_Reseau_Part56[[#This Row],[Cell_ID]],Registre_Maintenance_Part[[ID_Antenne]:[Colonne2]],3,FALSE),"")</f>
        <v>1.210869</v>
      </c>
      <c r="I74">
        <f>IFERROR(VLOOKUP(Logs_Reseau_Part56[[#This Row],[Cell_ID]],Registre_Maintenance_Part[[ID_Antenne]:[Colonne2]],4,FALSE),"")</f>
        <v>25.598741</v>
      </c>
      <c r="J74" t="str">
        <f>IFERROR(VLOOKUP(Logs_Reseau_Part56[[#This Row],[Cell_ID]],Registre_Maintenance_Part[[ID_Antenne]:[Colonne2]],5,FALSE),"")</f>
        <v>4G</v>
      </c>
      <c r="K74" t="str">
        <f>IFERROR(VLOOKUP(Logs_Reseau_Part56[[#This Row],[Cell_ID]],Registre_Maintenance_Part[[ID_Antenne]:[Colonne2]],6,FALSE),"")</f>
        <v>Ericsson</v>
      </c>
    </row>
    <row r="75" spans="1:11" x14ac:dyDescent="0.3">
      <c r="A75" s="1">
        <v>45208.443749999999</v>
      </c>
      <c r="B75" s="2">
        <v>45208.443749999999</v>
      </c>
      <c r="C75" t="s">
        <v>954</v>
      </c>
      <c r="D75">
        <v>7</v>
      </c>
      <c r="E75">
        <f>Logs_Reseau_Part56[[#This Row],[Duree_Panne_Min]]/60</f>
        <v>0.11666666666666667</v>
      </c>
      <c r="F75" t="s">
        <v>739</v>
      </c>
      <c r="G75" t="str">
        <f>IFERROR(VLOOKUP(Logs_Reseau_Part56[[#This Row],[Cell_ID]],Registre_Maintenance_Part[[ID_Antenne]:[Colonne2]],2,FALSE),"")</f>
        <v>Haut-Lomami</v>
      </c>
      <c r="H75">
        <f>IFERROR(VLOOKUP(Logs_Reseau_Part56[[#This Row],[Cell_ID]],Registre_Maintenance_Part[[ID_Antenne]:[Colonne2]],3,FALSE),"")</f>
        <v>-6.3324319999999998</v>
      </c>
      <c r="I75">
        <f>IFERROR(VLOOKUP(Logs_Reseau_Part56[[#This Row],[Cell_ID]],Registre_Maintenance_Part[[ID_Antenne]:[Colonne2]],4,FALSE),"")</f>
        <v>24.887858000000001</v>
      </c>
      <c r="J75" t="str">
        <f>IFERROR(VLOOKUP(Logs_Reseau_Part56[[#This Row],[Cell_ID]],Registre_Maintenance_Part[[ID_Antenne]:[Colonne2]],5,FALSE),"")</f>
        <v>4G</v>
      </c>
      <c r="K75" t="str">
        <f>IFERROR(VLOOKUP(Logs_Reseau_Part56[[#This Row],[Cell_ID]],Registre_Maintenance_Part[[ID_Antenne]:[Colonne2]],6,FALSE),"")</f>
        <v>ZTE</v>
      </c>
    </row>
    <row r="76" spans="1:11" x14ac:dyDescent="0.3">
      <c r="A76" s="1">
        <v>45210.458333333343</v>
      </c>
      <c r="B76" s="2">
        <v>45210.458333333343</v>
      </c>
      <c r="C76" t="s">
        <v>922</v>
      </c>
      <c r="D76">
        <v>95</v>
      </c>
      <c r="E76">
        <f>Logs_Reseau_Part56[[#This Row],[Duree_Panne_Min]]/60</f>
        <v>1.5833333333333333</v>
      </c>
      <c r="F76" t="s">
        <v>737</v>
      </c>
      <c r="G76" t="str">
        <f>IFERROR(VLOOKUP(Logs_Reseau_Part56[[#This Row],[Cell_ID]],Registre_Maintenance_Part[[ID_Antenne]:[Colonne2]],2,FALSE),"")</f>
        <v>Haut-Lomami</v>
      </c>
      <c r="H76">
        <f>IFERROR(VLOOKUP(Logs_Reseau_Part56[[#This Row],[Cell_ID]],Registre_Maintenance_Part[[ID_Antenne]:[Colonne2]],3,FALSE),"")</f>
        <v>-12.112682</v>
      </c>
      <c r="I76">
        <f>IFERROR(VLOOKUP(Logs_Reseau_Part56[[#This Row],[Cell_ID]],Registre_Maintenance_Part[[ID_Antenne]:[Colonne2]],4,FALSE),"")</f>
        <v>19.972052000000001</v>
      </c>
      <c r="J76" t="str">
        <f>IFERROR(VLOOKUP(Logs_Reseau_Part56[[#This Row],[Cell_ID]],Registre_Maintenance_Part[[ID_Antenne]:[Colonne2]],5,FALSE),"")</f>
        <v>4G</v>
      </c>
      <c r="K76" t="str">
        <f>IFERROR(VLOOKUP(Logs_Reseau_Part56[[#This Row],[Cell_ID]],Registre_Maintenance_Part[[ID_Antenne]:[Colonne2]],6,FALSE),"")</f>
        <v>Huawei</v>
      </c>
    </row>
    <row r="77" spans="1:11" x14ac:dyDescent="0.3">
      <c r="A77" s="1">
        <v>45210.926388888889</v>
      </c>
      <c r="B77" s="2">
        <v>45210.926388888889</v>
      </c>
      <c r="C77" t="s">
        <v>925</v>
      </c>
      <c r="D77">
        <v>45</v>
      </c>
      <c r="E77">
        <f>Logs_Reseau_Part56[[#This Row],[Duree_Panne_Min]]/60</f>
        <v>0.75</v>
      </c>
      <c r="F77" t="s">
        <v>737</v>
      </c>
      <c r="G77" t="str">
        <f>IFERROR(VLOOKUP(Logs_Reseau_Part56[[#This Row],[Cell_ID]],Registre_Maintenance_Part[[ID_Antenne]:[Colonne2]],2,FALSE),"")</f>
        <v>Haut-Lomami</v>
      </c>
      <c r="H77">
        <f>IFERROR(VLOOKUP(Logs_Reseau_Part56[[#This Row],[Cell_ID]],Registre_Maintenance_Part[[ID_Antenne]:[Colonne2]],3,FALSE),"")</f>
        <v>1.210869</v>
      </c>
      <c r="I77">
        <f>IFERROR(VLOOKUP(Logs_Reseau_Part56[[#This Row],[Cell_ID]],Registre_Maintenance_Part[[ID_Antenne]:[Colonne2]],4,FALSE),"")</f>
        <v>25.598741</v>
      </c>
      <c r="J77" t="str">
        <f>IFERROR(VLOOKUP(Logs_Reseau_Part56[[#This Row],[Cell_ID]],Registre_Maintenance_Part[[ID_Antenne]:[Colonne2]],5,FALSE),"")</f>
        <v>4G</v>
      </c>
      <c r="K77" t="str">
        <f>IFERROR(VLOOKUP(Logs_Reseau_Part56[[#This Row],[Cell_ID]],Registre_Maintenance_Part[[ID_Antenne]:[Colonne2]],6,FALSE),"")</f>
        <v>Ericsson</v>
      </c>
    </row>
    <row r="78" spans="1:11" x14ac:dyDescent="0.3">
      <c r="A78" s="1">
        <v>45213.210416666669</v>
      </c>
      <c r="B78" s="2">
        <v>45213.210416666669</v>
      </c>
      <c r="C78" t="s">
        <v>1327</v>
      </c>
      <c r="D78">
        <v>28</v>
      </c>
      <c r="E78">
        <f>Logs_Reseau_Part56[[#This Row],[Duree_Panne_Min]]/60</f>
        <v>0.46666666666666667</v>
      </c>
      <c r="F78" t="s">
        <v>739</v>
      </c>
      <c r="G78" t="str">
        <f>IFERROR(VLOOKUP(Logs_Reseau_Part56[[#This Row],[Cell_ID]],Registre_Maintenance_Part[[ID_Antenne]:[Colonne2]],2,FALSE),"")</f>
        <v>Haut-Lomami</v>
      </c>
      <c r="H78">
        <f>IFERROR(VLOOKUP(Logs_Reseau_Part56[[#This Row],[Cell_ID]],Registre_Maintenance_Part[[ID_Antenne]:[Colonne2]],3,FALSE),"")</f>
        <v>-3.1608390000000002</v>
      </c>
      <c r="I78">
        <f>IFERROR(VLOOKUP(Logs_Reseau_Part56[[#This Row],[Cell_ID]],Registre_Maintenance_Part[[ID_Antenne]:[Colonne2]],4,FALSE),"")</f>
        <v>13.244503999999999</v>
      </c>
      <c r="J78" t="str">
        <f>IFERROR(VLOOKUP(Logs_Reseau_Part56[[#This Row],[Cell_ID]],Registre_Maintenance_Part[[ID_Antenne]:[Colonne2]],5,FALSE),"")</f>
        <v>3G</v>
      </c>
      <c r="K78" t="str">
        <f>IFERROR(VLOOKUP(Logs_Reseau_Part56[[#This Row],[Cell_ID]],Registre_Maintenance_Part[[ID_Antenne]:[Colonne2]],6,FALSE),"")</f>
        <v>Huawei</v>
      </c>
    </row>
    <row r="79" spans="1:11" x14ac:dyDescent="0.3">
      <c r="A79" s="1">
        <v>45214.943055555559</v>
      </c>
      <c r="B79" s="2">
        <v>45214.943055555559</v>
      </c>
      <c r="C79" t="s">
        <v>925</v>
      </c>
      <c r="D79">
        <v>16</v>
      </c>
      <c r="E79">
        <f>Logs_Reseau_Part56[[#This Row],[Duree_Panne_Min]]/60</f>
        <v>0.26666666666666666</v>
      </c>
      <c r="F79" t="s">
        <v>734</v>
      </c>
      <c r="G79" t="str">
        <f>IFERROR(VLOOKUP(Logs_Reseau_Part56[[#This Row],[Cell_ID]],Registre_Maintenance_Part[[ID_Antenne]:[Colonne2]],2,FALSE),"")</f>
        <v>Haut-Lomami</v>
      </c>
      <c r="H79">
        <f>IFERROR(VLOOKUP(Logs_Reseau_Part56[[#This Row],[Cell_ID]],Registre_Maintenance_Part[[ID_Antenne]:[Colonne2]],3,FALSE),"")</f>
        <v>1.210869</v>
      </c>
      <c r="I79">
        <f>IFERROR(VLOOKUP(Logs_Reseau_Part56[[#This Row],[Cell_ID]],Registre_Maintenance_Part[[ID_Antenne]:[Colonne2]],4,FALSE),"")</f>
        <v>25.598741</v>
      </c>
      <c r="J79" t="str">
        <f>IFERROR(VLOOKUP(Logs_Reseau_Part56[[#This Row],[Cell_ID]],Registre_Maintenance_Part[[ID_Antenne]:[Colonne2]],5,FALSE),"")</f>
        <v>4G</v>
      </c>
      <c r="K79" t="str">
        <f>IFERROR(VLOOKUP(Logs_Reseau_Part56[[#This Row],[Cell_ID]],Registre_Maintenance_Part[[ID_Antenne]:[Colonne2]],6,FALSE),"")</f>
        <v>Ericsson</v>
      </c>
    </row>
    <row r="80" spans="1:11" x14ac:dyDescent="0.3">
      <c r="A80" s="1">
        <v>45217.384722222218</v>
      </c>
      <c r="B80" s="2">
        <v>45217.384722222218</v>
      </c>
      <c r="C80" t="s">
        <v>1136</v>
      </c>
      <c r="D80">
        <v>99</v>
      </c>
      <c r="E80">
        <f>Logs_Reseau_Part56[[#This Row],[Duree_Panne_Min]]/60</f>
        <v>1.65</v>
      </c>
      <c r="F80" t="s">
        <v>737</v>
      </c>
      <c r="G80" t="str">
        <f>IFERROR(VLOOKUP(Logs_Reseau_Part56[[#This Row],[Cell_ID]],Registre_Maintenance_Part[[ID_Antenne]:[Colonne2]],2,FALSE),"")</f>
        <v>Haut-Lomami</v>
      </c>
      <c r="H80">
        <f>IFERROR(VLOOKUP(Logs_Reseau_Part56[[#This Row],[Cell_ID]],Registre_Maintenance_Part[[ID_Antenne]:[Colonne2]],3,FALSE),"")</f>
        <v>-4.8157019999999999</v>
      </c>
      <c r="I80">
        <f>IFERROR(VLOOKUP(Logs_Reseau_Part56[[#This Row],[Cell_ID]],Registre_Maintenance_Part[[ID_Antenne]:[Colonne2]],4,FALSE),"")</f>
        <v>27.679798000000002</v>
      </c>
      <c r="J80" t="str">
        <f>IFERROR(VLOOKUP(Logs_Reseau_Part56[[#This Row],[Cell_ID]],Registre_Maintenance_Part[[ID_Antenne]:[Colonne2]],5,FALSE),"")</f>
        <v>3G</v>
      </c>
      <c r="K80" t="str">
        <f>IFERROR(VLOOKUP(Logs_Reseau_Part56[[#This Row],[Cell_ID]],Registre_Maintenance_Part[[ID_Antenne]:[Colonne2]],6,FALSE),"")</f>
        <v>Ericsson</v>
      </c>
    </row>
    <row r="81" spans="1:11" x14ac:dyDescent="0.3">
      <c r="A81" s="1">
        <v>45220.222916666673</v>
      </c>
      <c r="B81" s="2">
        <v>45220.222916666673</v>
      </c>
      <c r="C81" t="s">
        <v>1273</v>
      </c>
      <c r="D81">
        <v>65</v>
      </c>
      <c r="E81">
        <f>Logs_Reseau_Part56[[#This Row],[Duree_Panne_Min]]/60</f>
        <v>1.0833333333333333</v>
      </c>
      <c r="F81" t="s">
        <v>739</v>
      </c>
      <c r="G81" t="str">
        <f>IFERROR(VLOOKUP(Logs_Reseau_Part56[[#This Row],[Cell_ID]],Registre_Maintenance_Part[[ID_Antenne]:[Colonne2]],2,FALSE),"")</f>
        <v>Haut-Lomami</v>
      </c>
      <c r="H81">
        <f>IFERROR(VLOOKUP(Logs_Reseau_Part56[[#This Row],[Cell_ID]],Registre_Maintenance_Part[[ID_Antenne]:[Colonne2]],3,FALSE),"")</f>
        <v>-1.3938550000000001</v>
      </c>
      <c r="I81">
        <f>IFERROR(VLOOKUP(Logs_Reseau_Part56[[#This Row],[Cell_ID]],Registre_Maintenance_Part[[ID_Antenne]:[Colonne2]],4,FALSE),"")</f>
        <v>15.097554000000001</v>
      </c>
      <c r="J81" t="str">
        <f>IFERROR(VLOOKUP(Logs_Reseau_Part56[[#This Row],[Cell_ID]],Registre_Maintenance_Part[[ID_Antenne]:[Colonne2]],5,FALSE),"")</f>
        <v>4G</v>
      </c>
      <c r="K81" t="str">
        <f>IFERROR(VLOOKUP(Logs_Reseau_Part56[[#This Row],[Cell_ID]],Registre_Maintenance_Part[[ID_Antenne]:[Colonne2]],6,FALSE),"")</f>
        <v>Huawei</v>
      </c>
    </row>
    <row r="82" spans="1:11" x14ac:dyDescent="0.3">
      <c r="A82" s="1">
        <v>45222.777777777781</v>
      </c>
      <c r="B82" s="2">
        <v>45222.777777777781</v>
      </c>
      <c r="C82" t="s">
        <v>1273</v>
      </c>
      <c r="D82">
        <v>102</v>
      </c>
      <c r="E82">
        <f>Logs_Reseau_Part56[[#This Row],[Duree_Panne_Min]]/60</f>
        <v>1.7</v>
      </c>
      <c r="F82" t="s">
        <v>739</v>
      </c>
      <c r="G82" t="str">
        <f>IFERROR(VLOOKUP(Logs_Reseau_Part56[[#This Row],[Cell_ID]],Registre_Maintenance_Part[[ID_Antenne]:[Colonne2]],2,FALSE),"")</f>
        <v>Haut-Lomami</v>
      </c>
      <c r="H82">
        <f>IFERROR(VLOOKUP(Logs_Reseau_Part56[[#This Row],[Cell_ID]],Registre_Maintenance_Part[[ID_Antenne]:[Colonne2]],3,FALSE),"")</f>
        <v>-1.3938550000000001</v>
      </c>
      <c r="I82">
        <f>IFERROR(VLOOKUP(Logs_Reseau_Part56[[#This Row],[Cell_ID]],Registre_Maintenance_Part[[ID_Antenne]:[Colonne2]],4,FALSE),"")</f>
        <v>15.097554000000001</v>
      </c>
      <c r="J82" t="str">
        <f>IFERROR(VLOOKUP(Logs_Reseau_Part56[[#This Row],[Cell_ID]],Registre_Maintenance_Part[[ID_Antenne]:[Colonne2]],5,FALSE),"")</f>
        <v>4G</v>
      </c>
      <c r="K82" t="str">
        <f>IFERROR(VLOOKUP(Logs_Reseau_Part56[[#This Row],[Cell_ID]],Registre_Maintenance_Part[[ID_Antenne]:[Colonne2]],6,FALSE),"")</f>
        <v>Huawei</v>
      </c>
    </row>
    <row r="83" spans="1:11" x14ac:dyDescent="0.3">
      <c r="A83" s="1">
        <v>45222.943749999999</v>
      </c>
      <c r="B83" s="2">
        <v>45222.943749999999</v>
      </c>
      <c r="C83" t="s">
        <v>1380</v>
      </c>
      <c r="D83">
        <v>114</v>
      </c>
      <c r="E83">
        <f>Logs_Reseau_Part56[[#This Row],[Duree_Panne_Min]]/60</f>
        <v>1.9</v>
      </c>
      <c r="F83" t="s">
        <v>734</v>
      </c>
      <c r="G83" t="str">
        <f>IFERROR(VLOOKUP(Logs_Reseau_Part56[[#This Row],[Cell_ID]],Registre_Maintenance_Part[[ID_Antenne]:[Colonne2]],2,FALSE),"")</f>
        <v>Haut-Lomami</v>
      </c>
      <c r="H83">
        <f>IFERROR(VLOOKUP(Logs_Reseau_Part56[[#This Row],[Cell_ID]],Registre_Maintenance_Part[[ID_Antenne]:[Colonne2]],3,FALSE),"")</f>
        <v>-9.6407190000000007</v>
      </c>
      <c r="I83">
        <f>IFERROR(VLOOKUP(Logs_Reseau_Part56[[#This Row],[Cell_ID]],Registre_Maintenance_Part[[ID_Antenne]:[Colonne2]],4,FALSE),"")</f>
        <v>21.336704999999998</v>
      </c>
      <c r="J83" t="str">
        <f>IFERROR(VLOOKUP(Logs_Reseau_Part56[[#This Row],[Cell_ID]],Registre_Maintenance_Part[[ID_Antenne]:[Colonne2]],5,FALSE),"")</f>
        <v>4G</v>
      </c>
      <c r="K83" t="str">
        <f>IFERROR(VLOOKUP(Logs_Reseau_Part56[[#This Row],[Cell_ID]],Registre_Maintenance_Part[[ID_Antenne]:[Colonne2]],6,FALSE),"")</f>
        <v>ZTE</v>
      </c>
    </row>
    <row r="84" spans="1:11" x14ac:dyDescent="0.3">
      <c r="A84" s="1">
        <v>45225.288888888892</v>
      </c>
      <c r="B84" s="2">
        <v>45225.288888888892</v>
      </c>
      <c r="C84" t="s">
        <v>1034</v>
      </c>
      <c r="D84">
        <v>89</v>
      </c>
      <c r="E84">
        <f>Logs_Reseau_Part56[[#This Row],[Duree_Panne_Min]]/60</f>
        <v>1.4833333333333334</v>
      </c>
      <c r="F84" t="s">
        <v>734</v>
      </c>
      <c r="G84" t="str">
        <f>IFERROR(VLOOKUP(Logs_Reseau_Part56[[#This Row],[Cell_ID]],Registre_Maintenance_Part[[ID_Antenne]:[Colonne2]],2,FALSE),"")</f>
        <v>Haut-Lomami</v>
      </c>
      <c r="H84">
        <f>IFERROR(VLOOKUP(Logs_Reseau_Part56[[#This Row],[Cell_ID]],Registre_Maintenance_Part[[ID_Antenne]:[Colonne2]],3,FALSE),"")</f>
        <v>0.16327700000000001</v>
      </c>
      <c r="I84">
        <f>IFERROR(VLOOKUP(Logs_Reseau_Part56[[#This Row],[Cell_ID]],Registre_Maintenance_Part[[ID_Antenne]:[Colonne2]],4,FALSE),"")</f>
        <v>14.871577</v>
      </c>
      <c r="J84" t="str">
        <f>IFERROR(VLOOKUP(Logs_Reseau_Part56[[#This Row],[Cell_ID]],Registre_Maintenance_Part[[ID_Antenne]:[Colonne2]],5,FALSE),"")</f>
        <v>4G</v>
      </c>
      <c r="K84" t="str">
        <f>IFERROR(VLOOKUP(Logs_Reseau_Part56[[#This Row],[Cell_ID]],Registre_Maintenance_Part[[ID_Antenne]:[Colonne2]],6,FALSE),"")</f>
        <v>Huawei</v>
      </c>
    </row>
    <row r="85" spans="1:11" x14ac:dyDescent="0.3">
      <c r="A85" s="1">
        <v>45225.888194444437</v>
      </c>
      <c r="B85" s="2">
        <v>45225.888194444437</v>
      </c>
      <c r="C85" t="s">
        <v>1413</v>
      </c>
      <c r="D85">
        <v>87</v>
      </c>
      <c r="E85">
        <f>Logs_Reseau_Part56[[#This Row],[Duree_Panne_Min]]/60</f>
        <v>1.45</v>
      </c>
      <c r="F85" t="s">
        <v>739</v>
      </c>
      <c r="G85" t="str">
        <f>IFERROR(VLOOKUP(Logs_Reseau_Part56[[#This Row],[Cell_ID]],Registre_Maintenance_Part[[ID_Antenne]:[Colonne2]],2,FALSE),"")</f>
        <v>Haut-Lomami</v>
      </c>
      <c r="H85">
        <f>IFERROR(VLOOKUP(Logs_Reseau_Part56[[#This Row],[Cell_ID]],Registre_Maintenance_Part[[ID_Antenne]:[Colonne2]],3,FALSE),"")</f>
        <v>-5.8145569999999998</v>
      </c>
      <c r="I85">
        <f>IFERROR(VLOOKUP(Logs_Reseau_Part56[[#This Row],[Cell_ID]],Registre_Maintenance_Part[[ID_Antenne]:[Colonne2]],4,FALSE),"")</f>
        <v>21.942052</v>
      </c>
      <c r="J85" t="str">
        <f>IFERROR(VLOOKUP(Logs_Reseau_Part56[[#This Row],[Cell_ID]],Registre_Maintenance_Part[[ID_Antenne]:[Colonne2]],5,FALSE),"")</f>
        <v>5G</v>
      </c>
      <c r="K85" t="str">
        <f>IFERROR(VLOOKUP(Logs_Reseau_Part56[[#This Row],[Cell_ID]],Registre_Maintenance_Part[[ID_Antenne]:[Colonne2]],6,FALSE),"")</f>
        <v>Huawei</v>
      </c>
    </row>
    <row r="86" spans="1:11" x14ac:dyDescent="0.3">
      <c r="A86" s="1">
        <v>45227.297222222223</v>
      </c>
      <c r="B86" s="2">
        <v>45227.297222222223</v>
      </c>
      <c r="C86" t="s">
        <v>1339</v>
      </c>
      <c r="D86">
        <v>92</v>
      </c>
      <c r="E86">
        <f>Logs_Reseau_Part56[[#This Row],[Duree_Panne_Min]]/60</f>
        <v>1.5333333333333334</v>
      </c>
      <c r="F86" t="s">
        <v>739</v>
      </c>
      <c r="G86" t="str">
        <f>IFERROR(VLOOKUP(Logs_Reseau_Part56[[#This Row],[Cell_ID]],Registre_Maintenance_Part[[ID_Antenne]:[Colonne2]],2,FALSE),"")</f>
        <v>Haut-Lomami</v>
      </c>
      <c r="H86">
        <f>IFERROR(VLOOKUP(Logs_Reseau_Part56[[#This Row],[Cell_ID]],Registre_Maintenance_Part[[ID_Antenne]:[Colonne2]],3,FALSE),"")</f>
        <v>-5.5559329999999996</v>
      </c>
      <c r="I86">
        <f>IFERROR(VLOOKUP(Logs_Reseau_Part56[[#This Row],[Cell_ID]],Registre_Maintenance_Part[[ID_Antenne]:[Colonne2]],4,FALSE),"")</f>
        <v>13.508692999999999</v>
      </c>
      <c r="J86" t="str">
        <f>IFERROR(VLOOKUP(Logs_Reseau_Part56[[#This Row],[Cell_ID]],Registre_Maintenance_Part[[ID_Antenne]:[Colonne2]],5,FALSE),"")</f>
        <v>3G</v>
      </c>
      <c r="K86" t="str">
        <f>IFERROR(VLOOKUP(Logs_Reseau_Part56[[#This Row],[Cell_ID]],Registre_Maintenance_Part[[ID_Antenne]:[Colonne2]],6,FALSE),"")</f>
        <v>Nokia</v>
      </c>
    </row>
    <row r="87" spans="1:11" x14ac:dyDescent="0.3">
      <c r="A87" s="1">
        <v>45202.529166666667</v>
      </c>
      <c r="B87" s="2">
        <v>45202.529166666667</v>
      </c>
      <c r="C87" t="s">
        <v>1141</v>
      </c>
      <c r="D87">
        <v>109</v>
      </c>
      <c r="E87">
        <f>Logs_Reseau_Part56[[#This Row],[Duree_Panne_Min]]/60</f>
        <v>1.8166666666666667</v>
      </c>
      <c r="F87" t="s">
        <v>737</v>
      </c>
      <c r="G87" t="str">
        <f>IFERROR(VLOOKUP(Logs_Reseau_Part56[[#This Row],[Cell_ID]],Registre_Maintenance_Part[[ID_Antenne]:[Colonne2]],2,FALSE),"")</f>
        <v>Haut-Uele</v>
      </c>
      <c r="H87">
        <f>IFERROR(VLOOKUP(Logs_Reseau_Part56[[#This Row],[Cell_ID]],Registre_Maintenance_Part[[ID_Antenne]:[Colonne2]],3,FALSE),"")</f>
        <v>-7.1483749999999997</v>
      </c>
      <c r="I87">
        <f>IFERROR(VLOOKUP(Logs_Reseau_Part56[[#This Row],[Cell_ID]],Registre_Maintenance_Part[[ID_Antenne]:[Colonne2]],4,FALSE),"")</f>
        <v>26.014271000000001</v>
      </c>
      <c r="J87" t="str">
        <f>IFERROR(VLOOKUP(Logs_Reseau_Part56[[#This Row],[Cell_ID]],Registre_Maintenance_Part[[ID_Antenne]:[Colonne2]],5,FALSE),"")</f>
        <v>5G</v>
      </c>
      <c r="K87" t="str">
        <f>IFERROR(VLOOKUP(Logs_Reseau_Part56[[#This Row],[Cell_ID]],Registre_Maintenance_Part[[ID_Antenne]:[Colonne2]],6,FALSE),"")</f>
        <v>Huawei</v>
      </c>
    </row>
    <row r="88" spans="1:11" x14ac:dyDescent="0.3">
      <c r="A88" s="1">
        <v>45202.804166666669</v>
      </c>
      <c r="B88" s="2">
        <v>45202.804166666669</v>
      </c>
      <c r="C88" t="s">
        <v>1204</v>
      </c>
      <c r="D88">
        <v>115</v>
      </c>
      <c r="E88">
        <f>Logs_Reseau_Part56[[#This Row],[Duree_Panne_Min]]/60</f>
        <v>1.9166666666666667</v>
      </c>
      <c r="F88" t="s">
        <v>737</v>
      </c>
      <c r="G88" t="str">
        <f>IFERROR(VLOOKUP(Logs_Reseau_Part56[[#This Row],[Cell_ID]],Registre_Maintenance_Part[[ID_Antenne]:[Colonne2]],2,FALSE),"")</f>
        <v>Haut-Uele</v>
      </c>
      <c r="H88">
        <f>IFERROR(VLOOKUP(Logs_Reseau_Part56[[#This Row],[Cell_ID]],Registre_Maintenance_Part[[ID_Antenne]:[Colonne2]],3,FALSE),"")</f>
        <v>1.2391989999999999</v>
      </c>
      <c r="I88">
        <f>IFERROR(VLOOKUP(Logs_Reseau_Part56[[#This Row],[Cell_ID]],Registre_Maintenance_Part[[ID_Antenne]:[Colonne2]],4,FALSE),"")</f>
        <v>15.386718999999999</v>
      </c>
      <c r="J88" t="str">
        <f>IFERROR(VLOOKUP(Logs_Reseau_Part56[[#This Row],[Cell_ID]],Registre_Maintenance_Part[[ID_Antenne]:[Colonne2]],5,FALSE),"")</f>
        <v>5G</v>
      </c>
      <c r="K88" t="str">
        <f>IFERROR(VLOOKUP(Logs_Reseau_Part56[[#This Row],[Cell_ID]],Registre_Maintenance_Part[[ID_Antenne]:[Colonne2]],6,FALSE),"")</f>
        <v>ZTE</v>
      </c>
    </row>
    <row r="89" spans="1:11" x14ac:dyDescent="0.3">
      <c r="A89" s="1">
        <v>45204.986111111109</v>
      </c>
      <c r="B89" s="2">
        <v>45204.986111111109</v>
      </c>
      <c r="C89" t="s">
        <v>1014</v>
      </c>
      <c r="D89">
        <v>76</v>
      </c>
      <c r="E89">
        <f>Logs_Reseau_Part56[[#This Row],[Duree_Panne_Min]]/60</f>
        <v>1.2666666666666666</v>
      </c>
      <c r="F89" t="s">
        <v>737</v>
      </c>
      <c r="G89" t="str">
        <f>IFERROR(VLOOKUP(Logs_Reseau_Part56[[#This Row],[Cell_ID]],Registre_Maintenance_Part[[ID_Antenne]:[Colonne2]],2,FALSE),"")</f>
        <v>Haut-Uele</v>
      </c>
      <c r="H89">
        <f>IFERROR(VLOOKUP(Logs_Reseau_Part56[[#This Row],[Cell_ID]],Registre_Maintenance_Part[[ID_Antenne]:[Colonne2]],3,FALSE),"")</f>
        <v>-4.869434</v>
      </c>
      <c r="I89">
        <f>IFERROR(VLOOKUP(Logs_Reseau_Part56[[#This Row],[Cell_ID]],Registre_Maintenance_Part[[ID_Antenne]:[Colonne2]],4,FALSE),"")</f>
        <v>22.326522000000001</v>
      </c>
      <c r="J89" t="str">
        <f>IFERROR(VLOOKUP(Logs_Reseau_Part56[[#This Row],[Cell_ID]],Registre_Maintenance_Part[[ID_Antenne]:[Colonne2]],5,FALSE),"")</f>
        <v>5G</v>
      </c>
      <c r="K89" t="str">
        <f>IFERROR(VLOOKUP(Logs_Reseau_Part56[[#This Row],[Cell_ID]],Registre_Maintenance_Part[[ID_Antenne]:[Colonne2]],6,FALSE),"")</f>
        <v>Ericsson</v>
      </c>
    </row>
    <row r="90" spans="1:11" x14ac:dyDescent="0.3">
      <c r="A90" s="1">
        <v>45205.474305555559</v>
      </c>
      <c r="B90" s="2">
        <v>45205.474305555559</v>
      </c>
      <c r="C90" t="s">
        <v>1039</v>
      </c>
      <c r="D90">
        <v>25</v>
      </c>
      <c r="E90">
        <f>Logs_Reseau_Part56[[#This Row],[Duree_Panne_Min]]/60</f>
        <v>0.41666666666666669</v>
      </c>
      <c r="F90" t="s">
        <v>734</v>
      </c>
      <c r="G90" t="str">
        <f>IFERROR(VLOOKUP(Logs_Reseau_Part56[[#This Row],[Cell_ID]],Registre_Maintenance_Part[[ID_Antenne]:[Colonne2]],2,FALSE),"")</f>
        <v>Haut-Uele</v>
      </c>
      <c r="H90">
        <f>IFERROR(VLOOKUP(Logs_Reseau_Part56[[#This Row],[Cell_ID]],Registre_Maintenance_Part[[ID_Antenne]:[Colonne2]],3,FALSE),"")</f>
        <v>-1.013558</v>
      </c>
      <c r="I90">
        <f>IFERROR(VLOOKUP(Logs_Reseau_Part56[[#This Row],[Cell_ID]],Registre_Maintenance_Part[[ID_Antenne]:[Colonne2]],4,FALSE),"")</f>
        <v>17.346937</v>
      </c>
      <c r="J90" t="str">
        <f>IFERROR(VLOOKUP(Logs_Reseau_Part56[[#This Row],[Cell_ID]],Registre_Maintenance_Part[[ID_Antenne]:[Colonne2]],5,FALSE),"")</f>
        <v>5G</v>
      </c>
      <c r="K90" t="str">
        <f>IFERROR(VLOOKUP(Logs_Reseau_Part56[[#This Row],[Cell_ID]],Registre_Maintenance_Part[[ID_Antenne]:[Colonne2]],6,FALSE),"")</f>
        <v>Huawei</v>
      </c>
    </row>
    <row r="91" spans="1:11" x14ac:dyDescent="0.3">
      <c r="A91" s="1">
        <v>45205.830555555563</v>
      </c>
      <c r="B91" s="2">
        <v>45205.830555555563</v>
      </c>
      <c r="C91" t="s">
        <v>1326</v>
      </c>
      <c r="D91">
        <v>52</v>
      </c>
      <c r="E91">
        <f>Logs_Reseau_Part56[[#This Row],[Duree_Panne_Min]]/60</f>
        <v>0.8666666666666667</v>
      </c>
      <c r="F91" t="s">
        <v>734</v>
      </c>
      <c r="G91" t="str">
        <f>IFERROR(VLOOKUP(Logs_Reseau_Part56[[#This Row],[Cell_ID]],Registre_Maintenance_Part[[ID_Antenne]:[Colonne2]],2,FALSE),"")</f>
        <v>Haut-Uele</v>
      </c>
      <c r="H91">
        <f>IFERROR(VLOOKUP(Logs_Reseau_Part56[[#This Row],[Cell_ID]],Registre_Maintenance_Part[[ID_Antenne]:[Colonne2]],3,FALSE),"")</f>
        <v>-2.2199559999999998</v>
      </c>
      <c r="I91">
        <f>IFERROR(VLOOKUP(Logs_Reseau_Part56[[#This Row],[Cell_ID]],Registre_Maintenance_Part[[ID_Antenne]:[Colonne2]],4,FALSE),"")</f>
        <v>22.614449</v>
      </c>
      <c r="J91" t="str">
        <f>IFERROR(VLOOKUP(Logs_Reseau_Part56[[#This Row],[Cell_ID]],Registre_Maintenance_Part[[ID_Antenne]:[Colonne2]],5,FALSE),"")</f>
        <v>3G</v>
      </c>
      <c r="K91" t="str">
        <f>IFERROR(VLOOKUP(Logs_Reseau_Part56[[#This Row],[Cell_ID]],Registre_Maintenance_Part[[ID_Antenne]:[Colonne2]],6,FALSE),"")</f>
        <v>Nokia</v>
      </c>
    </row>
    <row r="92" spans="1:11" x14ac:dyDescent="0.3">
      <c r="A92" s="1">
        <v>45206.563888888893</v>
      </c>
      <c r="B92" s="2">
        <v>45206.563888888893</v>
      </c>
      <c r="C92" t="s">
        <v>1130</v>
      </c>
      <c r="D92">
        <v>37</v>
      </c>
      <c r="E92">
        <f>Logs_Reseau_Part56[[#This Row],[Duree_Panne_Min]]/60</f>
        <v>0.6166666666666667</v>
      </c>
      <c r="F92" t="s">
        <v>734</v>
      </c>
      <c r="G92" t="str">
        <f>IFERROR(VLOOKUP(Logs_Reseau_Part56[[#This Row],[Cell_ID]],Registre_Maintenance_Part[[ID_Antenne]:[Colonne2]],2,FALSE),"")</f>
        <v>Haut-Uele</v>
      </c>
      <c r="H92">
        <f>IFERROR(VLOOKUP(Logs_Reseau_Part56[[#This Row],[Cell_ID]],Registre_Maintenance_Part[[ID_Antenne]:[Colonne2]],3,FALSE),"")</f>
        <v>0.20866199999999999</v>
      </c>
      <c r="I92">
        <f>IFERROR(VLOOKUP(Logs_Reseau_Part56[[#This Row],[Cell_ID]],Registre_Maintenance_Part[[ID_Antenne]:[Colonne2]],4,FALSE),"")</f>
        <v>18.556439000000001</v>
      </c>
      <c r="J92" t="str">
        <f>IFERROR(VLOOKUP(Logs_Reseau_Part56[[#This Row],[Cell_ID]],Registre_Maintenance_Part[[ID_Antenne]:[Colonne2]],5,FALSE),"")</f>
        <v>4G</v>
      </c>
      <c r="K92" t="str">
        <f>IFERROR(VLOOKUP(Logs_Reseau_Part56[[#This Row],[Cell_ID]],Registre_Maintenance_Part[[ID_Antenne]:[Colonne2]],6,FALSE),"")</f>
        <v>Nokia</v>
      </c>
    </row>
    <row r="93" spans="1:11" x14ac:dyDescent="0.3">
      <c r="A93" s="1">
        <v>45210.689583333333</v>
      </c>
      <c r="B93" s="2">
        <v>45210.689583333333</v>
      </c>
      <c r="C93" t="s">
        <v>1014</v>
      </c>
      <c r="D93">
        <v>16</v>
      </c>
      <c r="E93">
        <f>Logs_Reseau_Part56[[#This Row],[Duree_Panne_Min]]/60</f>
        <v>0.26666666666666666</v>
      </c>
      <c r="F93" t="s">
        <v>734</v>
      </c>
      <c r="G93" t="str">
        <f>IFERROR(VLOOKUP(Logs_Reseau_Part56[[#This Row],[Cell_ID]],Registre_Maintenance_Part[[ID_Antenne]:[Colonne2]],2,FALSE),"")</f>
        <v>Haut-Uele</v>
      </c>
      <c r="H93">
        <f>IFERROR(VLOOKUP(Logs_Reseau_Part56[[#This Row],[Cell_ID]],Registre_Maintenance_Part[[ID_Antenne]:[Colonne2]],3,FALSE),"")</f>
        <v>-4.869434</v>
      </c>
      <c r="I93">
        <f>IFERROR(VLOOKUP(Logs_Reseau_Part56[[#This Row],[Cell_ID]],Registre_Maintenance_Part[[ID_Antenne]:[Colonne2]],4,FALSE),"")</f>
        <v>22.326522000000001</v>
      </c>
      <c r="J93" t="str">
        <f>IFERROR(VLOOKUP(Logs_Reseau_Part56[[#This Row],[Cell_ID]],Registre_Maintenance_Part[[ID_Antenne]:[Colonne2]],5,FALSE),"")</f>
        <v>5G</v>
      </c>
      <c r="K93" t="str">
        <f>IFERROR(VLOOKUP(Logs_Reseau_Part56[[#This Row],[Cell_ID]],Registre_Maintenance_Part[[ID_Antenne]:[Colonne2]],6,FALSE),"")</f>
        <v>Ericsson</v>
      </c>
    </row>
    <row r="94" spans="1:11" x14ac:dyDescent="0.3">
      <c r="A94" s="1">
        <v>45211.722916666673</v>
      </c>
      <c r="B94" s="2">
        <v>45211.722916666673</v>
      </c>
      <c r="C94" t="s">
        <v>1077</v>
      </c>
      <c r="D94">
        <v>28</v>
      </c>
      <c r="E94">
        <f>Logs_Reseau_Part56[[#This Row],[Duree_Panne_Min]]/60</f>
        <v>0.46666666666666667</v>
      </c>
      <c r="F94" t="s">
        <v>734</v>
      </c>
      <c r="G94" t="str">
        <f>IFERROR(VLOOKUP(Logs_Reseau_Part56[[#This Row],[Cell_ID]],Registre_Maintenance_Part[[ID_Antenne]:[Colonne2]],2,FALSE),"")</f>
        <v>Haut-Uele</v>
      </c>
      <c r="H94">
        <f>IFERROR(VLOOKUP(Logs_Reseau_Part56[[#This Row],[Cell_ID]],Registre_Maintenance_Part[[ID_Antenne]:[Colonne2]],3,FALSE),"")</f>
        <v>-6.9624990000000002</v>
      </c>
      <c r="I94">
        <f>IFERROR(VLOOKUP(Logs_Reseau_Part56[[#This Row],[Cell_ID]],Registre_Maintenance_Part[[ID_Antenne]:[Colonne2]],4,FALSE),"")</f>
        <v>20.759834999999999</v>
      </c>
      <c r="J94" t="str">
        <f>IFERROR(VLOOKUP(Logs_Reseau_Part56[[#This Row],[Cell_ID]],Registre_Maintenance_Part[[ID_Antenne]:[Colonne2]],5,FALSE),"")</f>
        <v>4G</v>
      </c>
      <c r="K94" t="str">
        <f>IFERROR(VLOOKUP(Logs_Reseau_Part56[[#This Row],[Cell_ID]],Registre_Maintenance_Part[[ID_Antenne]:[Colonne2]],6,FALSE),"")</f>
        <v>Huawei</v>
      </c>
    </row>
    <row r="95" spans="1:11" x14ac:dyDescent="0.3">
      <c r="A95" s="1">
        <v>45211.888888888891</v>
      </c>
      <c r="B95" s="2">
        <v>45211.888888888891</v>
      </c>
      <c r="C95" t="s">
        <v>1141</v>
      </c>
      <c r="D95">
        <v>87</v>
      </c>
      <c r="E95">
        <f>Logs_Reseau_Part56[[#This Row],[Duree_Panne_Min]]/60</f>
        <v>1.45</v>
      </c>
      <c r="F95" t="s">
        <v>737</v>
      </c>
      <c r="G95" t="str">
        <f>IFERROR(VLOOKUP(Logs_Reseau_Part56[[#This Row],[Cell_ID]],Registre_Maintenance_Part[[ID_Antenne]:[Colonne2]],2,FALSE),"")</f>
        <v>Haut-Uele</v>
      </c>
      <c r="H95">
        <f>IFERROR(VLOOKUP(Logs_Reseau_Part56[[#This Row],[Cell_ID]],Registre_Maintenance_Part[[ID_Antenne]:[Colonne2]],3,FALSE),"")</f>
        <v>-7.1483749999999997</v>
      </c>
      <c r="I95">
        <f>IFERROR(VLOOKUP(Logs_Reseau_Part56[[#This Row],[Cell_ID]],Registre_Maintenance_Part[[ID_Antenne]:[Colonne2]],4,FALSE),"")</f>
        <v>26.014271000000001</v>
      </c>
      <c r="J95" t="str">
        <f>IFERROR(VLOOKUP(Logs_Reseau_Part56[[#This Row],[Cell_ID]],Registre_Maintenance_Part[[ID_Antenne]:[Colonne2]],5,FALSE),"")</f>
        <v>5G</v>
      </c>
      <c r="K95" t="str">
        <f>IFERROR(VLOOKUP(Logs_Reseau_Part56[[#This Row],[Cell_ID]],Registre_Maintenance_Part[[ID_Antenne]:[Colonne2]],6,FALSE),"")</f>
        <v>Huawei</v>
      </c>
    </row>
    <row r="96" spans="1:11" x14ac:dyDescent="0.3">
      <c r="A96" s="1">
        <v>45212.599305555559</v>
      </c>
      <c r="B96" s="2">
        <v>45212.599305555559</v>
      </c>
      <c r="C96" t="s">
        <v>883</v>
      </c>
      <c r="D96">
        <v>58</v>
      </c>
      <c r="E96">
        <f>Logs_Reseau_Part56[[#This Row],[Duree_Panne_Min]]/60</f>
        <v>0.96666666666666667</v>
      </c>
      <c r="F96" t="s">
        <v>737</v>
      </c>
      <c r="G96" t="str">
        <f>IFERROR(VLOOKUP(Logs_Reseau_Part56[[#This Row],[Cell_ID]],Registre_Maintenance_Part[[ID_Antenne]:[Colonne2]],2,FALSE),"")</f>
        <v>Haut-Uele</v>
      </c>
      <c r="H96">
        <f>IFERROR(VLOOKUP(Logs_Reseau_Part56[[#This Row],[Cell_ID]],Registre_Maintenance_Part[[ID_Antenne]:[Colonne2]],3,FALSE),"")</f>
        <v>-1.8045979999999999</v>
      </c>
      <c r="I96">
        <f>IFERROR(VLOOKUP(Logs_Reseau_Part56[[#This Row],[Cell_ID]],Registre_Maintenance_Part[[ID_Antenne]:[Colonne2]],4,FALSE),"")</f>
        <v>12.511096999999999</v>
      </c>
      <c r="J96" t="str">
        <f>IFERROR(VLOOKUP(Logs_Reseau_Part56[[#This Row],[Cell_ID]],Registre_Maintenance_Part[[ID_Antenne]:[Colonne2]],5,FALSE),"")</f>
        <v>3G</v>
      </c>
      <c r="K96" t="str">
        <f>IFERROR(VLOOKUP(Logs_Reseau_Part56[[#This Row],[Cell_ID]],Registre_Maintenance_Part[[ID_Antenne]:[Colonne2]],6,FALSE),"")</f>
        <v>Huawei</v>
      </c>
    </row>
    <row r="97" spans="1:11" x14ac:dyDescent="0.3">
      <c r="A97" s="1">
        <v>45217.627083333333</v>
      </c>
      <c r="B97" s="2">
        <v>45217.627083333333</v>
      </c>
      <c r="C97" t="s">
        <v>883</v>
      </c>
      <c r="D97">
        <v>33</v>
      </c>
      <c r="E97">
        <f>Logs_Reseau_Part56[[#This Row],[Duree_Panne_Min]]/60</f>
        <v>0.55000000000000004</v>
      </c>
      <c r="F97" t="s">
        <v>734</v>
      </c>
      <c r="G97" t="str">
        <f>IFERROR(VLOOKUP(Logs_Reseau_Part56[[#This Row],[Cell_ID]],Registre_Maintenance_Part[[ID_Antenne]:[Colonne2]],2,FALSE),"")</f>
        <v>Haut-Uele</v>
      </c>
      <c r="H97">
        <f>IFERROR(VLOOKUP(Logs_Reseau_Part56[[#This Row],[Cell_ID]],Registre_Maintenance_Part[[ID_Antenne]:[Colonne2]],3,FALSE),"")</f>
        <v>-1.8045979999999999</v>
      </c>
      <c r="I97">
        <f>IFERROR(VLOOKUP(Logs_Reseau_Part56[[#This Row],[Cell_ID]],Registre_Maintenance_Part[[ID_Antenne]:[Colonne2]],4,FALSE),"")</f>
        <v>12.511096999999999</v>
      </c>
      <c r="J97" t="str">
        <f>IFERROR(VLOOKUP(Logs_Reseau_Part56[[#This Row],[Cell_ID]],Registre_Maintenance_Part[[ID_Antenne]:[Colonne2]],5,FALSE),"")</f>
        <v>3G</v>
      </c>
      <c r="K97" t="str">
        <f>IFERROR(VLOOKUP(Logs_Reseau_Part56[[#This Row],[Cell_ID]],Registre_Maintenance_Part[[ID_Antenne]:[Colonne2]],6,FALSE),"")</f>
        <v>Huawei</v>
      </c>
    </row>
    <row r="98" spans="1:11" x14ac:dyDescent="0.3">
      <c r="A98" s="1">
        <v>45217.755555555559</v>
      </c>
      <c r="B98" s="2">
        <v>45217.755555555559</v>
      </c>
      <c r="C98" t="s">
        <v>1249</v>
      </c>
      <c r="D98">
        <v>100</v>
      </c>
      <c r="E98">
        <f>Logs_Reseau_Part56[[#This Row],[Duree_Panne_Min]]/60</f>
        <v>1.6666666666666667</v>
      </c>
      <c r="F98" t="s">
        <v>734</v>
      </c>
      <c r="G98" t="str">
        <f>IFERROR(VLOOKUP(Logs_Reseau_Part56[[#This Row],[Cell_ID]],Registre_Maintenance_Part[[ID_Antenne]:[Colonne2]],2,FALSE),"")</f>
        <v>Haut-Uele</v>
      </c>
      <c r="H98">
        <f>IFERROR(VLOOKUP(Logs_Reseau_Part56[[#This Row],[Cell_ID]],Registre_Maintenance_Part[[ID_Antenne]:[Colonne2]],3,FALSE),"")</f>
        <v>-3.003879</v>
      </c>
      <c r="I98">
        <f>IFERROR(VLOOKUP(Logs_Reseau_Part56[[#This Row],[Cell_ID]],Registre_Maintenance_Part[[ID_Antenne]:[Colonne2]],4,FALSE),"")</f>
        <v>23.633893</v>
      </c>
      <c r="J98" t="str">
        <f>IFERROR(VLOOKUP(Logs_Reseau_Part56[[#This Row],[Cell_ID]],Registre_Maintenance_Part[[ID_Antenne]:[Colonne2]],5,FALSE),"")</f>
        <v>5G</v>
      </c>
      <c r="K98" t="str">
        <f>IFERROR(VLOOKUP(Logs_Reseau_Part56[[#This Row],[Cell_ID]],Registre_Maintenance_Part[[ID_Antenne]:[Colonne2]],6,FALSE),"")</f>
        <v>Ericsson</v>
      </c>
    </row>
    <row r="99" spans="1:11" x14ac:dyDescent="0.3">
      <c r="A99" s="1">
        <v>45218.270138888889</v>
      </c>
      <c r="B99" s="2">
        <v>45218.270138888889</v>
      </c>
      <c r="C99" t="s">
        <v>883</v>
      </c>
      <c r="D99">
        <v>40</v>
      </c>
      <c r="E99">
        <f>Logs_Reseau_Part56[[#This Row],[Duree_Panne_Min]]/60</f>
        <v>0.66666666666666663</v>
      </c>
      <c r="F99" t="s">
        <v>737</v>
      </c>
      <c r="G99" t="str">
        <f>IFERROR(VLOOKUP(Logs_Reseau_Part56[[#This Row],[Cell_ID]],Registre_Maintenance_Part[[ID_Antenne]:[Colonne2]],2,FALSE),"")</f>
        <v>Haut-Uele</v>
      </c>
      <c r="H99">
        <f>IFERROR(VLOOKUP(Logs_Reseau_Part56[[#This Row],[Cell_ID]],Registre_Maintenance_Part[[ID_Antenne]:[Colonne2]],3,FALSE),"")</f>
        <v>-1.8045979999999999</v>
      </c>
      <c r="I99">
        <f>IFERROR(VLOOKUP(Logs_Reseau_Part56[[#This Row],[Cell_ID]],Registre_Maintenance_Part[[ID_Antenne]:[Colonne2]],4,FALSE),"")</f>
        <v>12.511096999999999</v>
      </c>
      <c r="J99" t="str">
        <f>IFERROR(VLOOKUP(Logs_Reseau_Part56[[#This Row],[Cell_ID]],Registre_Maintenance_Part[[ID_Antenne]:[Colonne2]],5,FALSE),"")</f>
        <v>3G</v>
      </c>
      <c r="K99" t="str">
        <f>IFERROR(VLOOKUP(Logs_Reseau_Part56[[#This Row],[Cell_ID]],Registre_Maintenance_Part[[ID_Antenne]:[Colonne2]],6,FALSE),"")</f>
        <v>Huawei</v>
      </c>
    </row>
    <row r="100" spans="1:11" x14ac:dyDescent="0.3">
      <c r="A100" s="1">
        <v>45219.527083333327</v>
      </c>
      <c r="B100" s="2">
        <v>45219.527083333327</v>
      </c>
      <c r="C100" t="s">
        <v>1141</v>
      </c>
      <c r="D100">
        <v>95</v>
      </c>
      <c r="E100">
        <f>Logs_Reseau_Part56[[#This Row],[Duree_Panne_Min]]/60</f>
        <v>1.5833333333333333</v>
      </c>
      <c r="F100" t="s">
        <v>734</v>
      </c>
      <c r="G100" t="str">
        <f>IFERROR(VLOOKUP(Logs_Reseau_Part56[[#This Row],[Cell_ID]],Registre_Maintenance_Part[[ID_Antenne]:[Colonne2]],2,FALSE),"")</f>
        <v>Haut-Uele</v>
      </c>
      <c r="H100">
        <f>IFERROR(VLOOKUP(Logs_Reseau_Part56[[#This Row],[Cell_ID]],Registre_Maintenance_Part[[ID_Antenne]:[Colonne2]],3,FALSE),"")</f>
        <v>-7.1483749999999997</v>
      </c>
      <c r="I100">
        <f>IFERROR(VLOOKUP(Logs_Reseau_Part56[[#This Row],[Cell_ID]],Registre_Maintenance_Part[[ID_Antenne]:[Colonne2]],4,FALSE),"")</f>
        <v>26.014271000000001</v>
      </c>
      <c r="J100" t="str">
        <f>IFERROR(VLOOKUP(Logs_Reseau_Part56[[#This Row],[Cell_ID]],Registre_Maintenance_Part[[ID_Antenne]:[Colonne2]],5,FALSE),"")</f>
        <v>5G</v>
      </c>
      <c r="K100" t="str">
        <f>IFERROR(VLOOKUP(Logs_Reseau_Part56[[#This Row],[Cell_ID]],Registre_Maintenance_Part[[ID_Antenne]:[Colonne2]],6,FALSE),"")</f>
        <v>Huawei</v>
      </c>
    </row>
    <row r="101" spans="1:11" x14ac:dyDescent="0.3">
      <c r="A101" s="1">
        <v>45221.647916666669</v>
      </c>
      <c r="B101" s="2">
        <v>45221.647916666669</v>
      </c>
      <c r="C101" t="s">
        <v>1238</v>
      </c>
      <c r="D101">
        <v>67</v>
      </c>
      <c r="E101">
        <f>Logs_Reseau_Part56[[#This Row],[Duree_Panne_Min]]/60</f>
        <v>1.1166666666666667</v>
      </c>
      <c r="F101" t="s">
        <v>734</v>
      </c>
      <c r="G101" t="str">
        <f>IFERROR(VLOOKUP(Logs_Reseau_Part56[[#This Row],[Cell_ID]],Registre_Maintenance_Part[[ID_Antenne]:[Colonne2]],2,FALSE),"")</f>
        <v>Haut-Uele</v>
      </c>
      <c r="H101">
        <f>IFERROR(VLOOKUP(Logs_Reseau_Part56[[#This Row],[Cell_ID]],Registre_Maintenance_Part[[ID_Antenne]:[Colonne2]],3,FALSE),"")</f>
        <v>-11.924048000000001</v>
      </c>
      <c r="I101">
        <f>IFERROR(VLOOKUP(Logs_Reseau_Part56[[#This Row],[Cell_ID]],Registre_Maintenance_Part[[ID_Antenne]:[Colonne2]],4,FALSE),"")</f>
        <v>24.177174999999998</v>
      </c>
      <c r="J101" t="str">
        <f>IFERROR(VLOOKUP(Logs_Reseau_Part56[[#This Row],[Cell_ID]],Registre_Maintenance_Part[[ID_Antenne]:[Colonne2]],5,FALSE),"")</f>
        <v>3G</v>
      </c>
      <c r="K101" t="str">
        <f>IFERROR(VLOOKUP(Logs_Reseau_Part56[[#This Row],[Cell_ID]],Registre_Maintenance_Part[[ID_Antenne]:[Colonne2]],6,FALSE),"")</f>
        <v>Nokia</v>
      </c>
    </row>
    <row r="102" spans="1:11" x14ac:dyDescent="0.3">
      <c r="A102" s="1">
        <v>45222.479166666657</v>
      </c>
      <c r="B102" s="2">
        <v>45222.479166666657</v>
      </c>
      <c r="C102" t="s">
        <v>1307</v>
      </c>
      <c r="D102">
        <v>112</v>
      </c>
      <c r="E102">
        <f>Logs_Reseau_Part56[[#This Row],[Duree_Panne_Min]]/60</f>
        <v>1.8666666666666667</v>
      </c>
      <c r="F102" t="s">
        <v>737</v>
      </c>
      <c r="G102" t="str">
        <f>IFERROR(VLOOKUP(Logs_Reseau_Part56[[#This Row],[Cell_ID]],Registre_Maintenance_Part[[ID_Antenne]:[Colonne2]],2,FALSE),"")</f>
        <v>Haut-Uele</v>
      </c>
      <c r="H102">
        <f>IFERROR(VLOOKUP(Logs_Reseau_Part56[[#This Row],[Cell_ID]],Registre_Maintenance_Part[[ID_Antenne]:[Colonne2]],3,FALSE),"")</f>
        <v>-8.8118569999999998</v>
      </c>
      <c r="I102">
        <f>IFERROR(VLOOKUP(Logs_Reseau_Part56[[#This Row],[Cell_ID]],Registre_Maintenance_Part[[ID_Antenne]:[Colonne2]],4,FALSE),"")</f>
        <v>14.465711000000001</v>
      </c>
      <c r="J102" t="str">
        <f>IFERROR(VLOOKUP(Logs_Reseau_Part56[[#This Row],[Cell_ID]],Registre_Maintenance_Part[[ID_Antenne]:[Colonne2]],5,FALSE),"")</f>
        <v>5G</v>
      </c>
      <c r="K102" t="str">
        <f>IFERROR(VLOOKUP(Logs_Reseau_Part56[[#This Row],[Cell_ID]],Registre_Maintenance_Part[[ID_Antenne]:[Colonne2]],6,FALSE),"")</f>
        <v>Nokia</v>
      </c>
    </row>
    <row r="103" spans="1:11" x14ac:dyDescent="0.3">
      <c r="A103" s="1">
        <v>45223.794444444437</v>
      </c>
      <c r="B103" s="2">
        <v>45223.794444444437</v>
      </c>
      <c r="C103" t="s">
        <v>1409</v>
      </c>
      <c r="D103">
        <v>97</v>
      </c>
      <c r="E103">
        <f>Logs_Reseau_Part56[[#This Row],[Duree_Panne_Min]]/60</f>
        <v>1.6166666666666667</v>
      </c>
      <c r="F103" t="s">
        <v>734</v>
      </c>
      <c r="G103" t="str">
        <f>IFERROR(VLOOKUP(Logs_Reseau_Part56[[#This Row],[Cell_ID]],Registre_Maintenance_Part[[ID_Antenne]:[Colonne2]],2,FALSE),"")</f>
        <v>Haut-Uele</v>
      </c>
      <c r="H103">
        <f>IFERROR(VLOOKUP(Logs_Reseau_Part56[[#This Row],[Cell_ID]],Registre_Maintenance_Part[[ID_Antenne]:[Colonne2]],3,FALSE),"")</f>
        <v>1.0134879999999999</v>
      </c>
      <c r="I103">
        <f>IFERROR(VLOOKUP(Logs_Reseau_Part56[[#This Row],[Cell_ID]],Registre_Maintenance_Part[[ID_Antenne]:[Colonne2]],4,FALSE),"")</f>
        <v>20.363515</v>
      </c>
      <c r="J103" t="str">
        <f>IFERROR(VLOOKUP(Logs_Reseau_Part56[[#This Row],[Cell_ID]],Registre_Maintenance_Part[[ID_Antenne]:[Colonne2]],5,FALSE),"")</f>
        <v>4G</v>
      </c>
      <c r="K103" t="str">
        <f>IFERROR(VLOOKUP(Logs_Reseau_Part56[[#This Row],[Cell_ID]],Registre_Maintenance_Part[[ID_Antenne]:[Colonne2]],6,FALSE),"")</f>
        <v>Nokia</v>
      </c>
    </row>
    <row r="104" spans="1:11" x14ac:dyDescent="0.3">
      <c r="A104" s="1">
        <v>45228.511805555558</v>
      </c>
      <c r="B104" s="2">
        <v>45228.511805555558</v>
      </c>
      <c r="C104" t="s">
        <v>875</v>
      </c>
      <c r="D104">
        <v>64</v>
      </c>
      <c r="E104">
        <f>Logs_Reseau_Part56[[#This Row],[Duree_Panne_Min]]/60</f>
        <v>1.0666666666666667</v>
      </c>
      <c r="F104" t="s">
        <v>737</v>
      </c>
      <c r="G104" t="str">
        <f>IFERROR(VLOOKUP(Logs_Reseau_Part56[[#This Row],[Cell_ID]],Registre_Maintenance_Part[[ID_Antenne]:[Colonne2]],2,FALSE),"")</f>
        <v>Haut-Uele</v>
      </c>
      <c r="H104">
        <f>IFERROR(VLOOKUP(Logs_Reseau_Part56[[#This Row],[Cell_ID]],Registre_Maintenance_Part[[ID_Antenne]:[Colonne2]],3,FALSE),"")</f>
        <v>-4.4351269999999996</v>
      </c>
      <c r="I104">
        <f>IFERROR(VLOOKUP(Logs_Reseau_Part56[[#This Row],[Cell_ID]],Registre_Maintenance_Part[[ID_Antenne]:[Colonne2]],4,FALSE),"")</f>
        <v>24.825467</v>
      </c>
      <c r="J104" t="str">
        <f>IFERROR(VLOOKUP(Logs_Reseau_Part56[[#This Row],[Cell_ID]],Registre_Maintenance_Part[[ID_Antenne]:[Colonne2]],5,FALSE),"")</f>
        <v>4G</v>
      </c>
      <c r="K104" t="str">
        <f>IFERROR(VLOOKUP(Logs_Reseau_Part56[[#This Row],[Cell_ID]],Registre_Maintenance_Part[[ID_Antenne]:[Colonne2]],6,FALSE),"")</f>
        <v>Huawei</v>
      </c>
    </row>
    <row r="105" spans="1:11" x14ac:dyDescent="0.3">
      <c r="A105" s="1">
        <v>45228.57708333333</v>
      </c>
      <c r="B105" s="2">
        <v>45228.57708333333</v>
      </c>
      <c r="C105" t="s">
        <v>883</v>
      </c>
      <c r="D105">
        <v>80</v>
      </c>
      <c r="E105">
        <f>Logs_Reseau_Part56[[#This Row],[Duree_Panne_Min]]/60</f>
        <v>1.3333333333333333</v>
      </c>
      <c r="F105" t="s">
        <v>739</v>
      </c>
      <c r="G105" t="str">
        <f>IFERROR(VLOOKUP(Logs_Reseau_Part56[[#This Row],[Cell_ID]],Registre_Maintenance_Part[[ID_Antenne]:[Colonne2]],2,FALSE),"")</f>
        <v>Haut-Uele</v>
      </c>
      <c r="H105">
        <f>IFERROR(VLOOKUP(Logs_Reseau_Part56[[#This Row],[Cell_ID]],Registre_Maintenance_Part[[ID_Antenne]:[Colonne2]],3,FALSE),"")</f>
        <v>-1.8045979999999999</v>
      </c>
      <c r="I105">
        <f>IFERROR(VLOOKUP(Logs_Reseau_Part56[[#This Row],[Cell_ID]],Registre_Maintenance_Part[[ID_Antenne]:[Colonne2]],4,FALSE),"")</f>
        <v>12.511096999999999</v>
      </c>
      <c r="J105" t="str">
        <f>IFERROR(VLOOKUP(Logs_Reseau_Part56[[#This Row],[Cell_ID]],Registre_Maintenance_Part[[ID_Antenne]:[Colonne2]],5,FALSE),"")</f>
        <v>3G</v>
      </c>
      <c r="K105" t="str">
        <f>IFERROR(VLOOKUP(Logs_Reseau_Part56[[#This Row],[Cell_ID]],Registre_Maintenance_Part[[ID_Antenne]:[Colonne2]],6,FALSE),"")</f>
        <v>Huawei</v>
      </c>
    </row>
    <row r="106" spans="1:11" x14ac:dyDescent="0.3">
      <c r="A106" s="1">
        <v>45229.620833333327</v>
      </c>
      <c r="B106" s="2">
        <v>45229.620833333327</v>
      </c>
      <c r="C106" t="s">
        <v>1176</v>
      </c>
      <c r="D106">
        <v>74</v>
      </c>
      <c r="E106">
        <f>Logs_Reseau_Part56[[#This Row],[Duree_Panne_Min]]/60</f>
        <v>1.2333333333333334</v>
      </c>
      <c r="F106" t="s">
        <v>739</v>
      </c>
      <c r="G106" t="str">
        <f>IFERROR(VLOOKUP(Logs_Reseau_Part56[[#This Row],[Cell_ID]],Registre_Maintenance_Part[[ID_Antenne]:[Colonne2]],2,FALSE),"")</f>
        <v>Haut-Uele</v>
      </c>
      <c r="H106">
        <f>IFERROR(VLOOKUP(Logs_Reseau_Part56[[#This Row],[Cell_ID]],Registre_Maintenance_Part[[ID_Antenne]:[Colonne2]],3,FALSE),"")</f>
        <v>-12.488033</v>
      </c>
      <c r="I106">
        <f>IFERROR(VLOOKUP(Logs_Reseau_Part56[[#This Row],[Cell_ID]],Registre_Maintenance_Part[[ID_Antenne]:[Colonne2]],4,FALSE),"")</f>
        <v>16.139648000000001</v>
      </c>
      <c r="J106" t="str">
        <f>IFERROR(VLOOKUP(Logs_Reseau_Part56[[#This Row],[Cell_ID]],Registre_Maintenance_Part[[ID_Antenne]:[Colonne2]],5,FALSE),"")</f>
        <v>4G</v>
      </c>
      <c r="K106" t="str">
        <f>IFERROR(VLOOKUP(Logs_Reseau_Part56[[#This Row],[Cell_ID]],Registre_Maintenance_Part[[ID_Antenne]:[Colonne2]],6,FALSE),"")</f>
        <v>Huawei</v>
      </c>
    </row>
    <row r="107" spans="1:11" x14ac:dyDescent="0.3">
      <c r="A107" s="1">
        <v>45230.323611111111</v>
      </c>
      <c r="B107" s="2">
        <v>45230.323611111111</v>
      </c>
      <c r="C107" t="s">
        <v>875</v>
      </c>
      <c r="D107">
        <v>105</v>
      </c>
      <c r="E107">
        <f>Logs_Reseau_Part56[[#This Row],[Duree_Panne_Min]]/60</f>
        <v>1.75</v>
      </c>
      <c r="F107" t="s">
        <v>734</v>
      </c>
      <c r="G107" t="str">
        <f>IFERROR(VLOOKUP(Logs_Reseau_Part56[[#This Row],[Cell_ID]],Registre_Maintenance_Part[[ID_Antenne]:[Colonne2]],2,FALSE),"")</f>
        <v>Haut-Uele</v>
      </c>
      <c r="H107">
        <f>IFERROR(VLOOKUP(Logs_Reseau_Part56[[#This Row],[Cell_ID]],Registre_Maintenance_Part[[ID_Antenne]:[Colonne2]],3,FALSE),"")</f>
        <v>-4.4351269999999996</v>
      </c>
      <c r="I107">
        <f>IFERROR(VLOOKUP(Logs_Reseau_Part56[[#This Row],[Cell_ID]],Registre_Maintenance_Part[[ID_Antenne]:[Colonne2]],4,FALSE),"")</f>
        <v>24.825467</v>
      </c>
      <c r="J107" t="str">
        <f>IFERROR(VLOOKUP(Logs_Reseau_Part56[[#This Row],[Cell_ID]],Registre_Maintenance_Part[[ID_Antenne]:[Colonne2]],5,FALSE),"")</f>
        <v>4G</v>
      </c>
      <c r="K107" t="str">
        <f>IFERROR(VLOOKUP(Logs_Reseau_Part56[[#This Row],[Cell_ID]],Registre_Maintenance_Part[[ID_Antenne]:[Colonne2]],6,FALSE),"")</f>
        <v>Huawei</v>
      </c>
    </row>
    <row r="108" spans="1:11" x14ac:dyDescent="0.3">
      <c r="A108" s="1">
        <v>45200.67083333333</v>
      </c>
      <c r="B108" s="2">
        <v>45200.67083333333</v>
      </c>
      <c r="C108" t="s">
        <v>1397</v>
      </c>
      <c r="D108">
        <v>74</v>
      </c>
      <c r="E108">
        <f>Logs_Reseau_Part56[[#This Row],[Duree_Panne_Min]]/60</f>
        <v>1.2333333333333334</v>
      </c>
      <c r="F108" t="s">
        <v>739</v>
      </c>
      <c r="G108" t="str">
        <f>IFERROR(VLOOKUP(Logs_Reseau_Part56[[#This Row],[Cell_ID]],Registre_Maintenance_Part[[ID_Antenne]:[Colonne2]],2,FALSE),"")</f>
        <v>Ituri</v>
      </c>
      <c r="H108">
        <f>IFERROR(VLOOKUP(Logs_Reseau_Part56[[#This Row],[Cell_ID]],Registre_Maintenance_Part[[ID_Antenne]:[Colonne2]],3,FALSE),"")</f>
        <v>-4.6426759999999998</v>
      </c>
      <c r="I108">
        <f>IFERROR(VLOOKUP(Logs_Reseau_Part56[[#This Row],[Cell_ID]],Registre_Maintenance_Part[[ID_Antenne]:[Colonne2]],4,FALSE),"")</f>
        <v>22.124254000000001</v>
      </c>
      <c r="J108" t="str">
        <f>IFERROR(VLOOKUP(Logs_Reseau_Part56[[#This Row],[Cell_ID]],Registre_Maintenance_Part[[ID_Antenne]:[Colonne2]],5,FALSE),"")</f>
        <v>4G</v>
      </c>
      <c r="K108" t="str">
        <f>IFERROR(VLOOKUP(Logs_Reseau_Part56[[#This Row],[Cell_ID]],Registre_Maintenance_Part[[ID_Antenne]:[Colonne2]],6,FALSE),"")</f>
        <v>ZTE</v>
      </c>
    </row>
    <row r="109" spans="1:11" x14ac:dyDescent="0.3">
      <c r="A109" s="1">
        <v>45201.245833333327</v>
      </c>
      <c r="B109" s="2">
        <v>45201.245833333327</v>
      </c>
      <c r="C109" t="s">
        <v>1070</v>
      </c>
      <c r="D109">
        <v>91</v>
      </c>
      <c r="E109">
        <f>Logs_Reseau_Part56[[#This Row],[Duree_Panne_Min]]/60</f>
        <v>1.5166666666666666</v>
      </c>
      <c r="F109" t="s">
        <v>737</v>
      </c>
      <c r="G109" t="str">
        <f>IFERROR(VLOOKUP(Logs_Reseau_Part56[[#This Row],[Cell_ID]],Registre_Maintenance_Part[[ID_Antenne]:[Colonne2]],2,FALSE),"")</f>
        <v>Ituri</v>
      </c>
      <c r="H109">
        <f>IFERROR(VLOOKUP(Logs_Reseau_Part56[[#This Row],[Cell_ID]],Registre_Maintenance_Part[[ID_Antenne]:[Colonne2]],3,FALSE),"")</f>
        <v>-0.34051900000000002</v>
      </c>
      <c r="I109">
        <f>IFERROR(VLOOKUP(Logs_Reseau_Part56[[#This Row],[Cell_ID]],Registre_Maintenance_Part[[ID_Antenne]:[Colonne2]],4,FALSE),"")</f>
        <v>17.079799000000001</v>
      </c>
      <c r="J109" t="str">
        <f>IFERROR(VLOOKUP(Logs_Reseau_Part56[[#This Row],[Cell_ID]],Registre_Maintenance_Part[[ID_Antenne]:[Colonne2]],5,FALSE),"")</f>
        <v>5G</v>
      </c>
      <c r="K109" t="str">
        <f>IFERROR(VLOOKUP(Logs_Reseau_Part56[[#This Row],[Cell_ID]],Registre_Maintenance_Part[[ID_Antenne]:[Colonne2]],6,FALSE),"")</f>
        <v>Ericsson</v>
      </c>
    </row>
    <row r="110" spans="1:11" x14ac:dyDescent="0.3">
      <c r="A110" s="1">
        <v>45207.57916666667</v>
      </c>
      <c r="B110" s="2">
        <v>45207.57916666667</v>
      </c>
      <c r="C110" t="s">
        <v>1007</v>
      </c>
      <c r="D110">
        <v>68</v>
      </c>
      <c r="E110">
        <f>Logs_Reseau_Part56[[#This Row],[Duree_Panne_Min]]/60</f>
        <v>1.1333333333333333</v>
      </c>
      <c r="F110" t="s">
        <v>734</v>
      </c>
      <c r="G110" t="str">
        <f>IFERROR(VLOOKUP(Logs_Reseau_Part56[[#This Row],[Cell_ID]],Registre_Maintenance_Part[[ID_Antenne]:[Colonne2]],2,FALSE),"")</f>
        <v>Ituri</v>
      </c>
      <c r="H110">
        <f>IFERROR(VLOOKUP(Logs_Reseau_Part56[[#This Row],[Cell_ID]],Registre_Maintenance_Part[[ID_Antenne]:[Colonne2]],3,FALSE),"")</f>
        <v>-3.7720639999999999</v>
      </c>
      <c r="I110">
        <f>IFERROR(VLOOKUP(Logs_Reseau_Part56[[#This Row],[Cell_ID]],Registre_Maintenance_Part[[ID_Antenne]:[Colonne2]],4,FALSE),"")</f>
        <v>16.006277999999998</v>
      </c>
      <c r="J110" t="str">
        <f>IFERROR(VLOOKUP(Logs_Reseau_Part56[[#This Row],[Cell_ID]],Registre_Maintenance_Part[[ID_Antenne]:[Colonne2]],5,FALSE),"")</f>
        <v>5G</v>
      </c>
      <c r="K110" t="str">
        <f>IFERROR(VLOOKUP(Logs_Reseau_Part56[[#This Row],[Cell_ID]],Registre_Maintenance_Part[[ID_Antenne]:[Colonne2]],6,FALSE),"")</f>
        <v>ZTE</v>
      </c>
    </row>
    <row r="111" spans="1:11" x14ac:dyDescent="0.3">
      <c r="A111" s="1">
        <v>45209.558333333327</v>
      </c>
      <c r="B111" s="2">
        <v>45209.558333333327</v>
      </c>
      <c r="C111" t="s">
        <v>1215</v>
      </c>
      <c r="D111">
        <v>66</v>
      </c>
      <c r="E111">
        <f>Logs_Reseau_Part56[[#This Row],[Duree_Panne_Min]]/60</f>
        <v>1.1000000000000001</v>
      </c>
      <c r="F111" t="s">
        <v>737</v>
      </c>
      <c r="G111" t="str">
        <f>IFERROR(VLOOKUP(Logs_Reseau_Part56[[#This Row],[Cell_ID]],Registre_Maintenance_Part[[ID_Antenne]:[Colonne2]],2,FALSE),"")</f>
        <v>Ituri</v>
      </c>
      <c r="H111">
        <f>IFERROR(VLOOKUP(Logs_Reseau_Part56[[#This Row],[Cell_ID]],Registre_Maintenance_Part[[ID_Antenne]:[Colonne2]],3,FALSE),"")</f>
        <v>-12.595355</v>
      </c>
      <c r="I111">
        <f>IFERROR(VLOOKUP(Logs_Reseau_Part56[[#This Row],[Cell_ID]],Registre_Maintenance_Part[[ID_Antenne]:[Colonne2]],4,FALSE),"")</f>
        <v>17.897442000000002</v>
      </c>
      <c r="J111" t="str">
        <f>IFERROR(VLOOKUP(Logs_Reseau_Part56[[#This Row],[Cell_ID]],Registre_Maintenance_Part[[ID_Antenne]:[Colonne2]],5,FALSE),"")</f>
        <v>4G</v>
      </c>
      <c r="K111" t="str">
        <f>IFERROR(VLOOKUP(Logs_Reseau_Part56[[#This Row],[Cell_ID]],Registre_Maintenance_Part[[ID_Antenne]:[Colonne2]],6,FALSE),"")</f>
        <v>Huawei</v>
      </c>
    </row>
    <row r="112" spans="1:11" x14ac:dyDescent="0.3">
      <c r="A112" s="1">
        <v>45211.337500000001</v>
      </c>
      <c r="B112" s="2">
        <v>45211.337500000001</v>
      </c>
      <c r="C112" t="s">
        <v>1209</v>
      </c>
      <c r="D112">
        <v>88</v>
      </c>
      <c r="E112">
        <f>Logs_Reseau_Part56[[#This Row],[Duree_Panne_Min]]/60</f>
        <v>1.4666666666666666</v>
      </c>
      <c r="F112" t="s">
        <v>737</v>
      </c>
      <c r="G112" t="str">
        <f>IFERROR(VLOOKUP(Logs_Reseau_Part56[[#This Row],[Cell_ID]],Registre_Maintenance_Part[[ID_Antenne]:[Colonne2]],2,FALSE),"")</f>
        <v>Ituri</v>
      </c>
      <c r="H112">
        <f>IFERROR(VLOOKUP(Logs_Reseau_Part56[[#This Row],[Cell_ID]],Registre_Maintenance_Part[[ID_Antenne]:[Colonne2]],3,FALSE),"")</f>
        <v>-12.364127999999999</v>
      </c>
      <c r="I112">
        <f>IFERROR(VLOOKUP(Logs_Reseau_Part56[[#This Row],[Cell_ID]],Registre_Maintenance_Part[[ID_Antenne]:[Colonne2]],4,FALSE),"")</f>
        <v>19.576150999999999</v>
      </c>
      <c r="J112" t="str">
        <f>IFERROR(VLOOKUP(Logs_Reseau_Part56[[#This Row],[Cell_ID]],Registre_Maintenance_Part[[ID_Antenne]:[Colonne2]],5,FALSE),"")</f>
        <v>3G</v>
      </c>
      <c r="K112" t="str">
        <f>IFERROR(VLOOKUP(Logs_Reseau_Part56[[#This Row],[Cell_ID]],Registre_Maintenance_Part[[ID_Antenne]:[Colonne2]],6,FALSE),"")</f>
        <v>Nokia</v>
      </c>
    </row>
    <row r="113" spans="1:11" x14ac:dyDescent="0.3">
      <c r="A113" s="1">
        <v>45216.709027777782</v>
      </c>
      <c r="B113" s="2">
        <v>45216.709027777782</v>
      </c>
      <c r="C113" t="s">
        <v>1070</v>
      </c>
      <c r="D113">
        <v>39</v>
      </c>
      <c r="E113">
        <f>Logs_Reseau_Part56[[#This Row],[Duree_Panne_Min]]/60</f>
        <v>0.65</v>
      </c>
      <c r="F113" t="s">
        <v>734</v>
      </c>
      <c r="G113" t="str">
        <f>IFERROR(VLOOKUP(Logs_Reseau_Part56[[#This Row],[Cell_ID]],Registre_Maintenance_Part[[ID_Antenne]:[Colonne2]],2,FALSE),"")</f>
        <v>Ituri</v>
      </c>
      <c r="H113">
        <f>IFERROR(VLOOKUP(Logs_Reseau_Part56[[#This Row],[Cell_ID]],Registre_Maintenance_Part[[ID_Antenne]:[Colonne2]],3,FALSE),"")</f>
        <v>-0.34051900000000002</v>
      </c>
      <c r="I113">
        <f>IFERROR(VLOOKUP(Logs_Reseau_Part56[[#This Row],[Cell_ID]],Registre_Maintenance_Part[[ID_Antenne]:[Colonne2]],4,FALSE),"")</f>
        <v>17.079799000000001</v>
      </c>
      <c r="J113" t="str">
        <f>IFERROR(VLOOKUP(Logs_Reseau_Part56[[#This Row],[Cell_ID]],Registre_Maintenance_Part[[ID_Antenne]:[Colonne2]],5,FALSE),"")</f>
        <v>5G</v>
      </c>
      <c r="K113" t="str">
        <f>IFERROR(VLOOKUP(Logs_Reseau_Part56[[#This Row],[Cell_ID]],Registre_Maintenance_Part[[ID_Antenne]:[Colonne2]],6,FALSE),"")</f>
        <v>Ericsson</v>
      </c>
    </row>
    <row r="114" spans="1:11" x14ac:dyDescent="0.3">
      <c r="A114" s="1">
        <v>45216.760416666657</v>
      </c>
      <c r="B114" s="2">
        <v>45216.760416666657</v>
      </c>
      <c r="C114" t="s">
        <v>1065</v>
      </c>
      <c r="D114">
        <v>48</v>
      </c>
      <c r="E114">
        <f>Logs_Reseau_Part56[[#This Row],[Duree_Panne_Min]]/60</f>
        <v>0.8</v>
      </c>
      <c r="F114" t="s">
        <v>734</v>
      </c>
      <c r="G114" t="str">
        <f>IFERROR(VLOOKUP(Logs_Reseau_Part56[[#This Row],[Cell_ID]],Registre_Maintenance_Part[[ID_Antenne]:[Colonne2]],2,FALSE),"")</f>
        <v>Ituri</v>
      </c>
      <c r="H114">
        <f>IFERROR(VLOOKUP(Logs_Reseau_Part56[[#This Row],[Cell_ID]],Registre_Maintenance_Part[[ID_Antenne]:[Colonne2]],3,FALSE),"")</f>
        <v>-11.002602</v>
      </c>
      <c r="I114">
        <f>IFERROR(VLOOKUP(Logs_Reseau_Part56[[#This Row],[Cell_ID]],Registre_Maintenance_Part[[ID_Antenne]:[Colonne2]],4,FALSE),"")</f>
        <v>23.918247999999998</v>
      </c>
      <c r="J114" t="str">
        <f>IFERROR(VLOOKUP(Logs_Reseau_Part56[[#This Row],[Cell_ID]],Registre_Maintenance_Part[[ID_Antenne]:[Colonne2]],5,FALSE),"")</f>
        <v>5G</v>
      </c>
      <c r="K114" t="str">
        <f>IFERROR(VLOOKUP(Logs_Reseau_Part56[[#This Row],[Cell_ID]],Registre_Maintenance_Part[[ID_Antenne]:[Colonne2]],6,FALSE),"")</f>
        <v>ZTE</v>
      </c>
    </row>
    <row r="115" spans="1:11" x14ac:dyDescent="0.3">
      <c r="A115" s="1">
        <v>45218.991666666669</v>
      </c>
      <c r="B115" s="2">
        <v>45218.991666666669</v>
      </c>
      <c r="C115" t="s">
        <v>1007</v>
      </c>
      <c r="D115">
        <v>82</v>
      </c>
      <c r="E115">
        <f>Logs_Reseau_Part56[[#This Row],[Duree_Panne_Min]]/60</f>
        <v>1.3666666666666667</v>
      </c>
      <c r="F115" t="s">
        <v>734</v>
      </c>
      <c r="G115" t="str">
        <f>IFERROR(VLOOKUP(Logs_Reseau_Part56[[#This Row],[Cell_ID]],Registre_Maintenance_Part[[ID_Antenne]:[Colonne2]],2,FALSE),"")</f>
        <v>Ituri</v>
      </c>
      <c r="H115">
        <f>IFERROR(VLOOKUP(Logs_Reseau_Part56[[#This Row],[Cell_ID]],Registre_Maintenance_Part[[ID_Antenne]:[Colonne2]],3,FALSE),"")</f>
        <v>-3.7720639999999999</v>
      </c>
      <c r="I115">
        <f>IFERROR(VLOOKUP(Logs_Reseau_Part56[[#This Row],[Cell_ID]],Registre_Maintenance_Part[[ID_Antenne]:[Colonne2]],4,FALSE),"")</f>
        <v>16.006277999999998</v>
      </c>
      <c r="J115" t="str">
        <f>IFERROR(VLOOKUP(Logs_Reseau_Part56[[#This Row],[Cell_ID]],Registre_Maintenance_Part[[ID_Antenne]:[Colonne2]],5,FALSE),"")</f>
        <v>5G</v>
      </c>
      <c r="K115" t="str">
        <f>IFERROR(VLOOKUP(Logs_Reseau_Part56[[#This Row],[Cell_ID]],Registre_Maintenance_Part[[ID_Antenne]:[Colonne2]],6,FALSE),"")</f>
        <v>ZTE</v>
      </c>
    </row>
    <row r="116" spans="1:11" x14ac:dyDescent="0.3">
      <c r="A116" s="1">
        <v>45220.11041666667</v>
      </c>
      <c r="B116" s="2">
        <v>45220.11041666667</v>
      </c>
      <c r="C116" t="s">
        <v>1029</v>
      </c>
      <c r="D116">
        <v>111</v>
      </c>
      <c r="E116">
        <f>Logs_Reseau_Part56[[#This Row],[Duree_Panne_Min]]/60</f>
        <v>1.85</v>
      </c>
      <c r="F116" t="s">
        <v>739</v>
      </c>
      <c r="G116" t="str">
        <f>IFERROR(VLOOKUP(Logs_Reseau_Part56[[#This Row],[Cell_ID]],Registre_Maintenance_Part[[ID_Antenne]:[Colonne2]],2,FALSE),"")</f>
        <v>Ituri</v>
      </c>
      <c r="H116">
        <f>IFERROR(VLOOKUP(Logs_Reseau_Part56[[#This Row],[Cell_ID]],Registre_Maintenance_Part[[ID_Antenne]:[Colonne2]],3,FALSE),"")</f>
        <v>-4.1250960000000001</v>
      </c>
      <c r="I116">
        <f>IFERROR(VLOOKUP(Logs_Reseau_Part56[[#This Row],[Cell_ID]],Registre_Maintenance_Part[[ID_Antenne]:[Colonne2]],4,FALSE),"")</f>
        <v>27.799897999999999</v>
      </c>
      <c r="J116" t="str">
        <f>IFERROR(VLOOKUP(Logs_Reseau_Part56[[#This Row],[Cell_ID]],Registre_Maintenance_Part[[ID_Antenne]:[Colonne2]],5,FALSE),"")</f>
        <v>3G</v>
      </c>
      <c r="K116" t="str">
        <f>IFERROR(VLOOKUP(Logs_Reseau_Part56[[#This Row],[Cell_ID]],Registre_Maintenance_Part[[ID_Antenne]:[Colonne2]],6,FALSE),"")</f>
        <v>Nokia</v>
      </c>
    </row>
    <row r="117" spans="1:11" x14ac:dyDescent="0.3">
      <c r="A117" s="1">
        <v>45227.915277777778</v>
      </c>
      <c r="B117" s="2">
        <v>45227.915277777778</v>
      </c>
      <c r="C117" t="s">
        <v>1007</v>
      </c>
      <c r="D117">
        <v>26</v>
      </c>
      <c r="E117">
        <f>Logs_Reseau_Part56[[#This Row],[Duree_Panne_Min]]/60</f>
        <v>0.43333333333333335</v>
      </c>
      <c r="F117" t="s">
        <v>737</v>
      </c>
      <c r="G117" t="str">
        <f>IFERROR(VLOOKUP(Logs_Reseau_Part56[[#This Row],[Cell_ID]],Registre_Maintenance_Part[[ID_Antenne]:[Colonne2]],2,FALSE),"")</f>
        <v>Ituri</v>
      </c>
      <c r="H117">
        <f>IFERROR(VLOOKUP(Logs_Reseau_Part56[[#This Row],[Cell_ID]],Registre_Maintenance_Part[[ID_Antenne]:[Colonne2]],3,FALSE),"")</f>
        <v>-3.7720639999999999</v>
      </c>
      <c r="I117">
        <f>IFERROR(VLOOKUP(Logs_Reseau_Part56[[#This Row],[Cell_ID]],Registre_Maintenance_Part[[ID_Antenne]:[Colonne2]],4,FALSE),"")</f>
        <v>16.006277999999998</v>
      </c>
      <c r="J117" t="str">
        <f>IFERROR(VLOOKUP(Logs_Reseau_Part56[[#This Row],[Cell_ID]],Registre_Maintenance_Part[[ID_Antenne]:[Colonne2]],5,FALSE),"")</f>
        <v>5G</v>
      </c>
      <c r="K117" t="str">
        <f>IFERROR(VLOOKUP(Logs_Reseau_Part56[[#This Row],[Cell_ID]],Registre_Maintenance_Part[[ID_Antenne]:[Colonne2]],6,FALSE),"")</f>
        <v>ZTE</v>
      </c>
    </row>
    <row r="118" spans="1:11" x14ac:dyDescent="0.3">
      <c r="A118" s="1">
        <v>45228.880555555559</v>
      </c>
      <c r="B118" s="2">
        <v>45228.880555555559</v>
      </c>
      <c r="C118" t="s">
        <v>1029</v>
      </c>
      <c r="D118">
        <v>112</v>
      </c>
      <c r="E118">
        <f>Logs_Reseau_Part56[[#This Row],[Duree_Panne_Min]]/60</f>
        <v>1.8666666666666667</v>
      </c>
      <c r="F118" t="s">
        <v>739</v>
      </c>
      <c r="G118" t="str">
        <f>IFERROR(VLOOKUP(Logs_Reseau_Part56[[#This Row],[Cell_ID]],Registre_Maintenance_Part[[ID_Antenne]:[Colonne2]],2,FALSE),"")</f>
        <v>Ituri</v>
      </c>
      <c r="H118">
        <f>IFERROR(VLOOKUP(Logs_Reseau_Part56[[#This Row],[Cell_ID]],Registre_Maintenance_Part[[ID_Antenne]:[Colonne2]],3,FALSE),"")</f>
        <v>-4.1250960000000001</v>
      </c>
      <c r="I118">
        <f>IFERROR(VLOOKUP(Logs_Reseau_Part56[[#This Row],[Cell_ID]],Registre_Maintenance_Part[[ID_Antenne]:[Colonne2]],4,FALSE),"")</f>
        <v>27.799897999999999</v>
      </c>
      <c r="J118" t="str">
        <f>IFERROR(VLOOKUP(Logs_Reseau_Part56[[#This Row],[Cell_ID]],Registre_Maintenance_Part[[ID_Antenne]:[Colonne2]],5,FALSE),"")</f>
        <v>3G</v>
      </c>
      <c r="K118" t="str">
        <f>IFERROR(VLOOKUP(Logs_Reseau_Part56[[#This Row],[Cell_ID]],Registre_Maintenance_Part[[ID_Antenne]:[Colonne2]],6,FALSE),"")</f>
        <v>Nokia</v>
      </c>
    </row>
    <row r="119" spans="1:11" x14ac:dyDescent="0.3">
      <c r="A119" s="1">
        <v>45230.997916666667</v>
      </c>
      <c r="B119" s="2">
        <v>45230.997916666667</v>
      </c>
      <c r="C119" t="s">
        <v>1031</v>
      </c>
      <c r="D119">
        <v>72</v>
      </c>
      <c r="E119">
        <f>Logs_Reseau_Part56[[#This Row],[Duree_Panne_Min]]/60</f>
        <v>1.2</v>
      </c>
      <c r="F119" t="s">
        <v>739</v>
      </c>
      <c r="G119" t="str">
        <f>IFERROR(VLOOKUP(Logs_Reseau_Part56[[#This Row],[Cell_ID]],Registre_Maintenance_Part[[ID_Antenne]:[Colonne2]],2,FALSE),"")</f>
        <v>Ituri</v>
      </c>
      <c r="H119">
        <f>IFERROR(VLOOKUP(Logs_Reseau_Part56[[#This Row],[Cell_ID]],Registre_Maintenance_Part[[ID_Antenne]:[Colonne2]],3,FALSE),"")</f>
        <v>-1.9120569999999999</v>
      </c>
      <c r="I119">
        <f>IFERROR(VLOOKUP(Logs_Reseau_Part56[[#This Row],[Cell_ID]],Registre_Maintenance_Part[[ID_Antenne]:[Colonne2]],4,FALSE),"")</f>
        <v>15.236072999999999</v>
      </c>
      <c r="J119" t="str">
        <f>IFERROR(VLOOKUP(Logs_Reseau_Part56[[#This Row],[Cell_ID]],Registre_Maintenance_Part[[ID_Antenne]:[Colonne2]],5,FALSE),"")</f>
        <v>5G</v>
      </c>
      <c r="K119" t="str">
        <f>IFERROR(VLOOKUP(Logs_Reseau_Part56[[#This Row],[Cell_ID]],Registre_Maintenance_Part[[ID_Antenne]:[Colonne2]],6,FALSE),"")</f>
        <v>Huawei</v>
      </c>
    </row>
    <row r="120" spans="1:11" x14ac:dyDescent="0.3">
      <c r="A120" s="1">
        <v>45200.078472222223</v>
      </c>
      <c r="B120" s="2">
        <v>45200.078472222223</v>
      </c>
      <c r="C120" t="s">
        <v>972</v>
      </c>
      <c r="D120">
        <v>40</v>
      </c>
      <c r="E120">
        <f>Logs_Reseau_Part56[[#This Row],[Duree_Panne_Min]]/60</f>
        <v>0.66666666666666663</v>
      </c>
      <c r="F120" t="s">
        <v>734</v>
      </c>
      <c r="G120" t="str">
        <f>IFERROR(VLOOKUP(Logs_Reseau_Part56[[#This Row],[Cell_ID]],Registre_Maintenance_Part[[ID_Antenne]:[Colonne2]],2,FALSE),"")</f>
        <v>Kasai</v>
      </c>
      <c r="H120">
        <f>IFERROR(VLOOKUP(Logs_Reseau_Part56[[#This Row],[Cell_ID]],Registre_Maintenance_Part[[ID_Antenne]:[Colonne2]],3,FALSE),"")</f>
        <v>-10.165072</v>
      </c>
      <c r="I120">
        <f>IFERROR(VLOOKUP(Logs_Reseau_Part56[[#This Row],[Cell_ID]],Registre_Maintenance_Part[[ID_Antenne]:[Colonne2]],4,FALSE),"")</f>
        <v>29.428024000000001</v>
      </c>
      <c r="J120" t="str">
        <f>IFERROR(VLOOKUP(Logs_Reseau_Part56[[#This Row],[Cell_ID]],Registre_Maintenance_Part[[ID_Antenne]:[Colonne2]],5,FALSE),"")</f>
        <v>5G</v>
      </c>
      <c r="K120" t="str">
        <f>IFERROR(VLOOKUP(Logs_Reseau_Part56[[#This Row],[Cell_ID]],Registre_Maintenance_Part[[ID_Antenne]:[Colonne2]],6,FALSE),"")</f>
        <v>Huawei</v>
      </c>
    </row>
    <row r="121" spans="1:11" x14ac:dyDescent="0.3">
      <c r="A121" s="1">
        <v>45205.052777777782</v>
      </c>
      <c r="B121" s="2">
        <v>45205.052777777782</v>
      </c>
      <c r="C121" t="s">
        <v>767</v>
      </c>
      <c r="D121">
        <v>102</v>
      </c>
      <c r="E121">
        <f>Logs_Reseau_Part56[[#This Row],[Duree_Panne_Min]]/60</f>
        <v>1.7</v>
      </c>
      <c r="F121" t="s">
        <v>737</v>
      </c>
      <c r="G121" t="str">
        <f>IFERROR(VLOOKUP(Logs_Reseau_Part56[[#This Row],[Cell_ID]],Registre_Maintenance_Part[[ID_Antenne]:[Colonne2]],2,FALSE),"")</f>
        <v>Kasai</v>
      </c>
      <c r="H121">
        <f>IFERROR(VLOOKUP(Logs_Reseau_Part56[[#This Row],[Cell_ID]],Registre_Maintenance_Part[[ID_Antenne]:[Colonne2]],3,FALSE),"")</f>
        <v>-4.9789079999999997</v>
      </c>
      <c r="I121">
        <f>IFERROR(VLOOKUP(Logs_Reseau_Part56[[#This Row],[Cell_ID]],Registre_Maintenance_Part[[ID_Antenne]:[Colonne2]],4,FALSE),"")</f>
        <v>28.506295000000001</v>
      </c>
      <c r="J121" t="str">
        <f>IFERROR(VLOOKUP(Logs_Reseau_Part56[[#This Row],[Cell_ID]],Registre_Maintenance_Part[[ID_Antenne]:[Colonne2]],5,FALSE),"")</f>
        <v>4G</v>
      </c>
      <c r="K121" t="str">
        <f>IFERROR(VLOOKUP(Logs_Reseau_Part56[[#This Row],[Cell_ID]],Registre_Maintenance_Part[[ID_Antenne]:[Colonne2]],6,FALSE),"")</f>
        <v>Huawei</v>
      </c>
    </row>
    <row r="122" spans="1:11" x14ac:dyDescent="0.3">
      <c r="A122" s="1">
        <v>45205.169444444437</v>
      </c>
      <c r="B122" s="2">
        <v>45205.169444444437</v>
      </c>
      <c r="C122" t="s">
        <v>1081</v>
      </c>
      <c r="D122">
        <v>18</v>
      </c>
      <c r="E122">
        <f>Logs_Reseau_Part56[[#This Row],[Duree_Panne_Min]]/60</f>
        <v>0.3</v>
      </c>
      <c r="F122" t="s">
        <v>737</v>
      </c>
      <c r="G122" t="str">
        <f>IFERROR(VLOOKUP(Logs_Reseau_Part56[[#This Row],[Cell_ID]],Registre_Maintenance_Part[[ID_Antenne]:[Colonne2]],2,FALSE),"")</f>
        <v>Kasai</v>
      </c>
      <c r="H122">
        <f>IFERROR(VLOOKUP(Logs_Reseau_Part56[[#This Row],[Cell_ID]],Registre_Maintenance_Part[[ID_Antenne]:[Colonne2]],3,FALSE),"")</f>
        <v>4.8689660000000003</v>
      </c>
      <c r="I122">
        <f>IFERROR(VLOOKUP(Logs_Reseau_Part56[[#This Row],[Cell_ID]],Registre_Maintenance_Part[[ID_Antenne]:[Colonne2]],4,FALSE),"")</f>
        <v>25.112373000000002</v>
      </c>
      <c r="J122" t="str">
        <f>IFERROR(VLOOKUP(Logs_Reseau_Part56[[#This Row],[Cell_ID]],Registre_Maintenance_Part[[ID_Antenne]:[Colonne2]],5,FALSE),"")</f>
        <v>3G</v>
      </c>
      <c r="K122" t="str">
        <f>IFERROR(VLOOKUP(Logs_Reseau_Part56[[#This Row],[Cell_ID]],Registre_Maintenance_Part[[ID_Antenne]:[Colonne2]],6,FALSE),"")</f>
        <v>Huawei</v>
      </c>
    </row>
    <row r="123" spans="1:11" x14ac:dyDescent="0.3">
      <c r="A123" s="1">
        <v>45208.169444444437</v>
      </c>
      <c r="B123" s="2">
        <v>45208.169444444437</v>
      </c>
      <c r="C123" t="s">
        <v>932</v>
      </c>
      <c r="D123">
        <v>47</v>
      </c>
      <c r="E123">
        <f>Logs_Reseau_Part56[[#This Row],[Duree_Panne_Min]]/60</f>
        <v>0.78333333333333333</v>
      </c>
      <c r="F123" t="s">
        <v>734</v>
      </c>
      <c r="G123" t="str">
        <f>IFERROR(VLOOKUP(Logs_Reseau_Part56[[#This Row],[Cell_ID]],Registre_Maintenance_Part[[ID_Antenne]:[Colonne2]],2,FALSE),"")</f>
        <v>Kasai</v>
      </c>
      <c r="H123">
        <f>IFERROR(VLOOKUP(Logs_Reseau_Part56[[#This Row],[Cell_ID]],Registre_Maintenance_Part[[ID_Antenne]:[Colonne2]],3,FALSE),"")</f>
        <v>-4.351254</v>
      </c>
      <c r="I123">
        <f>IFERROR(VLOOKUP(Logs_Reseau_Part56[[#This Row],[Cell_ID]],Registre_Maintenance_Part[[ID_Antenne]:[Colonne2]],4,FALSE),"")</f>
        <v>30.097408999999999</v>
      </c>
      <c r="J123" t="str">
        <f>IFERROR(VLOOKUP(Logs_Reseau_Part56[[#This Row],[Cell_ID]],Registre_Maintenance_Part[[ID_Antenne]:[Colonne2]],5,FALSE),"")</f>
        <v>5G</v>
      </c>
      <c r="K123" t="str">
        <f>IFERROR(VLOOKUP(Logs_Reseau_Part56[[#This Row],[Cell_ID]],Registre_Maintenance_Part[[ID_Antenne]:[Colonne2]],6,FALSE),"")</f>
        <v>Nokia</v>
      </c>
    </row>
    <row r="124" spans="1:11" x14ac:dyDescent="0.3">
      <c r="A124" s="1">
        <v>45209.907638888893</v>
      </c>
      <c r="B124" s="2">
        <v>45209.907638888893</v>
      </c>
      <c r="C124" t="s">
        <v>1266</v>
      </c>
      <c r="D124">
        <v>99</v>
      </c>
      <c r="E124">
        <f>Logs_Reseau_Part56[[#This Row],[Duree_Panne_Min]]/60</f>
        <v>1.65</v>
      </c>
      <c r="F124" t="s">
        <v>739</v>
      </c>
      <c r="G124" t="str">
        <f>IFERROR(VLOOKUP(Logs_Reseau_Part56[[#This Row],[Cell_ID]],Registre_Maintenance_Part[[ID_Antenne]:[Colonne2]],2,FALSE),"")</f>
        <v>Kasai</v>
      </c>
      <c r="H124">
        <f>IFERROR(VLOOKUP(Logs_Reseau_Part56[[#This Row],[Cell_ID]],Registre_Maintenance_Part[[ID_Antenne]:[Colonne2]],3,FALSE),"")</f>
        <v>-7.6757720000000003</v>
      </c>
      <c r="I124">
        <f>IFERROR(VLOOKUP(Logs_Reseau_Part56[[#This Row],[Cell_ID]],Registre_Maintenance_Part[[ID_Antenne]:[Colonne2]],4,FALSE),"")</f>
        <v>30.222971000000001</v>
      </c>
      <c r="J124" t="str">
        <f>IFERROR(VLOOKUP(Logs_Reseau_Part56[[#This Row],[Cell_ID]],Registre_Maintenance_Part[[ID_Antenne]:[Colonne2]],5,FALSE),"")</f>
        <v>5G</v>
      </c>
      <c r="K124" t="str">
        <f>IFERROR(VLOOKUP(Logs_Reseau_Part56[[#This Row],[Cell_ID]],Registre_Maintenance_Part[[ID_Antenne]:[Colonne2]],6,FALSE),"")</f>
        <v>Ericsson</v>
      </c>
    </row>
    <row r="125" spans="1:11" x14ac:dyDescent="0.3">
      <c r="A125" s="1">
        <v>45210.895833333343</v>
      </c>
      <c r="B125" s="2">
        <v>45210.895833333343</v>
      </c>
      <c r="C125" t="s">
        <v>932</v>
      </c>
      <c r="D125">
        <v>110</v>
      </c>
      <c r="E125">
        <f>Logs_Reseau_Part56[[#This Row],[Duree_Panne_Min]]/60</f>
        <v>1.8333333333333333</v>
      </c>
      <c r="F125" t="s">
        <v>739</v>
      </c>
      <c r="G125" t="str">
        <f>IFERROR(VLOOKUP(Logs_Reseau_Part56[[#This Row],[Cell_ID]],Registre_Maintenance_Part[[ID_Antenne]:[Colonne2]],2,FALSE),"")</f>
        <v>Kasai</v>
      </c>
      <c r="H125">
        <f>IFERROR(VLOOKUP(Logs_Reseau_Part56[[#This Row],[Cell_ID]],Registre_Maintenance_Part[[ID_Antenne]:[Colonne2]],3,FALSE),"")</f>
        <v>-4.351254</v>
      </c>
      <c r="I125">
        <f>IFERROR(VLOOKUP(Logs_Reseau_Part56[[#This Row],[Cell_ID]],Registre_Maintenance_Part[[ID_Antenne]:[Colonne2]],4,FALSE),"")</f>
        <v>30.097408999999999</v>
      </c>
      <c r="J125" t="str">
        <f>IFERROR(VLOOKUP(Logs_Reseau_Part56[[#This Row],[Cell_ID]],Registre_Maintenance_Part[[ID_Antenne]:[Colonne2]],5,FALSE),"")</f>
        <v>5G</v>
      </c>
      <c r="K125" t="str">
        <f>IFERROR(VLOOKUP(Logs_Reseau_Part56[[#This Row],[Cell_ID]],Registre_Maintenance_Part[[ID_Antenne]:[Colonne2]],6,FALSE),"")</f>
        <v>Nokia</v>
      </c>
    </row>
    <row r="126" spans="1:11" x14ac:dyDescent="0.3">
      <c r="A126" s="1">
        <v>45215.776388888888</v>
      </c>
      <c r="B126" s="2">
        <v>45215.776388888888</v>
      </c>
      <c r="C126" t="s">
        <v>1333</v>
      </c>
      <c r="D126">
        <v>87</v>
      </c>
      <c r="E126">
        <f>Logs_Reseau_Part56[[#This Row],[Duree_Panne_Min]]/60</f>
        <v>1.45</v>
      </c>
      <c r="F126" t="s">
        <v>739</v>
      </c>
      <c r="G126" t="str">
        <f>IFERROR(VLOOKUP(Logs_Reseau_Part56[[#This Row],[Cell_ID]],Registre_Maintenance_Part[[ID_Antenne]:[Colonne2]],2,FALSE),"")</f>
        <v>Kasai</v>
      </c>
      <c r="H126">
        <f>IFERROR(VLOOKUP(Logs_Reseau_Part56[[#This Row],[Cell_ID]],Registre_Maintenance_Part[[ID_Antenne]:[Colonne2]],3,FALSE),"")</f>
        <v>2.5665840000000002</v>
      </c>
      <c r="I126">
        <f>IFERROR(VLOOKUP(Logs_Reseau_Part56[[#This Row],[Cell_ID]],Registre_Maintenance_Part[[ID_Antenne]:[Colonne2]],4,FALSE),"")</f>
        <v>15.764796</v>
      </c>
      <c r="J126" t="str">
        <f>IFERROR(VLOOKUP(Logs_Reseau_Part56[[#This Row],[Cell_ID]],Registre_Maintenance_Part[[ID_Antenne]:[Colonne2]],5,FALSE),"")</f>
        <v>3G</v>
      </c>
      <c r="K126" t="str">
        <f>IFERROR(VLOOKUP(Logs_Reseau_Part56[[#This Row],[Cell_ID]],Registre_Maintenance_Part[[ID_Antenne]:[Colonne2]],6,FALSE),"")</f>
        <v>ZTE</v>
      </c>
    </row>
    <row r="127" spans="1:11" x14ac:dyDescent="0.3">
      <c r="A127" s="1">
        <v>45216.232638888891</v>
      </c>
      <c r="B127" s="2">
        <v>45216.232638888891</v>
      </c>
      <c r="C127" t="s">
        <v>1231</v>
      </c>
      <c r="D127">
        <v>11</v>
      </c>
      <c r="E127">
        <f>Logs_Reseau_Part56[[#This Row],[Duree_Panne_Min]]/60</f>
        <v>0.18333333333333332</v>
      </c>
      <c r="F127" t="s">
        <v>739</v>
      </c>
      <c r="G127" t="str">
        <f>IFERROR(VLOOKUP(Logs_Reseau_Part56[[#This Row],[Cell_ID]],Registre_Maintenance_Part[[ID_Antenne]:[Colonne2]],2,FALSE),"")</f>
        <v>Kasai</v>
      </c>
      <c r="H127">
        <f>IFERROR(VLOOKUP(Logs_Reseau_Part56[[#This Row],[Cell_ID]],Registre_Maintenance_Part[[ID_Antenne]:[Colonne2]],3,FALSE),"")</f>
        <v>-3.8119990000000001</v>
      </c>
      <c r="I127">
        <f>IFERROR(VLOOKUP(Logs_Reseau_Part56[[#This Row],[Cell_ID]],Registre_Maintenance_Part[[ID_Antenne]:[Colonne2]],4,FALSE),"")</f>
        <v>20.420048000000001</v>
      </c>
      <c r="J127" t="str">
        <f>IFERROR(VLOOKUP(Logs_Reseau_Part56[[#This Row],[Cell_ID]],Registre_Maintenance_Part[[ID_Antenne]:[Colonne2]],5,FALSE),"")</f>
        <v>3G</v>
      </c>
      <c r="K127" t="str">
        <f>IFERROR(VLOOKUP(Logs_Reseau_Part56[[#This Row],[Cell_ID]],Registre_Maintenance_Part[[ID_Antenne]:[Colonne2]],6,FALSE),"")</f>
        <v>ZTE</v>
      </c>
    </row>
    <row r="128" spans="1:11" x14ac:dyDescent="0.3">
      <c r="A128" s="1">
        <v>45217.96875</v>
      </c>
      <c r="B128" s="2">
        <v>45217.96875</v>
      </c>
      <c r="C128" t="s">
        <v>769</v>
      </c>
      <c r="D128">
        <v>97</v>
      </c>
      <c r="E128">
        <f>Logs_Reseau_Part56[[#This Row],[Duree_Panne_Min]]/60</f>
        <v>1.6166666666666667</v>
      </c>
      <c r="F128" t="s">
        <v>737</v>
      </c>
      <c r="G128" t="str">
        <f>IFERROR(VLOOKUP(Logs_Reseau_Part56[[#This Row],[Cell_ID]],Registre_Maintenance_Part[[ID_Antenne]:[Colonne2]],2,FALSE),"")</f>
        <v>Kasai</v>
      </c>
      <c r="H128">
        <f>IFERROR(VLOOKUP(Logs_Reseau_Part56[[#This Row],[Cell_ID]],Registre_Maintenance_Part[[ID_Antenne]:[Colonne2]],3,FALSE),"")</f>
        <v>-10.059846</v>
      </c>
      <c r="I128">
        <f>IFERROR(VLOOKUP(Logs_Reseau_Part56[[#This Row],[Cell_ID]],Registre_Maintenance_Part[[ID_Antenne]:[Colonne2]],4,FALSE),"")</f>
        <v>14.375757999999999</v>
      </c>
      <c r="J128" t="str">
        <f>IFERROR(VLOOKUP(Logs_Reseau_Part56[[#This Row],[Cell_ID]],Registre_Maintenance_Part[[ID_Antenne]:[Colonne2]],5,FALSE),"")</f>
        <v>4G</v>
      </c>
      <c r="K128" t="str">
        <f>IFERROR(VLOOKUP(Logs_Reseau_Part56[[#This Row],[Cell_ID]],Registre_Maintenance_Part[[ID_Antenne]:[Colonne2]],6,FALSE),"")</f>
        <v>Huawei</v>
      </c>
    </row>
    <row r="129" spans="1:11" x14ac:dyDescent="0.3">
      <c r="A129" s="1">
        <v>45221.313194444447</v>
      </c>
      <c r="B129" s="2">
        <v>45221.313194444447</v>
      </c>
      <c r="C129" t="s">
        <v>972</v>
      </c>
      <c r="D129">
        <v>34</v>
      </c>
      <c r="E129">
        <f>Logs_Reseau_Part56[[#This Row],[Duree_Panne_Min]]/60</f>
        <v>0.56666666666666665</v>
      </c>
      <c r="F129" t="s">
        <v>737</v>
      </c>
      <c r="G129" t="str">
        <f>IFERROR(VLOOKUP(Logs_Reseau_Part56[[#This Row],[Cell_ID]],Registre_Maintenance_Part[[ID_Antenne]:[Colonne2]],2,FALSE),"")</f>
        <v>Kasai</v>
      </c>
      <c r="H129">
        <f>IFERROR(VLOOKUP(Logs_Reseau_Part56[[#This Row],[Cell_ID]],Registre_Maintenance_Part[[ID_Antenne]:[Colonne2]],3,FALSE),"")</f>
        <v>-10.165072</v>
      </c>
      <c r="I129">
        <f>IFERROR(VLOOKUP(Logs_Reseau_Part56[[#This Row],[Cell_ID]],Registre_Maintenance_Part[[ID_Antenne]:[Colonne2]],4,FALSE),"")</f>
        <v>29.428024000000001</v>
      </c>
      <c r="J129" t="str">
        <f>IFERROR(VLOOKUP(Logs_Reseau_Part56[[#This Row],[Cell_ID]],Registre_Maintenance_Part[[ID_Antenne]:[Colonne2]],5,FALSE),"")</f>
        <v>5G</v>
      </c>
      <c r="K129" t="str">
        <f>IFERROR(VLOOKUP(Logs_Reseau_Part56[[#This Row],[Cell_ID]],Registre_Maintenance_Part[[ID_Antenne]:[Colonne2]],6,FALSE),"")</f>
        <v>Huawei</v>
      </c>
    </row>
    <row r="130" spans="1:11" x14ac:dyDescent="0.3">
      <c r="A130" s="1">
        <v>45221.836111111108</v>
      </c>
      <c r="B130" s="2">
        <v>45221.836111111108</v>
      </c>
      <c r="C130" t="s">
        <v>767</v>
      </c>
      <c r="D130">
        <v>6</v>
      </c>
      <c r="E130">
        <f>Logs_Reseau_Part56[[#This Row],[Duree_Panne_Min]]/60</f>
        <v>0.1</v>
      </c>
      <c r="F130" t="s">
        <v>739</v>
      </c>
      <c r="G130" t="str">
        <f>IFERROR(VLOOKUP(Logs_Reseau_Part56[[#This Row],[Cell_ID]],Registre_Maintenance_Part[[ID_Antenne]:[Colonne2]],2,FALSE),"")</f>
        <v>Kasai</v>
      </c>
      <c r="H130">
        <f>IFERROR(VLOOKUP(Logs_Reseau_Part56[[#This Row],[Cell_ID]],Registre_Maintenance_Part[[ID_Antenne]:[Colonne2]],3,FALSE),"")</f>
        <v>-4.9789079999999997</v>
      </c>
      <c r="I130">
        <f>IFERROR(VLOOKUP(Logs_Reseau_Part56[[#This Row],[Cell_ID]],Registre_Maintenance_Part[[ID_Antenne]:[Colonne2]],4,FALSE),"")</f>
        <v>28.506295000000001</v>
      </c>
      <c r="J130" t="str">
        <f>IFERROR(VLOOKUP(Logs_Reseau_Part56[[#This Row],[Cell_ID]],Registre_Maintenance_Part[[ID_Antenne]:[Colonne2]],5,FALSE),"")</f>
        <v>4G</v>
      </c>
      <c r="K130" t="str">
        <f>IFERROR(VLOOKUP(Logs_Reseau_Part56[[#This Row],[Cell_ID]],Registre_Maintenance_Part[[ID_Antenne]:[Colonne2]],6,FALSE),"")</f>
        <v>Huawei</v>
      </c>
    </row>
    <row r="131" spans="1:11" x14ac:dyDescent="0.3">
      <c r="A131" s="1">
        <v>45225.622916666667</v>
      </c>
      <c r="B131" s="2">
        <v>45225.622916666667</v>
      </c>
      <c r="C131" t="s">
        <v>972</v>
      </c>
      <c r="D131">
        <v>86</v>
      </c>
      <c r="E131">
        <f>Logs_Reseau_Part56[[#This Row],[Duree_Panne_Min]]/60</f>
        <v>1.4333333333333333</v>
      </c>
      <c r="F131" t="s">
        <v>734</v>
      </c>
      <c r="G131" t="str">
        <f>IFERROR(VLOOKUP(Logs_Reseau_Part56[[#This Row],[Cell_ID]],Registre_Maintenance_Part[[ID_Antenne]:[Colonne2]],2,FALSE),"")</f>
        <v>Kasai</v>
      </c>
      <c r="H131">
        <f>IFERROR(VLOOKUP(Logs_Reseau_Part56[[#This Row],[Cell_ID]],Registre_Maintenance_Part[[ID_Antenne]:[Colonne2]],3,FALSE),"")</f>
        <v>-10.165072</v>
      </c>
      <c r="I131">
        <f>IFERROR(VLOOKUP(Logs_Reseau_Part56[[#This Row],[Cell_ID]],Registre_Maintenance_Part[[ID_Antenne]:[Colonne2]],4,FALSE),"")</f>
        <v>29.428024000000001</v>
      </c>
      <c r="J131" t="str">
        <f>IFERROR(VLOOKUP(Logs_Reseau_Part56[[#This Row],[Cell_ID]],Registre_Maintenance_Part[[ID_Antenne]:[Colonne2]],5,FALSE),"")</f>
        <v>5G</v>
      </c>
      <c r="K131" t="str">
        <f>IFERROR(VLOOKUP(Logs_Reseau_Part56[[#This Row],[Cell_ID]],Registre_Maintenance_Part[[ID_Antenne]:[Colonne2]],6,FALSE),"")</f>
        <v>Huawei</v>
      </c>
    </row>
    <row r="132" spans="1:11" x14ac:dyDescent="0.3">
      <c r="A132" s="1">
        <v>45202.259722222218</v>
      </c>
      <c r="B132" s="2">
        <v>45202.259722222218</v>
      </c>
      <c r="C132" t="s">
        <v>742</v>
      </c>
      <c r="D132">
        <v>79</v>
      </c>
      <c r="E132">
        <f>Logs_Reseau_Part56[[#This Row],[Duree_Panne_Min]]/60</f>
        <v>1.3166666666666667</v>
      </c>
      <c r="F132" t="s">
        <v>734</v>
      </c>
      <c r="G132" t="str">
        <f>IFERROR(VLOOKUP(Logs_Reseau_Part56[[#This Row],[Cell_ID]],Registre_Maintenance_Part[[ID_Antenne]:[Colonne2]],2,FALSE),"")</f>
        <v>Kasai-Central</v>
      </c>
      <c r="H132">
        <f>IFERROR(VLOOKUP(Logs_Reseau_Part56[[#This Row],[Cell_ID]],Registre_Maintenance_Part[[ID_Antenne]:[Colonne2]],3,FALSE),"")</f>
        <v>-1.648264</v>
      </c>
      <c r="I132">
        <f>IFERROR(VLOOKUP(Logs_Reseau_Part56[[#This Row],[Cell_ID]],Registre_Maintenance_Part[[ID_Antenne]:[Colonne2]],4,FALSE),"")</f>
        <v>28.866143999999998</v>
      </c>
      <c r="J132" t="str">
        <f>IFERROR(VLOOKUP(Logs_Reseau_Part56[[#This Row],[Cell_ID]],Registre_Maintenance_Part[[ID_Antenne]:[Colonne2]],5,FALSE),"")</f>
        <v>5G</v>
      </c>
      <c r="K132" t="str">
        <f>IFERROR(VLOOKUP(Logs_Reseau_Part56[[#This Row],[Cell_ID]],Registre_Maintenance_Part[[ID_Antenne]:[Colonne2]],6,FALSE),"")</f>
        <v>Ericsson</v>
      </c>
    </row>
    <row r="133" spans="1:11" x14ac:dyDescent="0.3">
      <c r="A133" s="1">
        <v>45202.747916666667</v>
      </c>
      <c r="B133" s="2">
        <v>45202.747916666667</v>
      </c>
      <c r="C133" t="s">
        <v>880</v>
      </c>
      <c r="D133">
        <v>28</v>
      </c>
      <c r="E133">
        <f>Logs_Reseau_Part56[[#This Row],[Duree_Panne_Min]]/60</f>
        <v>0.46666666666666667</v>
      </c>
      <c r="F133" t="s">
        <v>737</v>
      </c>
      <c r="G133" t="str">
        <f>IFERROR(VLOOKUP(Logs_Reseau_Part56[[#This Row],[Cell_ID]],Registre_Maintenance_Part[[ID_Antenne]:[Colonne2]],2,FALSE),"")</f>
        <v>Kasai-Central</v>
      </c>
      <c r="H133">
        <f>IFERROR(VLOOKUP(Logs_Reseau_Part56[[#This Row],[Cell_ID]],Registre_Maintenance_Part[[ID_Antenne]:[Colonne2]],3,FALSE),"")</f>
        <v>-3.111418</v>
      </c>
      <c r="I133">
        <f>IFERROR(VLOOKUP(Logs_Reseau_Part56[[#This Row],[Cell_ID]],Registre_Maintenance_Part[[ID_Antenne]:[Colonne2]],4,FALSE),"")</f>
        <v>14.144854</v>
      </c>
      <c r="J133" t="str">
        <f>IFERROR(VLOOKUP(Logs_Reseau_Part56[[#This Row],[Cell_ID]],Registre_Maintenance_Part[[ID_Antenne]:[Colonne2]],5,FALSE),"")</f>
        <v>4G</v>
      </c>
      <c r="K133" t="str">
        <f>IFERROR(VLOOKUP(Logs_Reseau_Part56[[#This Row],[Cell_ID]],Registre_Maintenance_Part[[ID_Antenne]:[Colonne2]],6,FALSE),"")</f>
        <v>ZTE</v>
      </c>
    </row>
    <row r="134" spans="1:11" x14ac:dyDescent="0.3">
      <c r="A134" s="1">
        <v>45203.250694444447</v>
      </c>
      <c r="B134" s="2">
        <v>45203.250694444447</v>
      </c>
      <c r="C134" t="s">
        <v>865</v>
      </c>
      <c r="D134">
        <v>49</v>
      </c>
      <c r="E134">
        <f>Logs_Reseau_Part56[[#This Row],[Duree_Panne_Min]]/60</f>
        <v>0.81666666666666665</v>
      </c>
      <c r="F134" t="s">
        <v>737</v>
      </c>
      <c r="G134" t="str">
        <f>IFERROR(VLOOKUP(Logs_Reseau_Part56[[#This Row],[Cell_ID]],Registre_Maintenance_Part[[ID_Antenne]:[Colonne2]],2,FALSE),"")</f>
        <v>Kasai-Central</v>
      </c>
      <c r="H134">
        <f>IFERROR(VLOOKUP(Logs_Reseau_Part56[[#This Row],[Cell_ID]],Registre_Maintenance_Part[[ID_Antenne]:[Colonne2]],3,FALSE),"")</f>
        <v>-10.414493</v>
      </c>
      <c r="I134">
        <f>IFERROR(VLOOKUP(Logs_Reseau_Part56[[#This Row],[Cell_ID]],Registre_Maintenance_Part[[ID_Antenne]:[Colonne2]],4,FALSE),"")</f>
        <v>12.333356999999999</v>
      </c>
      <c r="J134" t="str">
        <f>IFERROR(VLOOKUP(Logs_Reseau_Part56[[#This Row],[Cell_ID]],Registre_Maintenance_Part[[ID_Antenne]:[Colonne2]],5,FALSE),"")</f>
        <v>3G</v>
      </c>
      <c r="K134" t="str">
        <f>IFERROR(VLOOKUP(Logs_Reseau_Part56[[#This Row],[Cell_ID]],Registre_Maintenance_Part[[ID_Antenne]:[Colonne2]],6,FALSE),"")</f>
        <v>Ericsson</v>
      </c>
    </row>
    <row r="135" spans="1:11" x14ac:dyDescent="0.3">
      <c r="A135" s="1">
        <v>45204.572222222218</v>
      </c>
      <c r="B135" s="2">
        <v>45204.572222222218</v>
      </c>
      <c r="C135" t="s">
        <v>880</v>
      </c>
      <c r="D135">
        <v>88</v>
      </c>
      <c r="E135">
        <f>Logs_Reseau_Part56[[#This Row],[Duree_Panne_Min]]/60</f>
        <v>1.4666666666666666</v>
      </c>
      <c r="F135" t="s">
        <v>739</v>
      </c>
      <c r="G135" t="str">
        <f>IFERROR(VLOOKUP(Logs_Reseau_Part56[[#This Row],[Cell_ID]],Registre_Maintenance_Part[[ID_Antenne]:[Colonne2]],2,FALSE),"")</f>
        <v>Kasai-Central</v>
      </c>
      <c r="H135">
        <f>IFERROR(VLOOKUP(Logs_Reseau_Part56[[#This Row],[Cell_ID]],Registre_Maintenance_Part[[ID_Antenne]:[Colonne2]],3,FALSE),"")</f>
        <v>-3.111418</v>
      </c>
      <c r="I135">
        <f>IFERROR(VLOOKUP(Logs_Reseau_Part56[[#This Row],[Cell_ID]],Registre_Maintenance_Part[[ID_Antenne]:[Colonne2]],4,FALSE),"")</f>
        <v>14.144854</v>
      </c>
      <c r="J135" t="str">
        <f>IFERROR(VLOOKUP(Logs_Reseau_Part56[[#This Row],[Cell_ID]],Registre_Maintenance_Part[[ID_Antenne]:[Colonne2]],5,FALSE),"")</f>
        <v>4G</v>
      </c>
      <c r="K135" t="str">
        <f>IFERROR(VLOOKUP(Logs_Reseau_Part56[[#This Row],[Cell_ID]],Registre_Maintenance_Part[[ID_Antenne]:[Colonne2]],6,FALSE),"")</f>
        <v>ZTE</v>
      </c>
    </row>
    <row r="136" spans="1:11" x14ac:dyDescent="0.3">
      <c r="A136" s="1">
        <v>45204.76666666667</v>
      </c>
      <c r="B136" s="2">
        <v>45204.76666666667</v>
      </c>
      <c r="C136" t="s">
        <v>1242</v>
      </c>
      <c r="D136">
        <v>9</v>
      </c>
      <c r="E136">
        <f>Logs_Reseau_Part56[[#This Row],[Duree_Panne_Min]]/60</f>
        <v>0.15</v>
      </c>
      <c r="F136" t="s">
        <v>739</v>
      </c>
      <c r="G136" t="str">
        <f>IFERROR(VLOOKUP(Logs_Reseau_Part56[[#This Row],[Cell_ID]],Registre_Maintenance_Part[[ID_Antenne]:[Colonne2]],2,FALSE),"")</f>
        <v>Kasai-Central</v>
      </c>
      <c r="H136">
        <f>IFERROR(VLOOKUP(Logs_Reseau_Part56[[#This Row],[Cell_ID]],Registre_Maintenance_Part[[ID_Antenne]:[Colonne2]],3,FALSE),"")</f>
        <v>-12.560556999999999</v>
      </c>
      <c r="I136">
        <f>IFERROR(VLOOKUP(Logs_Reseau_Part56[[#This Row],[Cell_ID]],Registre_Maintenance_Part[[ID_Antenne]:[Colonne2]],4,FALSE),"")</f>
        <v>13.204014000000001</v>
      </c>
      <c r="J136" t="str">
        <f>IFERROR(VLOOKUP(Logs_Reseau_Part56[[#This Row],[Cell_ID]],Registre_Maintenance_Part[[ID_Antenne]:[Colonne2]],5,FALSE),"")</f>
        <v>4G</v>
      </c>
      <c r="K136" t="str">
        <f>IFERROR(VLOOKUP(Logs_Reseau_Part56[[#This Row],[Cell_ID]],Registre_Maintenance_Part[[ID_Antenne]:[Colonne2]],6,FALSE),"")</f>
        <v>Ericsson</v>
      </c>
    </row>
    <row r="137" spans="1:11" x14ac:dyDescent="0.3">
      <c r="A137" s="1">
        <v>45204.81527777778</v>
      </c>
      <c r="B137" s="2">
        <v>45204.81527777778</v>
      </c>
      <c r="C137" t="s">
        <v>865</v>
      </c>
      <c r="D137">
        <v>71</v>
      </c>
      <c r="E137">
        <f>Logs_Reseau_Part56[[#This Row],[Duree_Panne_Min]]/60</f>
        <v>1.1833333333333333</v>
      </c>
      <c r="F137" t="s">
        <v>739</v>
      </c>
      <c r="G137" t="str">
        <f>IFERROR(VLOOKUP(Logs_Reseau_Part56[[#This Row],[Cell_ID]],Registre_Maintenance_Part[[ID_Antenne]:[Colonne2]],2,FALSE),"")</f>
        <v>Kasai-Central</v>
      </c>
      <c r="H137">
        <f>IFERROR(VLOOKUP(Logs_Reseau_Part56[[#This Row],[Cell_ID]],Registre_Maintenance_Part[[ID_Antenne]:[Colonne2]],3,FALSE),"")</f>
        <v>-10.414493</v>
      </c>
      <c r="I137">
        <f>IFERROR(VLOOKUP(Logs_Reseau_Part56[[#This Row],[Cell_ID]],Registre_Maintenance_Part[[ID_Antenne]:[Colonne2]],4,FALSE),"")</f>
        <v>12.333356999999999</v>
      </c>
      <c r="J137" t="str">
        <f>IFERROR(VLOOKUP(Logs_Reseau_Part56[[#This Row],[Cell_ID]],Registre_Maintenance_Part[[ID_Antenne]:[Colonne2]],5,FALSE),"")</f>
        <v>3G</v>
      </c>
      <c r="K137" t="str">
        <f>IFERROR(VLOOKUP(Logs_Reseau_Part56[[#This Row],[Cell_ID]],Registre_Maintenance_Part[[ID_Antenne]:[Colonne2]],6,FALSE),"")</f>
        <v>Ericsson</v>
      </c>
    </row>
    <row r="138" spans="1:11" x14ac:dyDescent="0.3">
      <c r="A138" s="1">
        <v>45206.027083333327</v>
      </c>
      <c r="B138" s="2">
        <v>45206.027083333327</v>
      </c>
      <c r="C138" t="s">
        <v>880</v>
      </c>
      <c r="D138">
        <v>36</v>
      </c>
      <c r="E138">
        <f>Logs_Reseau_Part56[[#This Row],[Duree_Panne_Min]]/60</f>
        <v>0.6</v>
      </c>
      <c r="F138" t="s">
        <v>739</v>
      </c>
      <c r="G138" t="str">
        <f>IFERROR(VLOOKUP(Logs_Reseau_Part56[[#This Row],[Cell_ID]],Registre_Maintenance_Part[[ID_Antenne]:[Colonne2]],2,FALSE),"")</f>
        <v>Kasai-Central</v>
      </c>
      <c r="H138">
        <f>IFERROR(VLOOKUP(Logs_Reseau_Part56[[#This Row],[Cell_ID]],Registre_Maintenance_Part[[ID_Antenne]:[Colonne2]],3,FALSE),"")</f>
        <v>-3.111418</v>
      </c>
      <c r="I138">
        <f>IFERROR(VLOOKUP(Logs_Reseau_Part56[[#This Row],[Cell_ID]],Registre_Maintenance_Part[[ID_Antenne]:[Colonne2]],4,FALSE),"")</f>
        <v>14.144854</v>
      </c>
      <c r="J138" t="str">
        <f>IFERROR(VLOOKUP(Logs_Reseau_Part56[[#This Row],[Cell_ID]],Registre_Maintenance_Part[[ID_Antenne]:[Colonne2]],5,FALSE),"")</f>
        <v>4G</v>
      </c>
      <c r="K138" t="str">
        <f>IFERROR(VLOOKUP(Logs_Reseau_Part56[[#This Row],[Cell_ID]],Registre_Maintenance_Part[[ID_Antenne]:[Colonne2]],6,FALSE),"")</f>
        <v>ZTE</v>
      </c>
    </row>
    <row r="139" spans="1:11" x14ac:dyDescent="0.3">
      <c r="A139" s="1">
        <v>45207.011111111111</v>
      </c>
      <c r="B139" s="2">
        <v>45207.011111111111</v>
      </c>
      <c r="C139" t="s">
        <v>1144</v>
      </c>
      <c r="D139">
        <v>32</v>
      </c>
      <c r="E139">
        <f>Logs_Reseau_Part56[[#This Row],[Duree_Panne_Min]]/60</f>
        <v>0.53333333333333333</v>
      </c>
      <c r="F139" t="s">
        <v>734</v>
      </c>
      <c r="G139" t="str">
        <f>IFERROR(VLOOKUP(Logs_Reseau_Part56[[#This Row],[Cell_ID]],Registre_Maintenance_Part[[ID_Antenne]:[Colonne2]],2,FALSE),"")</f>
        <v>Kasai-Central</v>
      </c>
      <c r="H139">
        <f>IFERROR(VLOOKUP(Logs_Reseau_Part56[[#This Row],[Cell_ID]],Registre_Maintenance_Part[[ID_Antenne]:[Colonne2]],3,FALSE),"")</f>
        <v>1.897178</v>
      </c>
      <c r="I139">
        <f>IFERROR(VLOOKUP(Logs_Reseau_Part56[[#This Row],[Cell_ID]],Registre_Maintenance_Part[[ID_Antenne]:[Colonne2]],4,FALSE),"")</f>
        <v>23.902604</v>
      </c>
      <c r="J139" t="str">
        <f>IFERROR(VLOOKUP(Logs_Reseau_Part56[[#This Row],[Cell_ID]],Registre_Maintenance_Part[[ID_Antenne]:[Colonne2]],5,FALSE),"")</f>
        <v>3G</v>
      </c>
      <c r="K139" t="str">
        <f>IFERROR(VLOOKUP(Logs_Reseau_Part56[[#This Row],[Cell_ID]],Registre_Maintenance_Part[[ID_Antenne]:[Colonne2]],6,FALSE),"")</f>
        <v>Nokia</v>
      </c>
    </row>
    <row r="140" spans="1:11" x14ac:dyDescent="0.3">
      <c r="A140" s="1">
        <v>45208.558333333327</v>
      </c>
      <c r="B140" s="2">
        <v>45208.558333333327</v>
      </c>
      <c r="C140" t="s">
        <v>1399</v>
      </c>
      <c r="D140">
        <v>44</v>
      </c>
      <c r="E140">
        <f>Logs_Reseau_Part56[[#This Row],[Duree_Panne_Min]]/60</f>
        <v>0.73333333333333328</v>
      </c>
      <c r="F140" t="s">
        <v>739</v>
      </c>
      <c r="G140" t="str">
        <f>IFERROR(VLOOKUP(Logs_Reseau_Part56[[#This Row],[Cell_ID]],Registre_Maintenance_Part[[ID_Antenne]:[Colonne2]],2,FALSE),"")</f>
        <v>Kasai-Central</v>
      </c>
      <c r="H140">
        <f>IFERROR(VLOOKUP(Logs_Reseau_Part56[[#This Row],[Cell_ID]],Registre_Maintenance_Part[[ID_Antenne]:[Colonne2]],3,FALSE),"")</f>
        <v>-8.0800809999999998</v>
      </c>
      <c r="I140">
        <f>IFERROR(VLOOKUP(Logs_Reseau_Part56[[#This Row],[Cell_ID]],Registre_Maintenance_Part[[ID_Antenne]:[Colonne2]],4,FALSE),"")</f>
        <v>30.147970999999998</v>
      </c>
      <c r="J140" t="str">
        <f>IFERROR(VLOOKUP(Logs_Reseau_Part56[[#This Row],[Cell_ID]],Registre_Maintenance_Part[[ID_Antenne]:[Colonne2]],5,FALSE),"")</f>
        <v>5G</v>
      </c>
      <c r="K140" t="str">
        <f>IFERROR(VLOOKUP(Logs_Reseau_Part56[[#This Row],[Cell_ID]],Registre_Maintenance_Part[[ID_Antenne]:[Colonne2]],6,FALSE),"")</f>
        <v>Huawei</v>
      </c>
    </row>
    <row r="141" spans="1:11" x14ac:dyDescent="0.3">
      <c r="A141" s="1">
        <v>45209.824305555558</v>
      </c>
      <c r="B141" s="2">
        <v>45209.824305555558</v>
      </c>
      <c r="C141" t="s">
        <v>865</v>
      </c>
      <c r="D141">
        <v>93</v>
      </c>
      <c r="E141">
        <f>Logs_Reseau_Part56[[#This Row],[Duree_Panne_Min]]/60</f>
        <v>1.55</v>
      </c>
      <c r="F141" t="s">
        <v>739</v>
      </c>
      <c r="G141" t="str">
        <f>IFERROR(VLOOKUP(Logs_Reseau_Part56[[#This Row],[Cell_ID]],Registre_Maintenance_Part[[ID_Antenne]:[Colonne2]],2,FALSE),"")</f>
        <v>Kasai-Central</v>
      </c>
      <c r="H141">
        <f>IFERROR(VLOOKUP(Logs_Reseau_Part56[[#This Row],[Cell_ID]],Registre_Maintenance_Part[[ID_Antenne]:[Colonne2]],3,FALSE),"")</f>
        <v>-10.414493</v>
      </c>
      <c r="I141">
        <f>IFERROR(VLOOKUP(Logs_Reseau_Part56[[#This Row],[Cell_ID]],Registre_Maintenance_Part[[ID_Antenne]:[Colonne2]],4,FALSE),"")</f>
        <v>12.333356999999999</v>
      </c>
      <c r="J141" t="str">
        <f>IFERROR(VLOOKUP(Logs_Reseau_Part56[[#This Row],[Cell_ID]],Registre_Maintenance_Part[[ID_Antenne]:[Colonne2]],5,FALSE),"")</f>
        <v>3G</v>
      </c>
      <c r="K141" t="str">
        <f>IFERROR(VLOOKUP(Logs_Reseau_Part56[[#This Row],[Cell_ID]],Registre_Maintenance_Part[[ID_Antenne]:[Colonne2]],6,FALSE),"")</f>
        <v>Ericsson</v>
      </c>
    </row>
    <row r="142" spans="1:11" x14ac:dyDescent="0.3">
      <c r="A142" s="1">
        <v>45212.568055555559</v>
      </c>
      <c r="B142" s="2">
        <v>45212.568055555559</v>
      </c>
      <c r="C142" t="s">
        <v>1241</v>
      </c>
      <c r="D142">
        <v>42</v>
      </c>
      <c r="E142">
        <f>Logs_Reseau_Part56[[#This Row],[Duree_Panne_Min]]/60</f>
        <v>0.7</v>
      </c>
      <c r="F142" t="s">
        <v>737</v>
      </c>
      <c r="G142" t="str">
        <f>IFERROR(VLOOKUP(Logs_Reseau_Part56[[#This Row],[Cell_ID]],Registre_Maintenance_Part[[ID_Antenne]:[Colonne2]],2,FALSE),"")</f>
        <v>Kasai-Central</v>
      </c>
      <c r="H142">
        <f>IFERROR(VLOOKUP(Logs_Reseau_Part56[[#This Row],[Cell_ID]],Registre_Maintenance_Part[[ID_Antenne]:[Colonne2]],3,FALSE),"")</f>
        <v>-7.3379339999999997</v>
      </c>
      <c r="I142">
        <f>IFERROR(VLOOKUP(Logs_Reseau_Part56[[#This Row],[Cell_ID]],Registre_Maintenance_Part[[ID_Antenne]:[Colonne2]],4,FALSE),"")</f>
        <v>28.404001999999998</v>
      </c>
      <c r="J142" t="str">
        <f>IFERROR(VLOOKUP(Logs_Reseau_Part56[[#This Row],[Cell_ID]],Registre_Maintenance_Part[[ID_Antenne]:[Colonne2]],5,FALSE),"")</f>
        <v>3G</v>
      </c>
      <c r="K142" t="str">
        <f>IFERROR(VLOOKUP(Logs_Reseau_Part56[[#This Row],[Cell_ID]],Registre_Maintenance_Part[[ID_Antenne]:[Colonne2]],6,FALSE),"")</f>
        <v>Nokia</v>
      </c>
    </row>
    <row r="143" spans="1:11" x14ac:dyDescent="0.3">
      <c r="A143" s="1">
        <v>45215.015972222223</v>
      </c>
      <c r="B143" s="2">
        <v>45215.015972222223</v>
      </c>
      <c r="C143" t="s">
        <v>1123</v>
      </c>
      <c r="D143">
        <v>74</v>
      </c>
      <c r="E143">
        <f>Logs_Reseau_Part56[[#This Row],[Duree_Panne_Min]]/60</f>
        <v>1.2333333333333334</v>
      </c>
      <c r="F143" t="s">
        <v>734</v>
      </c>
      <c r="G143" t="str">
        <f>IFERROR(VLOOKUP(Logs_Reseau_Part56[[#This Row],[Cell_ID]],Registre_Maintenance_Part[[ID_Antenne]:[Colonne2]],2,FALSE),"")</f>
        <v>Kasai-Central</v>
      </c>
      <c r="H143">
        <f>IFERROR(VLOOKUP(Logs_Reseau_Part56[[#This Row],[Cell_ID]],Registre_Maintenance_Part[[ID_Antenne]:[Colonne2]],3,FALSE),"")</f>
        <v>-5.8352820000000003</v>
      </c>
      <c r="I143">
        <f>IFERROR(VLOOKUP(Logs_Reseau_Part56[[#This Row],[Cell_ID]],Registre_Maintenance_Part[[ID_Antenne]:[Colonne2]],4,FALSE),"")</f>
        <v>26.603978000000001</v>
      </c>
      <c r="J143" t="str">
        <f>IFERROR(VLOOKUP(Logs_Reseau_Part56[[#This Row],[Cell_ID]],Registre_Maintenance_Part[[ID_Antenne]:[Colonne2]],5,FALSE),"")</f>
        <v>4G</v>
      </c>
      <c r="K143" t="str">
        <f>IFERROR(VLOOKUP(Logs_Reseau_Part56[[#This Row],[Cell_ID]],Registre_Maintenance_Part[[ID_Antenne]:[Colonne2]],6,FALSE),"")</f>
        <v>Huawei</v>
      </c>
    </row>
    <row r="144" spans="1:11" x14ac:dyDescent="0.3">
      <c r="A144" s="1">
        <v>45216.457638888889</v>
      </c>
      <c r="B144" s="2">
        <v>45216.457638888889</v>
      </c>
      <c r="C144" t="s">
        <v>817</v>
      </c>
      <c r="D144">
        <v>39</v>
      </c>
      <c r="E144">
        <f>Logs_Reseau_Part56[[#This Row],[Duree_Panne_Min]]/60</f>
        <v>0.65</v>
      </c>
      <c r="F144" t="s">
        <v>734</v>
      </c>
      <c r="G144" t="str">
        <f>IFERROR(VLOOKUP(Logs_Reseau_Part56[[#This Row],[Cell_ID]],Registre_Maintenance_Part[[ID_Antenne]:[Colonne2]],2,FALSE),"")</f>
        <v>Kasai-Central</v>
      </c>
      <c r="H144">
        <f>IFERROR(VLOOKUP(Logs_Reseau_Part56[[#This Row],[Cell_ID]],Registre_Maintenance_Part[[ID_Antenne]:[Colonne2]],3,FALSE),"")</f>
        <v>-9.5266249999999992</v>
      </c>
      <c r="I144">
        <f>IFERROR(VLOOKUP(Logs_Reseau_Part56[[#This Row],[Cell_ID]],Registre_Maintenance_Part[[ID_Antenne]:[Colonne2]],4,FALSE),"")</f>
        <v>27.889690999999999</v>
      </c>
      <c r="J144" t="str">
        <f>IFERROR(VLOOKUP(Logs_Reseau_Part56[[#This Row],[Cell_ID]],Registre_Maintenance_Part[[ID_Antenne]:[Colonne2]],5,FALSE),"")</f>
        <v>4G</v>
      </c>
      <c r="K144" t="str">
        <f>IFERROR(VLOOKUP(Logs_Reseau_Part56[[#This Row],[Cell_ID]],Registre_Maintenance_Part[[ID_Antenne]:[Colonne2]],6,FALSE),"")</f>
        <v>Ericsson</v>
      </c>
    </row>
    <row r="145" spans="1:11" x14ac:dyDescent="0.3">
      <c r="A145" s="1">
        <v>45217.578472222223</v>
      </c>
      <c r="B145" s="2">
        <v>45217.578472222223</v>
      </c>
      <c r="C145" t="s">
        <v>1388</v>
      </c>
      <c r="D145">
        <v>93</v>
      </c>
      <c r="E145">
        <f>Logs_Reseau_Part56[[#This Row],[Duree_Panne_Min]]/60</f>
        <v>1.55</v>
      </c>
      <c r="F145" t="s">
        <v>737</v>
      </c>
      <c r="G145" t="str">
        <f>IFERROR(VLOOKUP(Logs_Reseau_Part56[[#This Row],[Cell_ID]],Registre_Maintenance_Part[[ID_Antenne]:[Colonne2]],2,FALSE),"")</f>
        <v>Kasai-Central</v>
      </c>
      <c r="H145">
        <f>IFERROR(VLOOKUP(Logs_Reseau_Part56[[#This Row],[Cell_ID]],Registre_Maintenance_Part[[ID_Antenne]:[Colonne2]],3,FALSE),"")</f>
        <v>-10.735106</v>
      </c>
      <c r="I145">
        <f>IFERROR(VLOOKUP(Logs_Reseau_Part56[[#This Row],[Cell_ID]],Registre_Maintenance_Part[[ID_Antenne]:[Colonne2]],4,FALSE),"")</f>
        <v>27.868673999999999</v>
      </c>
      <c r="J145" t="str">
        <f>IFERROR(VLOOKUP(Logs_Reseau_Part56[[#This Row],[Cell_ID]],Registre_Maintenance_Part[[ID_Antenne]:[Colonne2]],5,FALSE),"")</f>
        <v>3G</v>
      </c>
      <c r="K145" t="str">
        <f>IFERROR(VLOOKUP(Logs_Reseau_Part56[[#This Row],[Cell_ID]],Registre_Maintenance_Part[[ID_Antenne]:[Colonne2]],6,FALSE),"")</f>
        <v>Ericsson</v>
      </c>
    </row>
    <row r="146" spans="1:11" x14ac:dyDescent="0.3">
      <c r="A146" s="1">
        <v>45218.378472222219</v>
      </c>
      <c r="B146" s="2">
        <v>45218.378472222219</v>
      </c>
      <c r="C146" t="s">
        <v>911</v>
      </c>
      <c r="D146">
        <v>102</v>
      </c>
      <c r="E146">
        <f>Logs_Reseau_Part56[[#This Row],[Duree_Panne_Min]]/60</f>
        <v>1.7</v>
      </c>
      <c r="F146" t="s">
        <v>734</v>
      </c>
      <c r="G146" t="str">
        <f>IFERROR(VLOOKUP(Logs_Reseau_Part56[[#This Row],[Cell_ID]],Registre_Maintenance_Part[[ID_Antenne]:[Colonne2]],2,FALSE),"")</f>
        <v>Kasai-Central</v>
      </c>
      <c r="H146">
        <f>IFERROR(VLOOKUP(Logs_Reseau_Part56[[#This Row],[Cell_ID]],Registre_Maintenance_Part[[ID_Antenne]:[Colonne2]],3,FALSE),"")</f>
        <v>-4.4451280000000004</v>
      </c>
      <c r="I146">
        <f>IFERROR(VLOOKUP(Logs_Reseau_Part56[[#This Row],[Cell_ID]],Registre_Maintenance_Part[[ID_Antenne]:[Colonne2]],4,FALSE),"")</f>
        <v>16.536944999999999</v>
      </c>
      <c r="J146" t="str">
        <f>IFERROR(VLOOKUP(Logs_Reseau_Part56[[#This Row],[Cell_ID]],Registre_Maintenance_Part[[ID_Antenne]:[Colonne2]],5,FALSE),"")</f>
        <v>4G</v>
      </c>
      <c r="K146" t="str">
        <f>IFERROR(VLOOKUP(Logs_Reseau_Part56[[#This Row],[Cell_ID]],Registre_Maintenance_Part[[ID_Antenne]:[Colonne2]],6,FALSE),"")</f>
        <v>Ericsson</v>
      </c>
    </row>
    <row r="147" spans="1:11" x14ac:dyDescent="0.3">
      <c r="A147" s="1">
        <v>45221.180555555547</v>
      </c>
      <c r="B147" s="2">
        <v>45221.180555555547</v>
      </c>
      <c r="C147" t="s">
        <v>742</v>
      </c>
      <c r="D147">
        <v>8</v>
      </c>
      <c r="E147">
        <f>Logs_Reseau_Part56[[#This Row],[Duree_Panne_Min]]/60</f>
        <v>0.13333333333333333</v>
      </c>
      <c r="F147" t="s">
        <v>734</v>
      </c>
      <c r="G147" t="str">
        <f>IFERROR(VLOOKUP(Logs_Reseau_Part56[[#This Row],[Cell_ID]],Registre_Maintenance_Part[[ID_Antenne]:[Colonne2]],2,FALSE),"")</f>
        <v>Kasai-Central</v>
      </c>
      <c r="H147">
        <f>IFERROR(VLOOKUP(Logs_Reseau_Part56[[#This Row],[Cell_ID]],Registre_Maintenance_Part[[ID_Antenne]:[Colonne2]],3,FALSE),"")</f>
        <v>-1.648264</v>
      </c>
      <c r="I147">
        <f>IFERROR(VLOOKUP(Logs_Reseau_Part56[[#This Row],[Cell_ID]],Registre_Maintenance_Part[[ID_Antenne]:[Colonne2]],4,FALSE),"")</f>
        <v>28.866143999999998</v>
      </c>
      <c r="J147" t="str">
        <f>IFERROR(VLOOKUP(Logs_Reseau_Part56[[#This Row],[Cell_ID]],Registre_Maintenance_Part[[ID_Antenne]:[Colonne2]],5,FALSE),"")</f>
        <v>5G</v>
      </c>
      <c r="K147" t="str">
        <f>IFERROR(VLOOKUP(Logs_Reseau_Part56[[#This Row],[Cell_ID]],Registre_Maintenance_Part[[ID_Antenne]:[Colonne2]],6,FALSE),"")</f>
        <v>Ericsson</v>
      </c>
    </row>
    <row r="148" spans="1:11" x14ac:dyDescent="0.3">
      <c r="A148" s="1">
        <v>45221.772222222222</v>
      </c>
      <c r="B148" s="2">
        <v>45221.772222222222</v>
      </c>
      <c r="C148" t="s">
        <v>911</v>
      </c>
      <c r="D148">
        <v>107</v>
      </c>
      <c r="E148">
        <f>Logs_Reseau_Part56[[#This Row],[Duree_Panne_Min]]/60</f>
        <v>1.7833333333333334</v>
      </c>
      <c r="F148" t="s">
        <v>734</v>
      </c>
      <c r="G148" t="str">
        <f>IFERROR(VLOOKUP(Logs_Reseau_Part56[[#This Row],[Cell_ID]],Registre_Maintenance_Part[[ID_Antenne]:[Colonne2]],2,FALSE),"")</f>
        <v>Kasai-Central</v>
      </c>
      <c r="H148">
        <f>IFERROR(VLOOKUP(Logs_Reseau_Part56[[#This Row],[Cell_ID]],Registre_Maintenance_Part[[ID_Antenne]:[Colonne2]],3,FALSE),"")</f>
        <v>-4.4451280000000004</v>
      </c>
      <c r="I148">
        <f>IFERROR(VLOOKUP(Logs_Reseau_Part56[[#This Row],[Cell_ID]],Registre_Maintenance_Part[[ID_Antenne]:[Colonne2]],4,FALSE),"")</f>
        <v>16.536944999999999</v>
      </c>
      <c r="J148" t="str">
        <f>IFERROR(VLOOKUP(Logs_Reseau_Part56[[#This Row],[Cell_ID]],Registre_Maintenance_Part[[ID_Antenne]:[Colonne2]],5,FALSE),"")</f>
        <v>4G</v>
      </c>
      <c r="K148" t="str">
        <f>IFERROR(VLOOKUP(Logs_Reseau_Part56[[#This Row],[Cell_ID]],Registre_Maintenance_Part[[ID_Antenne]:[Colonne2]],6,FALSE),"")</f>
        <v>Ericsson</v>
      </c>
    </row>
    <row r="149" spans="1:11" x14ac:dyDescent="0.3">
      <c r="A149" s="1">
        <v>45221.910416666673</v>
      </c>
      <c r="B149" s="2">
        <v>45221.910416666673</v>
      </c>
      <c r="C149" t="s">
        <v>865</v>
      </c>
      <c r="D149">
        <v>60</v>
      </c>
      <c r="E149">
        <f>Logs_Reseau_Part56[[#This Row],[Duree_Panne_Min]]/60</f>
        <v>1</v>
      </c>
      <c r="F149" t="s">
        <v>737</v>
      </c>
      <c r="G149" t="str">
        <f>IFERROR(VLOOKUP(Logs_Reseau_Part56[[#This Row],[Cell_ID]],Registre_Maintenance_Part[[ID_Antenne]:[Colonne2]],2,FALSE),"")</f>
        <v>Kasai-Central</v>
      </c>
      <c r="H149">
        <f>IFERROR(VLOOKUP(Logs_Reseau_Part56[[#This Row],[Cell_ID]],Registre_Maintenance_Part[[ID_Antenne]:[Colonne2]],3,FALSE),"")</f>
        <v>-10.414493</v>
      </c>
      <c r="I149">
        <f>IFERROR(VLOOKUP(Logs_Reseau_Part56[[#This Row],[Cell_ID]],Registre_Maintenance_Part[[ID_Antenne]:[Colonne2]],4,FALSE),"")</f>
        <v>12.333356999999999</v>
      </c>
      <c r="J149" t="str">
        <f>IFERROR(VLOOKUP(Logs_Reseau_Part56[[#This Row],[Cell_ID]],Registre_Maintenance_Part[[ID_Antenne]:[Colonne2]],5,FALSE),"")</f>
        <v>3G</v>
      </c>
      <c r="K149" t="str">
        <f>IFERROR(VLOOKUP(Logs_Reseau_Part56[[#This Row],[Cell_ID]],Registre_Maintenance_Part[[ID_Antenne]:[Colonne2]],6,FALSE),"")</f>
        <v>Ericsson</v>
      </c>
    </row>
    <row r="150" spans="1:11" x14ac:dyDescent="0.3">
      <c r="A150" s="1">
        <v>45225.220833333333</v>
      </c>
      <c r="B150" s="2">
        <v>45225.220833333333</v>
      </c>
      <c r="C150" t="s">
        <v>1399</v>
      </c>
      <c r="D150">
        <v>104</v>
      </c>
      <c r="E150">
        <f>Logs_Reseau_Part56[[#This Row],[Duree_Panne_Min]]/60</f>
        <v>1.7333333333333334</v>
      </c>
      <c r="F150" t="s">
        <v>737</v>
      </c>
      <c r="G150" t="str">
        <f>IFERROR(VLOOKUP(Logs_Reseau_Part56[[#This Row],[Cell_ID]],Registre_Maintenance_Part[[ID_Antenne]:[Colonne2]],2,FALSE),"")</f>
        <v>Kasai-Central</v>
      </c>
      <c r="H150">
        <f>IFERROR(VLOOKUP(Logs_Reseau_Part56[[#This Row],[Cell_ID]],Registre_Maintenance_Part[[ID_Antenne]:[Colonne2]],3,FALSE),"")</f>
        <v>-8.0800809999999998</v>
      </c>
      <c r="I150">
        <f>IFERROR(VLOOKUP(Logs_Reseau_Part56[[#This Row],[Cell_ID]],Registre_Maintenance_Part[[ID_Antenne]:[Colonne2]],4,FALSE),"")</f>
        <v>30.147970999999998</v>
      </c>
      <c r="J150" t="str">
        <f>IFERROR(VLOOKUP(Logs_Reseau_Part56[[#This Row],[Cell_ID]],Registre_Maintenance_Part[[ID_Antenne]:[Colonne2]],5,FALSE),"")</f>
        <v>5G</v>
      </c>
      <c r="K150" t="str">
        <f>IFERROR(VLOOKUP(Logs_Reseau_Part56[[#This Row],[Cell_ID]],Registre_Maintenance_Part[[ID_Antenne]:[Colonne2]],6,FALSE),"")</f>
        <v>Huawei</v>
      </c>
    </row>
    <row r="151" spans="1:11" x14ac:dyDescent="0.3">
      <c r="A151" s="1">
        <v>45229.443749999999</v>
      </c>
      <c r="B151" s="2">
        <v>45229.443749999999</v>
      </c>
      <c r="C151" t="s">
        <v>839</v>
      </c>
      <c r="D151">
        <v>5</v>
      </c>
      <c r="E151">
        <f>Logs_Reseau_Part56[[#This Row],[Duree_Panne_Min]]/60</f>
        <v>8.3333333333333329E-2</v>
      </c>
      <c r="F151" t="s">
        <v>734</v>
      </c>
      <c r="G151" t="str">
        <f>IFERROR(VLOOKUP(Logs_Reseau_Part56[[#This Row],[Cell_ID]],Registre_Maintenance_Part[[ID_Antenne]:[Colonne2]],2,FALSE),"")</f>
        <v>Kasai-Central</v>
      </c>
      <c r="H151">
        <f>IFERROR(VLOOKUP(Logs_Reseau_Part56[[#This Row],[Cell_ID]],Registre_Maintenance_Part[[ID_Antenne]:[Colonne2]],3,FALSE),"")</f>
        <v>-6.6803710000000001</v>
      </c>
      <c r="I151">
        <f>IFERROR(VLOOKUP(Logs_Reseau_Part56[[#This Row],[Cell_ID]],Registre_Maintenance_Part[[ID_Antenne]:[Colonne2]],4,FALSE),"")</f>
        <v>21.955673000000001</v>
      </c>
      <c r="J151" t="str">
        <f>IFERROR(VLOOKUP(Logs_Reseau_Part56[[#This Row],[Cell_ID]],Registre_Maintenance_Part[[ID_Antenne]:[Colonne2]],5,FALSE),"")</f>
        <v>4G</v>
      </c>
      <c r="K151" t="str">
        <f>IFERROR(VLOOKUP(Logs_Reseau_Part56[[#This Row],[Cell_ID]],Registre_Maintenance_Part[[ID_Antenne]:[Colonne2]],6,FALSE),"")</f>
        <v>Nokia</v>
      </c>
    </row>
    <row r="152" spans="1:11" x14ac:dyDescent="0.3">
      <c r="A152" s="1">
        <v>45201.726388888892</v>
      </c>
      <c r="B152" s="2">
        <v>45201.726388888892</v>
      </c>
      <c r="C152" t="s">
        <v>1173</v>
      </c>
      <c r="D152">
        <v>97</v>
      </c>
      <c r="E152">
        <f>Logs_Reseau_Part56[[#This Row],[Duree_Panne_Min]]/60</f>
        <v>1.6166666666666667</v>
      </c>
      <c r="F152" t="s">
        <v>737</v>
      </c>
      <c r="G152" t="str">
        <f>IFERROR(VLOOKUP(Logs_Reseau_Part56[[#This Row],[Cell_ID]],Registre_Maintenance_Part[[ID_Antenne]:[Colonne2]],2,FALSE),"")</f>
        <v>Kasai-Oriental</v>
      </c>
      <c r="H152">
        <f>IFERROR(VLOOKUP(Logs_Reseau_Part56[[#This Row],[Cell_ID]],Registre_Maintenance_Part[[ID_Antenne]:[Colonne2]],3,FALSE),"")</f>
        <v>-4.3639070000000002</v>
      </c>
      <c r="I152">
        <f>IFERROR(VLOOKUP(Logs_Reseau_Part56[[#This Row],[Cell_ID]],Registre_Maintenance_Part[[ID_Antenne]:[Colonne2]],4,FALSE),"")</f>
        <v>16.283307000000001</v>
      </c>
      <c r="J152" t="str">
        <f>IFERROR(VLOOKUP(Logs_Reseau_Part56[[#This Row],[Cell_ID]],Registre_Maintenance_Part[[ID_Antenne]:[Colonne2]],5,FALSE),"")</f>
        <v>5G</v>
      </c>
      <c r="K152" t="str">
        <f>IFERROR(VLOOKUP(Logs_Reseau_Part56[[#This Row],[Cell_ID]],Registre_Maintenance_Part[[ID_Antenne]:[Colonne2]],6,FALSE),"")</f>
        <v>Huawei</v>
      </c>
    </row>
    <row r="153" spans="1:11" x14ac:dyDescent="0.3">
      <c r="A153" s="1">
        <v>45207.133333333331</v>
      </c>
      <c r="B153" s="2">
        <v>45207.133333333331</v>
      </c>
      <c r="C153" t="s">
        <v>1092</v>
      </c>
      <c r="D153">
        <v>66</v>
      </c>
      <c r="E153">
        <f>Logs_Reseau_Part56[[#This Row],[Duree_Panne_Min]]/60</f>
        <v>1.1000000000000001</v>
      </c>
      <c r="F153" t="s">
        <v>737</v>
      </c>
      <c r="G153" t="str">
        <f>IFERROR(VLOOKUP(Logs_Reseau_Part56[[#This Row],[Cell_ID]],Registre_Maintenance_Part[[ID_Antenne]:[Colonne2]],2,FALSE),"")</f>
        <v>Kasai-Oriental</v>
      </c>
      <c r="H153">
        <f>IFERROR(VLOOKUP(Logs_Reseau_Part56[[#This Row],[Cell_ID]],Registre_Maintenance_Part[[ID_Antenne]:[Colonne2]],3,FALSE),"")</f>
        <v>-5.4073029999999997</v>
      </c>
      <c r="I153">
        <f>IFERROR(VLOOKUP(Logs_Reseau_Part56[[#This Row],[Cell_ID]],Registre_Maintenance_Part[[ID_Antenne]:[Colonne2]],4,FALSE),"")</f>
        <v>29.762294000000001</v>
      </c>
      <c r="J153" t="str">
        <f>IFERROR(VLOOKUP(Logs_Reseau_Part56[[#This Row],[Cell_ID]],Registre_Maintenance_Part[[ID_Antenne]:[Colonne2]],5,FALSE),"")</f>
        <v>3G</v>
      </c>
      <c r="K153" t="str">
        <f>IFERROR(VLOOKUP(Logs_Reseau_Part56[[#This Row],[Cell_ID]],Registre_Maintenance_Part[[ID_Antenne]:[Colonne2]],6,FALSE),"")</f>
        <v>Ericsson</v>
      </c>
    </row>
    <row r="154" spans="1:11" x14ac:dyDescent="0.3">
      <c r="A154" s="1">
        <v>45211.063888888893</v>
      </c>
      <c r="B154" s="2">
        <v>45211.063888888893</v>
      </c>
      <c r="C154" t="s">
        <v>1341</v>
      </c>
      <c r="D154">
        <v>6</v>
      </c>
      <c r="E154">
        <f>Logs_Reseau_Part56[[#This Row],[Duree_Panne_Min]]/60</f>
        <v>0.1</v>
      </c>
      <c r="F154" t="s">
        <v>739</v>
      </c>
      <c r="G154" t="str">
        <f>IFERROR(VLOOKUP(Logs_Reseau_Part56[[#This Row],[Cell_ID]],Registre_Maintenance_Part[[ID_Antenne]:[Colonne2]],2,FALSE),"")</f>
        <v>Kasai-Oriental</v>
      </c>
      <c r="H154">
        <f>IFERROR(VLOOKUP(Logs_Reseau_Part56[[#This Row],[Cell_ID]],Registre_Maintenance_Part[[ID_Antenne]:[Colonne2]],3,FALSE),"")</f>
        <v>1.7832440000000001</v>
      </c>
      <c r="I154">
        <f>IFERROR(VLOOKUP(Logs_Reseau_Part56[[#This Row],[Cell_ID]],Registre_Maintenance_Part[[ID_Antenne]:[Colonne2]],4,FALSE),"")</f>
        <v>25.477405999999998</v>
      </c>
      <c r="J154" t="str">
        <f>IFERROR(VLOOKUP(Logs_Reseau_Part56[[#This Row],[Cell_ID]],Registre_Maintenance_Part[[ID_Antenne]:[Colonne2]],5,FALSE),"")</f>
        <v>5G</v>
      </c>
      <c r="K154" t="str">
        <f>IFERROR(VLOOKUP(Logs_Reseau_Part56[[#This Row],[Cell_ID]],Registre_Maintenance_Part[[ID_Antenne]:[Colonne2]],6,FALSE),"")</f>
        <v>Huawei</v>
      </c>
    </row>
    <row r="155" spans="1:11" x14ac:dyDescent="0.3">
      <c r="A155" s="1">
        <v>45214.850694444453</v>
      </c>
      <c r="B155" s="2">
        <v>45214.850694444453</v>
      </c>
      <c r="C155" t="s">
        <v>1092</v>
      </c>
      <c r="D155">
        <v>31</v>
      </c>
      <c r="E155">
        <f>Logs_Reseau_Part56[[#This Row],[Duree_Panne_Min]]/60</f>
        <v>0.51666666666666672</v>
      </c>
      <c r="F155" t="s">
        <v>739</v>
      </c>
      <c r="G155" t="str">
        <f>IFERROR(VLOOKUP(Logs_Reseau_Part56[[#This Row],[Cell_ID]],Registre_Maintenance_Part[[ID_Antenne]:[Colonne2]],2,FALSE),"")</f>
        <v>Kasai-Oriental</v>
      </c>
      <c r="H155">
        <f>IFERROR(VLOOKUP(Logs_Reseau_Part56[[#This Row],[Cell_ID]],Registre_Maintenance_Part[[ID_Antenne]:[Colonne2]],3,FALSE),"")</f>
        <v>-5.4073029999999997</v>
      </c>
      <c r="I155">
        <f>IFERROR(VLOOKUP(Logs_Reseau_Part56[[#This Row],[Cell_ID]],Registre_Maintenance_Part[[ID_Antenne]:[Colonne2]],4,FALSE),"")</f>
        <v>29.762294000000001</v>
      </c>
      <c r="J155" t="str">
        <f>IFERROR(VLOOKUP(Logs_Reseau_Part56[[#This Row],[Cell_ID]],Registre_Maintenance_Part[[ID_Antenne]:[Colonne2]],5,FALSE),"")</f>
        <v>3G</v>
      </c>
      <c r="K155" t="str">
        <f>IFERROR(VLOOKUP(Logs_Reseau_Part56[[#This Row],[Cell_ID]],Registre_Maintenance_Part[[ID_Antenne]:[Colonne2]],6,FALSE),"")</f>
        <v>Ericsson</v>
      </c>
    </row>
    <row r="156" spans="1:11" x14ac:dyDescent="0.3">
      <c r="A156" s="1">
        <v>45216.729861111111</v>
      </c>
      <c r="B156" s="2">
        <v>45216.729861111111</v>
      </c>
      <c r="C156" t="s">
        <v>937</v>
      </c>
      <c r="D156">
        <v>109</v>
      </c>
      <c r="E156">
        <f>Logs_Reseau_Part56[[#This Row],[Duree_Panne_Min]]/60</f>
        <v>1.8166666666666667</v>
      </c>
      <c r="F156" t="s">
        <v>739</v>
      </c>
      <c r="G156" t="str">
        <f>IFERROR(VLOOKUP(Logs_Reseau_Part56[[#This Row],[Cell_ID]],Registre_Maintenance_Part[[ID_Antenne]:[Colonne2]],2,FALSE),"")</f>
        <v>Kasai-Oriental</v>
      </c>
      <c r="H156">
        <f>IFERROR(VLOOKUP(Logs_Reseau_Part56[[#This Row],[Cell_ID]],Registre_Maintenance_Part[[ID_Antenne]:[Colonne2]],3,FALSE),"")</f>
        <v>0.639208</v>
      </c>
      <c r="I156">
        <f>IFERROR(VLOOKUP(Logs_Reseau_Part56[[#This Row],[Cell_ID]],Registre_Maintenance_Part[[ID_Antenne]:[Colonne2]],4,FALSE),"")</f>
        <v>20.701739</v>
      </c>
      <c r="J156" t="str">
        <f>IFERROR(VLOOKUP(Logs_Reseau_Part56[[#This Row],[Cell_ID]],Registre_Maintenance_Part[[ID_Antenne]:[Colonne2]],5,FALSE),"")</f>
        <v>4G</v>
      </c>
      <c r="K156" t="str">
        <f>IFERROR(VLOOKUP(Logs_Reseau_Part56[[#This Row],[Cell_ID]],Registre_Maintenance_Part[[ID_Antenne]:[Colonne2]],6,FALSE),"")</f>
        <v>Huawei</v>
      </c>
    </row>
    <row r="157" spans="1:11" x14ac:dyDescent="0.3">
      <c r="A157" s="1">
        <v>45216.865277777782</v>
      </c>
      <c r="B157" s="2">
        <v>45216.865277777782</v>
      </c>
      <c r="C157" t="s">
        <v>1127</v>
      </c>
      <c r="D157">
        <v>10</v>
      </c>
      <c r="E157">
        <f>Logs_Reseau_Part56[[#This Row],[Duree_Panne_Min]]/60</f>
        <v>0.16666666666666666</v>
      </c>
      <c r="F157" t="s">
        <v>737</v>
      </c>
      <c r="G157" t="str">
        <f>IFERROR(VLOOKUP(Logs_Reseau_Part56[[#This Row],[Cell_ID]],Registre_Maintenance_Part[[ID_Antenne]:[Colonne2]],2,FALSE),"")</f>
        <v>Kasai-Oriental</v>
      </c>
      <c r="H157">
        <f>IFERROR(VLOOKUP(Logs_Reseau_Part56[[#This Row],[Cell_ID]],Registre_Maintenance_Part[[ID_Antenne]:[Colonne2]],3,FALSE),"")</f>
        <v>-1.648326</v>
      </c>
      <c r="I157">
        <f>IFERROR(VLOOKUP(Logs_Reseau_Part56[[#This Row],[Cell_ID]],Registre_Maintenance_Part[[ID_Antenne]:[Colonne2]],4,FALSE),"")</f>
        <v>25.528901999999999</v>
      </c>
      <c r="J157" t="str">
        <f>IFERROR(VLOOKUP(Logs_Reseau_Part56[[#This Row],[Cell_ID]],Registre_Maintenance_Part[[ID_Antenne]:[Colonne2]],5,FALSE),"")</f>
        <v>4G</v>
      </c>
      <c r="K157" t="str">
        <f>IFERROR(VLOOKUP(Logs_Reseau_Part56[[#This Row],[Cell_ID]],Registre_Maintenance_Part[[ID_Antenne]:[Colonne2]],6,FALSE),"")</f>
        <v>Huawei</v>
      </c>
    </row>
    <row r="158" spans="1:11" x14ac:dyDescent="0.3">
      <c r="A158" s="1">
        <v>45221.724999999999</v>
      </c>
      <c r="B158" s="2">
        <v>45221.724999999999</v>
      </c>
      <c r="C158" t="s">
        <v>957</v>
      </c>
      <c r="D158">
        <v>55</v>
      </c>
      <c r="E158">
        <f>Logs_Reseau_Part56[[#This Row],[Duree_Panne_Min]]/60</f>
        <v>0.91666666666666663</v>
      </c>
      <c r="F158" t="s">
        <v>737</v>
      </c>
      <c r="G158" t="str">
        <f>IFERROR(VLOOKUP(Logs_Reseau_Part56[[#This Row],[Cell_ID]],Registre_Maintenance_Part[[ID_Antenne]:[Colonne2]],2,FALSE),"")</f>
        <v>Kasai-Oriental</v>
      </c>
      <c r="H158">
        <f>IFERROR(VLOOKUP(Logs_Reseau_Part56[[#This Row],[Cell_ID]],Registre_Maintenance_Part[[ID_Antenne]:[Colonne2]],3,FALSE),"")</f>
        <v>-1.3976519999999999</v>
      </c>
      <c r="I158">
        <f>IFERROR(VLOOKUP(Logs_Reseau_Part56[[#This Row],[Cell_ID]],Registre_Maintenance_Part[[ID_Antenne]:[Colonne2]],4,FALSE),"")</f>
        <v>14.098819000000001</v>
      </c>
      <c r="J158" t="str">
        <f>IFERROR(VLOOKUP(Logs_Reseau_Part56[[#This Row],[Cell_ID]],Registre_Maintenance_Part[[ID_Antenne]:[Colonne2]],5,FALSE),"")</f>
        <v>3G</v>
      </c>
      <c r="K158" t="str">
        <f>IFERROR(VLOOKUP(Logs_Reseau_Part56[[#This Row],[Cell_ID]],Registre_Maintenance_Part[[ID_Antenne]:[Colonne2]],6,FALSE),"")</f>
        <v>Ericsson</v>
      </c>
    </row>
    <row r="159" spans="1:11" x14ac:dyDescent="0.3">
      <c r="A159" s="1">
        <v>45226.115972222222</v>
      </c>
      <c r="B159" s="2">
        <v>45226.115972222222</v>
      </c>
      <c r="C159" t="s">
        <v>1057</v>
      </c>
      <c r="D159">
        <v>5</v>
      </c>
      <c r="E159">
        <f>Logs_Reseau_Part56[[#This Row],[Duree_Panne_Min]]/60</f>
        <v>8.3333333333333329E-2</v>
      </c>
      <c r="F159" t="s">
        <v>739</v>
      </c>
      <c r="G159" t="str">
        <f>IFERROR(VLOOKUP(Logs_Reseau_Part56[[#This Row],[Cell_ID]],Registre_Maintenance_Part[[ID_Antenne]:[Colonne2]],2,FALSE),"")</f>
        <v>Kasai-Oriental</v>
      </c>
      <c r="H159">
        <f>IFERROR(VLOOKUP(Logs_Reseau_Part56[[#This Row],[Cell_ID]],Registre_Maintenance_Part[[ID_Antenne]:[Colonne2]],3,FALSE),"")</f>
        <v>2.486888</v>
      </c>
      <c r="I159">
        <f>IFERROR(VLOOKUP(Logs_Reseau_Part56[[#This Row],[Cell_ID]],Registre_Maintenance_Part[[ID_Antenne]:[Colonne2]],4,FALSE),"")</f>
        <v>23.798074</v>
      </c>
      <c r="J159" t="str">
        <f>IFERROR(VLOOKUP(Logs_Reseau_Part56[[#This Row],[Cell_ID]],Registre_Maintenance_Part[[ID_Antenne]:[Colonne2]],5,FALSE),"")</f>
        <v>5G</v>
      </c>
      <c r="K159" t="str">
        <f>IFERROR(VLOOKUP(Logs_Reseau_Part56[[#This Row],[Cell_ID]],Registre_Maintenance_Part[[ID_Antenne]:[Colonne2]],6,FALSE),"")</f>
        <v>ZTE</v>
      </c>
    </row>
    <row r="160" spans="1:11" x14ac:dyDescent="0.3">
      <c r="A160" s="1">
        <v>45230.633333333331</v>
      </c>
      <c r="B160" s="2">
        <v>45230.633333333331</v>
      </c>
      <c r="C160" t="s">
        <v>1057</v>
      </c>
      <c r="D160">
        <v>34</v>
      </c>
      <c r="E160">
        <f>Logs_Reseau_Part56[[#This Row],[Duree_Panne_Min]]/60</f>
        <v>0.56666666666666665</v>
      </c>
      <c r="F160" t="s">
        <v>734</v>
      </c>
      <c r="G160" t="str">
        <f>IFERROR(VLOOKUP(Logs_Reseau_Part56[[#This Row],[Cell_ID]],Registre_Maintenance_Part[[ID_Antenne]:[Colonne2]],2,FALSE),"")</f>
        <v>Kasai-Oriental</v>
      </c>
      <c r="H160">
        <f>IFERROR(VLOOKUP(Logs_Reseau_Part56[[#This Row],[Cell_ID]],Registre_Maintenance_Part[[ID_Antenne]:[Colonne2]],3,FALSE),"")</f>
        <v>2.486888</v>
      </c>
      <c r="I160">
        <f>IFERROR(VLOOKUP(Logs_Reseau_Part56[[#This Row],[Cell_ID]],Registre_Maintenance_Part[[ID_Antenne]:[Colonne2]],4,FALSE),"")</f>
        <v>23.798074</v>
      </c>
      <c r="J160" t="str">
        <f>IFERROR(VLOOKUP(Logs_Reseau_Part56[[#This Row],[Cell_ID]],Registre_Maintenance_Part[[ID_Antenne]:[Colonne2]],5,FALSE),"")</f>
        <v>5G</v>
      </c>
      <c r="K160" t="str">
        <f>IFERROR(VLOOKUP(Logs_Reseau_Part56[[#This Row],[Cell_ID]],Registre_Maintenance_Part[[ID_Antenne]:[Colonne2]],6,FALSE),"")</f>
        <v>ZTE</v>
      </c>
    </row>
    <row r="161" spans="1:11" x14ac:dyDescent="0.3">
      <c r="A161" s="1">
        <v>45200.525694444441</v>
      </c>
      <c r="B161" s="2">
        <v>45200.525694444441</v>
      </c>
      <c r="C161" t="s">
        <v>868</v>
      </c>
      <c r="D161">
        <v>88</v>
      </c>
      <c r="E161">
        <f>Logs_Reseau_Part56[[#This Row],[Duree_Panne_Min]]/60</f>
        <v>1.4666666666666666</v>
      </c>
      <c r="F161" t="s">
        <v>739</v>
      </c>
      <c r="G161" t="str">
        <f>IFERROR(VLOOKUP(Logs_Reseau_Part56[[#This Row],[Cell_ID]],Registre_Maintenance_Part[[ID_Antenne]:[Colonne2]],2,FALSE),"")</f>
        <v>Kinshasa</v>
      </c>
      <c r="H161">
        <f>IFERROR(VLOOKUP(Logs_Reseau_Part56[[#This Row],[Cell_ID]],Registre_Maintenance_Part[[ID_Antenne]:[Colonne2]],3,FALSE),"")</f>
        <v>-1.6097570000000001</v>
      </c>
      <c r="I161">
        <f>IFERROR(VLOOKUP(Logs_Reseau_Part56[[#This Row],[Cell_ID]],Registre_Maintenance_Part[[ID_Antenne]:[Colonne2]],4,FALSE),"")</f>
        <v>30.661662</v>
      </c>
      <c r="J161" t="str">
        <f>IFERROR(VLOOKUP(Logs_Reseau_Part56[[#This Row],[Cell_ID]],Registre_Maintenance_Part[[ID_Antenne]:[Colonne2]],5,FALSE),"")</f>
        <v>4G</v>
      </c>
      <c r="K161" t="str">
        <f>IFERROR(VLOOKUP(Logs_Reseau_Part56[[#This Row],[Cell_ID]],Registre_Maintenance_Part[[ID_Antenne]:[Colonne2]],6,FALSE),"")</f>
        <v>Ericsson</v>
      </c>
    </row>
    <row r="162" spans="1:11" x14ac:dyDescent="0.3">
      <c r="A162" s="1">
        <v>45204.615972222222</v>
      </c>
      <c r="B162" s="2">
        <v>45204.615972222222</v>
      </c>
      <c r="C162" t="s">
        <v>1150</v>
      </c>
      <c r="D162">
        <v>41</v>
      </c>
      <c r="E162">
        <f>Logs_Reseau_Part56[[#This Row],[Duree_Panne_Min]]/60</f>
        <v>0.68333333333333335</v>
      </c>
      <c r="F162" t="s">
        <v>739</v>
      </c>
      <c r="G162" t="str">
        <f>IFERROR(VLOOKUP(Logs_Reseau_Part56[[#This Row],[Cell_ID]],Registre_Maintenance_Part[[ID_Antenne]:[Colonne2]],2,FALSE),"")</f>
        <v>Kinshasa</v>
      </c>
      <c r="H162">
        <f>IFERROR(VLOOKUP(Logs_Reseau_Part56[[#This Row],[Cell_ID]],Registre_Maintenance_Part[[ID_Antenne]:[Colonne2]],3,FALSE),"")</f>
        <v>1.3006180000000001</v>
      </c>
      <c r="I162">
        <f>IFERROR(VLOOKUP(Logs_Reseau_Part56[[#This Row],[Cell_ID]],Registre_Maintenance_Part[[ID_Antenne]:[Colonne2]],4,FALSE),"")</f>
        <v>29.060970999999999</v>
      </c>
      <c r="J162" t="str">
        <f>IFERROR(VLOOKUP(Logs_Reseau_Part56[[#This Row],[Cell_ID]],Registre_Maintenance_Part[[ID_Antenne]:[Colonne2]],5,FALSE),"")</f>
        <v>3G</v>
      </c>
      <c r="K162" t="str">
        <f>IFERROR(VLOOKUP(Logs_Reseau_Part56[[#This Row],[Cell_ID]],Registre_Maintenance_Part[[ID_Antenne]:[Colonne2]],6,FALSE),"")</f>
        <v>ZTE</v>
      </c>
    </row>
    <row r="163" spans="1:11" x14ac:dyDescent="0.3">
      <c r="A163" s="1">
        <v>45206.515972222223</v>
      </c>
      <c r="B163" s="2">
        <v>45206.515972222223</v>
      </c>
      <c r="C163" t="s">
        <v>1295</v>
      </c>
      <c r="D163">
        <v>108</v>
      </c>
      <c r="E163">
        <f>Logs_Reseau_Part56[[#This Row],[Duree_Panne_Min]]/60</f>
        <v>1.8</v>
      </c>
      <c r="F163" t="s">
        <v>734</v>
      </c>
      <c r="G163" t="str">
        <f>IFERROR(VLOOKUP(Logs_Reseau_Part56[[#This Row],[Cell_ID]],Registre_Maintenance_Part[[ID_Antenne]:[Colonne2]],2,FALSE),"")</f>
        <v>Kinshasa</v>
      </c>
      <c r="H163">
        <f>IFERROR(VLOOKUP(Logs_Reseau_Part56[[#This Row],[Cell_ID]],Registre_Maintenance_Part[[ID_Antenne]:[Colonne2]],3,FALSE),"")</f>
        <v>-10.227569000000001</v>
      </c>
      <c r="I163">
        <f>IFERROR(VLOOKUP(Logs_Reseau_Part56[[#This Row],[Cell_ID]],Registre_Maintenance_Part[[ID_Antenne]:[Colonne2]],4,FALSE),"")</f>
        <v>18.887930999999998</v>
      </c>
      <c r="J163" t="str">
        <f>IFERROR(VLOOKUP(Logs_Reseau_Part56[[#This Row],[Cell_ID]],Registre_Maintenance_Part[[ID_Antenne]:[Colonne2]],5,FALSE),"")</f>
        <v>3G</v>
      </c>
      <c r="K163" t="str">
        <f>IFERROR(VLOOKUP(Logs_Reseau_Part56[[#This Row],[Cell_ID]],Registre_Maintenance_Part[[ID_Antenne]:[Colonne2]],6,FALSE),"")</f>
        <v>ZTE</v>
      </c>
    </row>
    <row r="164" spans="1:11" x14ac:dyDescent="0.3">
      <c r="A164" s="1">
        <v>45209.215277777781</v>
      </c>
      <c r="B164" s="2">
        <v>45209.215277777781</v>
      </c>
      <c r="C164" t="s">
        <v>1078</v>
      </c>
      <c r="D164">
        <v>23</v>
      </c>
      <c r="E164">
        <f>Logs_Reseau_Part56[[#This Row],[Duree_Panne_Min]]/60</f>
        <v>0.38333333333333336</v>
      </c>
      <c r="F164" t="s">
        <v>739</v>
      </c>
      <c r="G164" t="str">
        <f>IFERROR(VLOOKUP(Logs_Reseau_Part56[[#This Row],[Cell_ID]],Registre_Maintenance_Part[[ID_Antenne]:[Colonne2]],2,FALSE),"")</f>
        <v>Kinshasa</v>
      </c>
      <c r="H164">
        <f>IFERROR(VLOOKUP(Logs_Reseau_Part56[[#This Row],[Cell_ID]],Registre_Maintenance_Part[[ID_Antenne]:[Colonne2]],3,FALSE),"")</f>
        <v>-11.389362</v>
      </c>
      <c r="I164">
        <f>IFERROR(VLOOKUP(Logs_Reseau_Part56[[#This Row],[Cell_ID]],Registre_Maintenance_Part[[ID_Antenne]:[Colonne2]],4,FALSE),"")</f>
        <v>22.240174</v>
      </c>
      <c r="J164" t="str">
        <f>IFERROR(VLOOKUP(Logs_Reseau_Part56[[#This Row],[Cell_ID]],Registre_Maintenance_Part[[ID_Antenne]:[Colonne2]],5,FALSE),"")</f>
        <v>5G</v>
      </c>
      <c r="K164" t="str">
        <f>IFERROR(VLOOKUP(Logs_Reseau_Part56[[#This Row],[Cell_ID]],Registre_Maintenance_Part[[ID_Antenne]:[Colonne2]],6,FALSE),"")</f>
        <v>ZTE</v>
      </c>
    </row>
    <row r="165" spans="1:11" x14ac:dyDescent="0.3">
      <c r="A165" s="1">
        <v>45209.354861111111</v>
      </c>
      <c r="B165" s="2">
        <v>45209.354861111111</v>
      </c>
      <c r="C165" t="s">
        <v>1150</v>
      </c>
      <c r="D165">
        <v>99</v>
      </c>
      <c r="E165">
        <f>Logs_Reseau_Part56[[#This Row],[Duree_Panne_Min]]/60</f>
        <v>1.65</v>
      </c>
      <c r="F165" t="s">
        <v>737</v>
      </c>
      <c r="G165" t="str">
        <f>IFERROR(VLOOKUP(Logs_Reseau_Part56[[#This Row],[Cell_ID]],Registre_Maintenance_Part[[ID_Antenne]:[Colonne2]],2,FALSE),"")</f>
        <v>Kinshasa</v>
      </c>
      <c r="H165">
        <f>IFERROR(VLOOKUP(Logs_Reseau_Part56[[#This Row],[Cell_ID]],Registre_Maintenance_Part[[ID_Antenne]:[Colonne2]],3,FALSE),"")</f>
        <v>1.3006180000000001</v>
      </c>
      <c r="I165">
        <f>IFERROR(VLOOKUP(Logs_Reseau_Part56[[#This Row],[Cell_ID]],Registre_Maintenance_Part[[ID_Antenne]:[Colonne2]],4,FALSE),"")</f>
        <v>29.060970999999999</v>
      </c>
      <c r="J165" t="str">
        <f>IFERROR(VLOOKUP(Logs_Reseau_Part56[[#This Row],[Cell_ID]],Registre_Maintenance_Part[[ID_Antenne]:[Colonne2]],5,FALSE),"")</f>
        <v>3G</v>
      </c>
      <c r="K165" t="str">
        <f>IFERROR(VLOOKUP(Logs_Reseau_Part56[[#This Row],[Cell_ID]],Registre_Maintenance_Part[[ID_Antenne]:[Colonne2]],6,FALSE),"")</f>
        <v>ZTE</v>
      </c>
    </row>
    <row r="166" spans="1:11" x14ac:dyDescent="0.3">
      <c r="A166" s="1">
        <v>45210.568055555559</v>
      </c>
      <c r="B166" s="2">
        <v>45210.568055555559</v>
      </c>
      <c r="C166" t="s">
        <v>831</v>
      </c>
      <c r="D166">
        <v>96</v>
      </c>
      <c r="E166">
        <f>Logs_Reseau_Part56[[#This Row],[Duree_Panne_Min]]/60</f>
        <v>1.6</v>
      </c>
      <c r="F166" t="s">
        <v>734</v>
      </c>
      <c r="G166" t="str">
        <f>IFERROR(VLOOKUP(Logs_Reseau_Part56[[#This Row],[Cell_ID]],Registre_Maintenance_Part[[ID_Antenne]:[Colonne2]],2,FALSE),"")</f>
        <v>Kinshasa</v>
      </c>
      <c r="H166">
        <f>IFERROR(VLOOKUP(Logs_Reseau_Part56[[#This Row],[Cell_ID]],Registre_Maintenance_Part[[ID_Antenne]:[Colonne2]],3,FALSE),"")</f>
        <v>-5.4126279999999998</v>
      </c>
      <c r="I166">
        <f>IFERROR(VLOOKUP(Logs_Reseau_Part56[[#This Row],[Cell_ID]],Registre_Maintenance_Part[[ID_Antenne]:[Colonne2]],4,FALSE),"")</f>
        <v>25.498235999999999</v>
      </c>
      <c r="J166" t="str">
        <f>IFERROR(VLOOKUP(Logs_Reseau_Part56[[#This Row],[Cell_ID]],Registre_Maintenance_Part[[ID_Antenne]:[Colonne2]],5,FALSE),"")</f>
        <v>5G</v>
      </c>
      <c r="K166" t="str">
        <f>IFERROR(VLOOKUP(Logs_Reseau_Part56[[#This Row],[Cell_ID]],Registre_Maintenance_Part[[ID_Antenne]:[Colonne2]],6,FALSE),"")</f>
        <v>ZTE</v>
      </c>
    </row>
    <row r="167" spans="1:11" x14ac:dyDescent="0.3">
      <c r="A167" s="1">
        <v>45215.056944444441</v>
      </c>
      <c r="B167" s="2">
        <v>45215.056944444441</v>
      </c>
      <c r="C167" t="s">
        <v>1153</v>
      </c>
      <c r="D167">
        <v>99</v>
      </c>
      <c r="E167">
        <f>Logs_Reseau_Part56[[#This Row],[Duree_Panne_Min]]/60</f>
        <v>1.65</v>
      </c>
      <c r="F167" t="s">
        <v>737</v>
      </c>
      <c r="G167" t="str">
        <f>IFERROR(VLOOKUP(Logs_Reseau_Part56[[#This Row],[Cell_ID]],Registre_Maintenance_Part[[ID_Antenne]:[Colonne2]],2,FALSE),"")</f>
        <v>Kinshasa</v>
      </c>
      <c r="H167">
        <f>IFERROR(VLOOKUP(Logs_Reseau_Part56[[#This Row],[Cell_ID]],Registre_Maintenance_Part[[ID_Antenne]:[Colonne2]],3,FALSE),"")</f>
        <v>-2.6665070000000002</v>
      </c>
      <c r="I167">
        <f>IFERROR(VLOOKUP(Logs_Reseau_Part56[[#This Row],[Cell_ID]],Registre_Maintenance_Part[[ID_Antenne]:[Colonne2]],4,FALSE),"")</f>
        <v>18.623692999999999</v>
      </c>
      <c r="J167" t="str">
        <f>IFERROR(VLOOKUP(Logs_Reseau_Part56[[#This Row],[Cell_ID]],Registre_Maintenance_Part[[ID_Antenne]:[Colonne2]],5,FALSE),"")</f>
        <v>3G</v>
      </c>
      <c r="K167" t="str">
        <f>IFERROR(VLOOKUP(Logs_Reseau_Part56[[#This Row],[Cell_ID]],Registre_Maintenance_Part[[ID_Antenne]:[Colonne2]],6,FALSE),"")</f>
        <v>ZTE</v>
      </c>
    </row>
    <row r="168" spans="1:11" x14ac:dyDescent="0.3">
      <c r="A168" s="1">
        <v>45217.173611111109</v>
      </c>
      <c r="B168" s="2">
        <v>45217.173611111109</v>
      </c>
      <c r="C168" t="s">
        <v>868</v>
      </c>
      <c r="D168">
        <v>53</v>
      </c>
      <c r="E168">
        <f>Logs_Reseau_Part56[[#This Row],[Duree_Panne_Min]]/60</f>
        <v>0.8833333333333333</v>
      </c>
      <c r="F168" t="s">
        <v>737</v>
      </c>
      <c r="G168" t="str">
        <f>IFERROR(VLOOKUP(Logs_Reseau_Part56[[#This Row],[Cell_ID]],Registre_Maintenance_Part[[ID_Antenne]:[Colonne2]],2,FALSE),"")</f>
        <v>Kinshasa</v>
      </c>
      <c r="H168">
        <f>IFERROR(VLOOKUP(Logs_Reseau_Part56[[#This Row],[Cell_ID]],Registre_Maintenance_Part[[ID_Antenne]:[Colonne2]],3,FALSE),"")</f>
        <v>-1.6097570000000001</v>
      </c>
      <c r="I168">
        <f>IFERROR(VLOOKUP(Logs_Reseau_Part56[[#This Row],[Cell_ID]],Registre_Maintenance_Part[[ID_Antenne]:[Colonne2]],4,FALSE),"")</f>
        <v>30.661662</v>
      </c>
      <c r="J168" t="str">
        <f>IFERROR(VLOOKUP(Logs_Reseau_Part56[[#This Row],[Cell_ID]],Registre_Maintenance_Part[[ID_Antenne]:[Colonne2]],5,FALSE),"")</f>
        <v>4G</v>
      </c>
      <c r="K168" t="str">
        <f>IFERROR(VLOOKUP(Logs_Reseau_Part56[[#This Row],[Cell_ID]],Registre_Maintenance_Part[[ID_Antenne]:[Colonne2]],6,FALSE),"")</f>
        <v>Ericsson</v>
      </c>
    </row>
    <row r="169" spans="1:11" x14ac:dyDescent="0.3">
      <c r="A169" s="1">
        <v>45218.088888888888</v>
      </c>
      <c r="B169" s="2">
        <v>45218.088888888888</v>
      </c>
      <c r="C169" t="s">
        <v>1078</v>
      </c>
      <c r="D169">
        <v>12</v>
      </c>
      <c r="E169">
        <f>Logs_Reseau_Part56[[#This Row],[Duree_Panne_Min]]/60</f>
        <v>0.2</v>
      </c>
      <c r="F169" t="s">
        <v>739</v>
      </c>
      <c r="G169" t="str">
        <f>IFERROR(VLOOKUP(Logs_Reseau_Part56[[#This Row],[Cell_ID]],Registre_Maintenance_Part[[ID_Antenne]:[Colonne2]],2,FALSE),"")</f>
        <v>Kinshasa</v>
      </c>
      <c r="H169">
        <f>IFERROR(VLOOKUP(Logs_Reseau_Part56[[#This Row],[Cell_ID]],Registre_Maintenance_Part[[ID_Antenne]:[Colonne2]],3,FALSE),"")</f>
        <v>-11.389362</v>
      </c>
      <c r="I169">
        <f>IFERROR(VLOOKUP(Logs_Reseau_Part56[[#This Row],[Cell_ID]],Registre_Maintenance_Part[[ID_Antenne]:[Colonne2]],4,FALSE),"")</f>
        <v>22.240174</v>
      </c>
      <c r="J169" t="str">
        <f>IFERROR(VLOOKUP(Logs_Reseau_Part56[[#This Row],[Cell_ID]],Registre_Maintenance_Part[[ID_Antenne]:[Colonne2]],5,FALSE),"")</f>
        <v>5G</v>
      </c>
      <c r="K169" t="str">
        <f>IFERROR(VLOOKUP(Logs_Reseau_Part56[[#This Row],[Cell_ID]],Registre_Maintenance_Part[[ID_Antenne]:[Colonne2]],6,FALSE),"")</f>
        <v>ZTE</v>
      </c>
    </row>
    <row r="170" spans="1:11" x14ac:dyDescent="0.3">
      <c r="A170" s="1">
        <v>45221.265972222223</v>
      </c>
      <c r="B170" s="2">
        <v>45221.265972222223</v>
      </c>
      <c r="C170" t="s">
        <v>837</v>
      </c>
      <c r="D170">
        <v>88</v>
      </c>
      <c r="E170">
        <f>Logs_Reseau_Part56[[#This Row],[Duree_Panne_Min]]/60</f>
        <v>1.4666666666666666</v>
      </c>
      <c r="F170" t="s">
        <v>737</v>
      </c>
      <c r="G170" t="str">
        <f>IFERROR(VLOOKUP(Logs_Reseau_Part56[[#This Row],[Cell_ID]],Registre_Maintenance_Part[[ID_Antenne]:[Colonne2]],2,FALSE),"")</f>
        <v>Kinshasa</v>
      </c>
      <c r="H170">
        <f>IFERROR(VLOOKUP(Logs_Reseau_Part56[[#This Row],[Cell_ID]],Registre_Maintenance_Part[[ID_Antenne]:[Colonne2]],3,FALSE),"")</f>
        <v>-1.339734</v>
      </c>
      <c r="I170">
        <f>IFERROR(VLOOKUP(Logs_Reseau_Part56[[#This Row],[Cell_ID]],Registre_Maintenance_Part[[ID_Antenne]:[Colonne2]],4,FALSE),"")</f>
        <v>15.243098</v>
      </c>
      <c r="J170" t="str">
        <f>IFERROR(VLOOKUP(Logs_Reseau_Part56[[#This Row],[Cell_ID]],Registre_Maintenance_Part[[ID_Antenne]:[Colonne2]],5,FALSE),"")</f>
        <v>3G</v>
      </c>
      <c r="K170" t="str">
        <f>IFERROR(VLOOKUP(Logs_Reseau_Part56[[#This Row],[Cell_ID]],Registre_Maintenance_Part[[ID_Antenne]:[Colonne2]],6,FALSE),"")</f>
        <v>Nokia</v>
      </c>
    </row>
    <row r="171" spans="1:11" x14ac:dyDescent="0.3">
      <c r="A171" s="1">
        <v>45221.283333333333</v>
      </c>
      <c r="B171" s="2">
        <v>45221.283333333333</v>
      </c>
      <c r="C171" t="s">
        <v>1153</v>
      </c>
      <c r="D171">
        <v>22</v>
      </c>
      <c r="E171">
        <f>Logs_Reseau_Part56[[#This Row],[Duree_Panne_Min]]/60</f>
        <v>0.36666666666666664</v>
      </c>
      <c r="F171" t="s">
        <v>734</v>
      </c>
      <c r="G171" t="str">
        <f>IFERROR(VLOOKUP(Logs_Reseau_Part56[[#This Row],[Cell_ID]],Registre_Maintenance_Part[[ID_Antenne]:[Colonne2]],2,FALSE),"")</f>
        <v>Kinshasa</v>
      </c>
      <c r="H171">
        <f>IFERROR(VLOOKUP(Logs_Reseau_Part56[[#This Row],[Cell_ID]],Registre_Maintenance_Part[[ID_Antenne]:[Colonne2]],3,FALSE),"")</f>
        <v>-2.6665070000000002</v>
      </c>
      <c r="I171">
        <f>IFERROR(VLOOKUP(Logs_Reseau_Part56[[#This Row],[Cell_ID]],Registre_Maintenance_Part[[ID_Antenne]:[Colonne2]],4,FALSE),"")</f>
        <v>18.623692999999999</v>
      </c>
      <c r="J171" t="str">
        <f>IFERROR(VLOOKUP(Logs_Reseau_Part56[[#This Row],[Cell_ID]],Registre_Maintenance_Part[[ID_Antenne]:[Colonne2]],5,FALSE),"")</f>
        <v>3G</v>
      </c>
      <c r="K171" t="str">
        <f>IFERROR(VLOOKUP(Logs_Reseau_Part56[[#This Row],[Cell_ID]],Registre_Maintenance_Part[[ID_Antenne]:[Colonne2]],6,FALSE),"")</f>
        <v>ZTE</v>
      </c>
    </row>
    <row r="172" spans="1:11" x14ac:dyDescent="0.3">
      <c r="A172" s="1">
        <v>45222.179166666669</v>
      </c>
      <c r="B172" s="2">
        <v>45222.179166666669</v>
      </c>
      <c r="C172" t="s">
        <v>1066</v>
      </c>
      <c r="D172">
        <v>28</v>
      </c>
      <c r="E172">
        <f>Logs_Reseau_Part56[[#This Row],[Duree_Panne_Min]]/60</f>
        <v>0.46666666666666667</v>
      </c>
      <c r="F172" t="s">
        <v>737</v>
      </c>
      <c r="G172" t="str">
        <f>IFERROR(VLOOKUP(Logs_Reseau_Part56[[#This Row],[Cell_ID]],Registre_Maintenance_Part[[ID_Antenne]:[Colonne2]],2,FALSE),"")</f>
        <v>Kinshasa</v>
      </c>
      <c r="H172">
        <f>IFERROR(VLOOKUP(Logs_Reseau_Part56[[#This Row],[Cell_ID]],Registre_Maintenance_Part[[ID_Antenne]:[Colonne2]],3,FALSE),"")</f>
        <v>-0.90854400000000002</v>
      </c>
      <c r="I172">
        <f>IFERROR(VLOOKUP(Logs_Reseau_Part56[[#This Row],[Cell_ID]],Registre_Maintenance_Part[[ID_Antenne]:[Colonne2]],4,FALSE),"")</f>
        <v>17.154896999999998</v>
      </c>
      <c r="J172" t="str">
        <f>IFERROR(VLOOKUP(Logs_Reseau_Part56[[#This Row],[Cell_ID]],Registre_Maintenance_Part[[ID_Antenne]:[Colonne2]],5,FALSE),"")</f>
        <v>3G</v>
      </c>
      <c r="K172" t="str">
        <f>IFERROR(VLOOKUP(Logs_Reseau_Part56[[#This Row],[Cell_ID]],Registre_Maintenance_Part[[ID_Antenne]:[Colonne2]],6,FALSE),"")</f>
        <v>Huawei</v>
      </c>
    </row>
    <row r="173" spans="1:11" x14ac:dyDescent="0.3">
      <c r="A173" s="1">
        <v>45226.84097222222</v>
      </c>
      <c r="B173" s="2">
        <v>45226.84097222222</v>
      </c>
      <c r="C173" t="s">
        <v>1078</v>
      </c>
      <c r="D173">
        <v>74</v>
      </c>
      <c r="E173">
        <f>Logs_Reseau_Part56[[#This Row],[Duree_Panne_Min]]/60</f>
        <v>1.2333333333333334</v>
      </c>
      <c r="F173" t="s">
        <v>737</v>
      </c>
      <c r="G173" t="str">
        <f>IFERROR(VLOOKUP(Logs_Reseau_Part56[[#This Row],[Cell_ID]],Registre_Maintenance_Part[[ID_Antenne]:[Colonne2]],2,FALSE),"")</f>
        <v>Kinshasa</v>
      </c>
      <c r="H173">
        <f>IFERROR(VLOOKUP(Logs_Reseau_Part56[[#This Row],[Cell_ID]],Registre_Maintenance_Part[[ID_Antenne]:[Colonne2]],3,FALSE),"")</f>
        <v>-11.389362</v>
      </c>
      <c r="I173">
        <f>IFERROR(VLOOKUP(Logs_Reseau_Part56[[#This Row],[Cell_ID]],Registre_Maintenance_Part[[ID_Antenne]:[Colonne2]],4,FALSE),"")</f>
        <v>22.240174</v>
      </c>
      <c r="J173" t="str">
        <f>IFERROR(VLOOKUP(Logs_Reseau_Part56[[#This Row],[Cell_ID]],Registre_Maintenance_Part[[ID_Antenne]:[Colonne2]],5,FALSE),"")</f>
        <v>5G</v>
      </c>
      <c r="K173" t="str">
        <f>IFERROR(VLOOKUP(Logs_Reseau_Part56[[#This Row],[Cell_ID]],Registre_Maintenance_Part[[ID_Antenne]:[Colonne2]],6,FALSE),"")</f>
        <v>ZTE</v>
      </c>
    </row>
    <row r="174" spans="1:11" x14ac:dyDescent="0.3">
      <c r="A174" s="1">
        <v>45227.897916666669</v>
      </c>
      <c r="B174" s="2">
        <v>45227.897916666669</v>
      </c>
      <c r="C174" t="s">
        <v>1366</v>
      </c>
      <c r="D174">
        <v>61</v>
      </c>
      <c r="E174">
        <f>Logs_Reseau_Part56[[#This Row],[Duree_Panne_Min]]/60</f>
        <v>1.0166666666666666</v>
      </c>
      <c r="F174" t="s">
        <v>734</v>
      </c>
      <c r="G174" t="str">
        <f>IFERROR(VLOOKUP(Logs_Reseau_Part56[[#This Row],[Cell_ID]],Registre_Maintenance_Part[[ID_Antenne]:[Colonne2]],2,FALSE),"")</f>
        <v>Kinshasa</v>
      </c>
      <c r="H174">
        <f>IFERROR(VLOOKUP(Logs_Reseau_Part56[[#This Row],[Cell_ID]],Registre_Maintenance_Part[[ID_Antenne]:[Colonne2]],3,FALSE),"")</f>
        <v>-7.1079169999999996</v>
      </c>
      <c r="I174">
        <f>IFERROR(VLOOKUP(Logs_Reseau_Part56[[#This Row],[Cell_ID]],Registre_Maintenance_Part[[ID_Antenne]:[Colonne2]],4,FALSE),"")</f>
        <v>13.636272</v>
      </c>
      <c r="J174" t="str">
        <f>IFERROR(VLOOKUP(Logs_Reseau_Part56[[#This Row],[Cell_ID]],Registre_Maintenance_Part[[ID_Antenne]:[Colonne2]],5,FALSE),"")</f>
        <v>5G</v>
      </c>
      <c r="K174" t="str">
        <f>IFERROR(VLOOKUP(Logs_Reseau_Part56[[#This Row],[Cell_ID]],Registre_Maintenance_Part[[ID_Antenne]:[Colonne2]],6,FALSE),"")</f>
        <v>Nokia</v>
      </c>
    </row>
    <row r="175" spans="1:11" x14ac:dyDescent="0.3">
      <c r="A175" s="1">
        <v>45230.595138888893</v>
      </c>
      <c r="B175" s="2">
        <v>45230.595138888893</v>
      </c>
      <c r="C175" t="s">
        <v>1366</v>
      </c>
      <c r="D175">
        <v>14</v>
      </c>
      <c r="E175">
        <f>Logs_Reseau_Part56[[#This Row],[Duree_Panne_Min]]/60</f>
        <v>0.23333333333333334</v>
      </c>
      <c r="F175" t="s">
        <v>734</v>
      </c>
      <c r="G175" t="str">
        <f>IFERROR(VLOOKUP(Logs_Reseau_Part56[[#This Row],[Cell_ID]],Registre_Maintenance_Part[[ID_Antenne]:[Colonne2]],2,FALSE),"")</f>
        <v>Kinshasa</v>
      </c>
      <c r="H175">
        <f>IFERROR(VLOOKUP(Logs_Reseau_Part56[[#This Row],[Cell_ID]],Registre_Maintenance_Part[[ID_Antenne]:[Colonne2]],3,FALSE),"")</f>
        <v>-7.1079169999999996</v>
      </c>
      <c r="I175">
        <f>IFERROR(VLOOKUP(Logs_Reseau_Part56[[#This Row],[Cell_ID]],Registre_Maintenance_Part[[ID_Antenne]:[Colonne2]],4,FALSE),"")</f>
        <v>13.636272</v>
      </c>
      <c r="J175" t="str">
        <f>IFERROR(VLOOKUP(Logs_Reseau_Part56[[#This Row],[Cell_ID]],Registre_Maintenance_Part[[ID_Antenne]:[Colonne2]],5,FALSE),"")</f>
        <v>5G</v>
      </c>
      <c r="K175" t="str">
        <f>IFERROR(VLOOKUP(Logs_Reseau_Part56[[#This Row],[Cell_ID]],Registre_Maintenance_Part[[ID_Antenne]:[Colonne2]],6,FALSE),"")</f>
        <v>Nokia</v>
      </c>
    </row>
    <row r="176" spans="1:11" x14ac:dyDescent="0.3">
      <c r="A176" s="1">
        <v>45230.638888888891</v>
      </c>
      <c r="B176" s="2">
        <v>45230.638888888891</v>
      </c>
      <c r="C176" t="s">
        <v>1244</v>
      </c>
      <c r="D176">
        <v>77</v>
      </c>
      <c r="E176">
        <f>Logs_Reseau_Part56[[#This Row],[Duree_Panne_Min]]/60</f>
        <v>1.2833333333333334</v>
      </c>
      <c r="F176" t="s">
        <v>737</v>
      </c>
      <c r="G176" t="str">
        <f>IFERROR(VLOOKUP(Logs_Reseau_Part56[[#This Row],[Cell_ID]],Registre_Maintenance_Part[[ID_Antenne]:[Colonne2]],2,FALSE),"")</f>
        <v>Kinshasa</v>
      </c>
      <c r="H176">
        <f>IFERROR(VLOOKUP(Logs_Reseau_Part56[[#This Row],[Cell_ID]],Registre_Maintenance_Part[[ID_Antenne]:[Colonne2]],3,FALSE),"")</f>
        <v>-0.57104900000000003</v>
      </c>
      <c r="I176">
        <f>IFERROR(VLOOKUP(Logs_Reseau_Part56[[#This Row],[Cell_ID]],Registre_Maintenance_Part[[ID_Antenne]:[Colonne2]],4,FALSE),"")</f>
        <v>15.317663</v>
      </c>
      <c r="J176" t="str">
        <f>IFERROR(VLOOKUP(Logs_Reseau_Part56[[#This Row],[Cell_ID]],Registre_Maintenance_Part[[ID_Antenne]:[Colonne2]],5,FALSE),"")</f>
        <v>5G</v>
      </c>
      <c r="K176" t="str">
        <f>IFERROR(VLOOKUP(Logs_Reseau_Part56[[#This Row],[Cell_ID]],Registre_Maintenance_Part[[ID_Antenne]:[Colonne2]],6,FALSE),"")</f>
        <v>Nokia</v>
      </c>
    </row>
    <row r="177" spans="1:11" x14ac:dyDescent="0.3">
      <c r="A177" s="1">
        <v>45200.925694444442</v>
      </c>
      <c r="B177" s="2">
        <v>45200.925694444442</v>
      </c>
      <c r="C177" t="s">
        <v>741</v>
      </c>
      <c r="D177">
        <v>76</v>
      </c>
      <c r="E177">
        <f>Logs_Reseau_Part56[[#This Row],[Duree_Panne_Min]]/60</f>
        <v>1.2666666666666666</v>
      </c>
      <c r="F177" t="s">
        <v>739</v>
      </c>
      <c r="G177" t="str">
        <f>IFERROR(VLOOKUP(Logs_Reseau_Part56[[#This Row],[Cell_ID]],Registre_Maintenance_Part[[ID_Antenne]:[Colonne2]],2,FALSE),"")</f>
        <v>Kongo-Central</v>
      </c>
      <c r="H177">
        <f>IFERROR(VLOOKUP(Logs_Reseau_Part56[[#This Row],[Cell_ID]],Registre_Maintenance_Part[[ID_Antenne]:[Colonne2]],3,FALSE),"")</f>
        <v>-2.8211520000000001</v>
      </c>
      <c r="I177">
        <f>IFERROR(VLOOKUP(Logs_Reseau_Part56[[#This Row],[Cell_ID]],Registre_Maintenance_Part[[ID_Antenne]:[Colonne2]],4,FALSE),"")</f>
        <v>20.651419000000001</v>
      </c>
      <c r="J177" t="str">
        <f>IFERROR(VLOOKUP(Logs_Reseau_Part56[[#This Row],[Cell_ID]],Registre_Maintenance_Part[[ID_Antenne]:[Colonne2]],5,FALSE),"")</f>
        <v>5G</v>
      </c>
      <c r="K177" t="str">
        <f>IFERROR(VLOOKUP(Logs_Reseau_Part56[[#This Row],[Cell_ID]],Registre_Maintenance_Part[[ID_Antenne]:[Colonne2]],6,FALSE),"")</f>
        <v>Ericsson</v>
      </c>
    </row>
    <row r="178" spans="1:11" x14ac:dyDescent="0.3">
      <c r="A178" s="1">
        <v>45202.645138888889</v>
      </c>
      <c r="B178" s="2">
        <v>45202.645138888889</v>
      </c>
      <c r="C178" t="s">
        <v>1274</v>
      </c>
      <c r="D178">
        <v>106</v>
      </c>
      <c r="E178">
        <f>Logs_Reseau_Part56[[#This Row],[Duree_Panne_Min]]/60</f>
        <v>1.7666666666666666</v>
      </c>
      <c r="F178" t="s">
        <v>739</v>
      </c>
      <c r="G178" t="str">
        <f>IFERROR(VLOOKUP(Logs_Reseau_Part56[[#This Row],[Cell_ID]],Registre_Maintenance_Part[[ID_Antenne]:[Colonne2]],2,FALSE),"")</f>
        <v>Kongo-Central</v>
      </c>
      <c r="H178">
        <f>IFERROR(VLOOKUP(Logs_Reseau_Part56[[#This Row],[Cell_ID]],Registre_Maintenance_Part[[ID_Antenne]:[Colonne2]],3,FALSE),"")</f>
        <v>1.981107</v>
      </c>
      <c r="I178">
        <f>IFERROR(VLOOKUP(Logs_Reseau_Part56[[#This Row],[Cell_ID]],Registre_Maintenance_Part[[ID_Antenne]:[Colonne2]],4,FALSE),"")</f>
        <v>23.932569000000001</v>
      </c>
      <c r="J178" t="str">
        <f>IFERROR(VLOOKUP(Logs_Reseau_Part56[[#This Row],[Cell_ID]],Registre_Maintenance_Part[[ID_Antenne]:[Colonne2]],5,FALSE),"")</f>
        <v>3G</v>
      </c>
      <c r="K178" t="str">
        <f>IFERROR(VLOOKUP(Logs_Reseau_Part56[[#This Row],[Cell_ID]],Registre_Maintenance_Part[[ID_Antenne]:[Colonne2]],6,FALSE),"")</f>
        <v>Nokia</v>
      </c>
    </row>
    <row r="179" spans="1:11" x14ac:dyDescent="0.3">
      <c r="A179" s="1">
        <v>45202.775694444441</v>
      </c>
      <c r="B179" s="2">
        <v>45202.775694444441</v>
      </c>
      <c r="C179" t="s">
        <v>1274</v>
      </c>
      <c r="D179">
        <v>72</v>
      </c>
      <c r="E179">
        <f>Logs_Reseau_Part56[[#This Row],[Duree_Panne_Min]]/60</f>
        <v>1.2</v>
      </c>
      <c r="F179" t="s">
        <v>734</v>
      </c>
      <c r="G179" t="str">
        <f>IFERROR(VLOOKUP(Logs_Reseau_Part56[[#This Row],[Cell_ID]],Registre_Maintenance_Part[[ID_Antenne]:[Colonne2]],2,FALSE),"")</f>
        <v>Kongo-Central</v>
      </c>
      <c r="H179">
        <f>IFERROR(VLOOKUP(Logs_Reseau_Part56[[#This Row],[Cell_ID]],Registre_Maintenance_Part[[ID_Antenne]:[Colonne2]],3,FALSE),"")</f>
        <v>1.981107</v>
      </c>
      <c r="I179">
        <f>IFERROR(VLOOKUP(Logs_Reseau_Part56[[#This Row],[Cell_ID]],Registre_Maintenance_Part[[ID_Antenne]:[Colonne2]],4,FALSE),"")</f>
        <v>23.932569000000001</v>
      </c>
      <c r="J179" t="str">
        <f>IFERROR(VLOOKUP(Logs_Reseau_Part56[[#This Row],[Cell_ID]],Registre_Maintenance_Part[[ID_Antenne]:[Colonne2]],5,FALSE),"")</f>
        <v>3G</v>
      </c>
      <c r="K179" t="str">
        <f>IFERROR(VLOOKUP(Logs_Reseau_Part56[[#This Row],[Cell_ID]],Registre_Maintenance_Part[[ID_Antenne]:[Colonne2]],6,FALSE),"")</f>
        <v>Nokia</v>
      </c>
    </row>
    <row r="180" spans="1:11" x14ac:dyDescent="0.3">
      <c r="A180" s="1">
        <v>45204.237500000003</v>
      </c>
      <c r="B180" s="2">
        <v>45204.237500000003</v>
      </c>
      <c r="C180" t="s">
        <v>958</v>
      </c>
      <c r="D180">
        <v>21</v>
      </c>
      <c r="E180">
        <f>Logs_Reseau_Part56[[#This Row],[Duree_Panne_Min]]/60</f>
        <v>0.35</v>
      </c>
      <c r="F180" t="s">
        <v>737</v>
      </c>
      <c r="G180" t="str">
        <f>IFERROR(VLOOKUP(Logs_Reseau_Part56[[#This Row],[Cell_ID]],Registre_Maintenance_Part[[ID_Antenne]:[Colonne2]],2,FALSE),"")</f>
        <v>Kongo-Central</v>
      </c>
      <c r="H180">
        <f>IFERROR(VLOOKUP(Logs_Reseau_Part56[[#This Row],[Cell_ID]],Registre_Maintenance_Part[[ID_Antenne]:[Colonne2]],3,FALSE),"")</f>
        <v>2.975352</v>
      </c>
      <c r="I180">
        <f>IFERROR(VLOOKUP(Logs_Reseau_Part56[[#This Row],[Cell_ID]],Registre_Maintenance_Part[[ID_Antenne]:[Colonne2]],4,FALSE),"")</f>
        <v>22.535886000000001</v>
      </c>
      <c r="J180" t="str">
        <f>IFERROR(VLOOKUP(Logs_Reseau_Part56[[#This Row],[Cell_ID]],Registre_Maintenance_Part[[ID_Antenne]:[Colonne2]],5,FALSE),"")</f>
        <v>4G</v>
      </c>
      <c r="K180" t="str">
        <f>IFERROR(VLOOKUP(Logs_Reseau_Part56[[#This Row],[Cell_ID]],Registre_Maintenance_Part[[ID_Antenne]:[Colonne2]],6,FALSE),"")</f>
        <v>Huawei</v>
      </c>
    </row>
    <row r="181" spans="1:11" x14ac:dyDescent="0.3">
      <c r="A181" s="1">
        <v>45204.55</v>
      </c>
      <c r="B181" s="2">
        <v>45204.55</v>
      </c>
      <c r="C181" t="s">
        <v>958</v>
      </c>
      <c r="D181">
        <v>113</v>
      </c>
      <c r="E181">
        <f>Logs_Reseau_Part56[[#This Row],[Duree_Panne_Min]]/60</f>
        <v>1.8833333333333333</v>
      </c>
      <c r="F181" t="s">
        <v>737</v>
      </c>
      <c r="G181" t="str">
        <f>IFERROR(VLOOKUP(Logs_Reseau_Part56[[#This Row],[Cell_ID]],Registre_Maintenance_Part[[ID_Antenne]:[Colonne2]],2,FALSE),"")</f>
        <v>Kongo-Central</v>
      </c>
      <c r="H181">
        <f>IFERROR(VLOOKUP(Logs_Reseau_Part56[[#This Row],[Cell_ID]],Registre_Maintenance_Part[[ID_Antenne]:[Colonne2]],3,FALSE),"")</f>
        <v>2.975352</v>
      </c>
      <c r="I181">
        <f>IFERROR(VLOOKUP(Logs_Reseau_Part56[[#This Row],[Cell_ID]],Registre_Maintenance_Part[[ID_Antenne]:[Colonne2]],4,FALSE),"")</f>
        <v>22.535886000000001</v>
      </c>
      <c r="J181" t="str">
        <f>IFERROR(VLOOKUP(Logs_Reseau_Part56[[#This Row],[Cell_ID]],Registre_Maintenance_Part[[ID_Antenne]:[Colonne2]],5,FALSE),"")</f>
        <v>4G</v>
      </c>
      <c r="K181" t="str">
        <f>IFERROR(VLOOKUP(Logs_Reseau_Part56[[#This Row],[Cell_ID]],Registre_Maintenance_Part[[ID_Antenne]:[Colonne2]],6,FALSE),"")</f>
        <v>Huawei</v>
      </c>
    </row>
    <row r="182" spans="1:11" x14ac:dyDescent="0.3">
      <c r="A182" s="1">
        <v>45205.650694444441</v>
      </c>
      <c r="B182" s="2">
        <v>45205.650694444441</v>
      </c>
      <c r="C182" t="s">
        <v>1344</v>
      </c>
      <c r="D182">
        <v>63</v>
      </c>
      <c r="E182">
        <f>Logs_Reseau_Part56[[#This Row],[Duree_Panne_Min]]/60</f>
        <v>1.05</v>
      </c>
      <c r="F182" t="s">
        <v>734</v>
      </c>
      <c r="G182" t="str">
        <f>IFERROR(VLOOKUP(Logs_Reseau_Part56[[#This Row],[Cell_ID]],Registre_Maintenance_Part[[ID_Antenne]:[Colonne2]],2,FALSE),"")</f>
        <v>Kongo-Central</v>
      </c>
      <c r="H182">
        <f>IFERROR(VLOOKUP(Logs_Reseau_Part56[[#This Row],[Cell_ID]],Registre_Maintenance_Part[[ID_Antenne]:[Colonne2]],3,FALSE),"")</f>
        <v>-10.977309</v>
      </c>
      <c r="I182">
        <f>IFERROR(VLOOKUP(Logs_Reseau_Part56[[#This Row],[Cell_ID]],Registre_Maintenance_Part[[ID_Antenne]:[Colonne2]],4,FALSE),"")</f>
        <v>12.408281000000001</v>
      </c>
      <c r="J182" t="str">
        <f>IFERROR(VLOOKUP(Logs_Reseau_Part56[[#This Row],[Cell_ID]],Registre_Maintenance_Part[[ID_Antenne]:[Colonne2]],5,FALSE),"")</f>
        <v>5G</v>
      </c>
      <c r="K182" t="str">
        <f>IFERROR(VLOOKUP(Logs_Reseau_Part56[[#This Row],[Cell_ID]],Registre_Maintenance_Part[[ID_Antenne]:[Colonne2]],6,FALSE),"")</f>
        <v>ZTE</v>
      </c>
    </row>
    <row r="183" spans="1:11" x14ac:dyDescent="0.3">
      <c r="A183" s="1">
        <v>45205.768750000003</v>
      </c>
      <c r="B183" s="2">
        <v>45205.768750000003</v>
      </c>
      <c r="C183" t="s">
        <v>1299</v>
      </c>
      <c r="D183">
        <v>36</v>
      </c>
      <c r="E183">
        <f>Logs_Reseau_Part56[[#This Row],[Duree_Panne_Min]]/60</f>
        <v>0.6</v>
      </c>
      <c r="F183" t="s">
        <v>734</v>
      </c>
      <c r="G183" t="str">
        <f>IFERROR(VLOOKUP(Logs_Reseau_Part56[[#This Row],[Cell_ID]],Registre_Maintenance_Part[[ID_Antenne]:[Colonne2]],2,FALSE),"")</f>
        <v>Kongo-Central</v>
      </c>
      <c r="H183">
        <f>IFERROR(VLOOKUP(Logs_Reseau_Part56[[#This Row],[Cell_ID]],Registre_Maintenance_Part[[ID_Antenne]:[Colonne2]],3,FALSE),"")</f>
        <v>-0.469945</v>
      </c>
      <c r="I183">
        <f>IFERROR(VLOOKUP(Logs_Reseau_Part56[[#This Row],[Cell_ID]],Registre_Maintenance_Part[[ID_Antenne]:[Colonne2]],4,FALSE),"")</f>
        <v>21.038527999999999</v>
      </c>
      <c r="J183" t="str">
        <f>IFERROR(VLOOKUP(Logs_Reseau_Part56[[#This Row],[Cell_ID]],Registre_Maintenance_Part[[ID_Antenne]:[Colonne2]],5,FALSE),"")</f>
        <v>3G</v>
      </c>
      <c r="K183" t="str">
        <f>IFERROR(VLOOKUP(Logs_Reseau_Part56[[#This Row],[Cell_ID]],Registre_Maintenance_Part[[ID_Antenne]:[Colonne2]],6,FALSE),"")</f>
        <v>Ericsson</v>
      </c>
    </row>
    <row r="184" spans="1:11" x14ac:dyDescent="0.3">
      <c r="A184" s="1">
        <v>45207.074305555558</v>
      </c>
      <c r="B184" s="2">
        <v>45207.074305555558</v>
      </c>
      <c r="C184" t="s">
        <v>1287</v>
      </c>
      <c r="D184">
        <v>57</v>
      </c>
      <c r="E184">
        <f>Logs_Reseau_Part56[[#This Row],[Duree_Panne_Min]]/60</f>
        <v>0.95</v>
      </c>
      <c r="F184" t="s">
        <v>734</v>
      </c>
      <c r="G184" t="str">
        <f>IFERROR(VLOOKUP(Logs_Reseau_Part56[[#This Row],[Cell_ID]],Registre_Maintenance_Part[[ID_Antenne]:[Colonne2]],2,FALSE),"")</f>
        <v>Kongo-Central</v>
      </c>
      <c r="H184">
        <f>IFERROR(VLOOKUP(Logs_Reseau_Part56[[#This Row],[Cell_ID]],Registre_Maintenance_Part[[ID_Antenne]:[Colonne2]],3,FALSE),"")</f>
        <v>-7.1587569999999996</v>
      </c>
      <c r="I184">
        <f>IFERROR(VLOOKUP(Logs_Reseau_Part56[[#This Row],[Cell_ID]],Registre_Maintenance_Part[[ID_Antenne]:[Colonne2]],4,FALSE),"")</f>
        <v>18.975141000000001</v>
      </c>
      <c r="J184" t="str">
        <f>IFERROR(VLOOKUP(Logs_Reseau_Part56[[#This Row],[Cell_ID]],Registre_Maintenance_Part[[ID_Antenne]:[Colonne2]],5,FALSE),"")</f>
        <v>5G</v>
      </c>
      <c r="K184" t="str">
        <f>IFERROR(VLOOKUP(Logs_Reseau_Part56[[#This Row],[Cell_ID]],Registre_Maintenance_Part[[ID_Antenne]:[Colonne2]],6,FALSE),"")</f>
        <v>Ericsson</v>
      </c>
    </row>
    <row r="185" spans="1:11" x14ac:dyDescent="0.3">
      <c r="A185" s="1">
        <v>45207.668055555558</v>
      </c>
      <c r="B185" s="2">
        <v>45207.668055555558</v>
      </c>
      <c r="C185" t="s">
        <v>1287</v>
      </c>
      <c r="D185">
        <v>113</v>
      </c>
      <c r="E185">
        <f>Logs_Reseau_Part56[[#This Row],[Duree_Panne_Min]]/60</f>
        <v>1.8833333333333333</v>
      </c>
      <c r="F185" t="s">
        <v>734</v>
      </c>
      <c r="G185" t="str">
        <f>IFERROR(VLOOKUP(Logs_Reseau_Part56[[#This Row],[Cell_ID]],Registre_Maintenance_Part[[ID_Antenne]:[Colonne2]],2,FALSE),"")</f>
        <v>Kongo-Central</v>
      </c>
      <c r="H185">
        <f>IFERROR(VLOOKUP(Logs_Reseau_Part56[[#This Row],[Cell_ID]],Registre_Maintenance_Part[[ID_Antenne]:[Colonne2]],3,FALSE),"")</f>
        <v>-7.1587569999999996</v>
      </c>
      <c r="I185">
        <f>IFERROR(VLOOKUP(Logs_Reseau_Part56[[#This Row],[Cell_ID]],Registre_Maintenance_Part[[ID_Antenne]:[Colonne2]],4,FALSE),"")</f>
        <v>18.975141000000001</v>
      </c>
      <c r="J185" t="str">
        <f>IFERROR(VLOOKUP(Logs_Reseau_Part56[[#This Row],[Cell_ID]],Registre_Maintenance_Part[[ID_Antenne]:[Colonne2]],5,FALSE),"")</f>
        <v>5G</v>
      </c>
      <c r="K185" t="str">
        <f>IFERROR(VLOOKUP(Logs_Reseau_Part56[[#This Row],[Cell_ID]],Registre_Maintenance_Part[[ID_Antenne]:[Colonne2]],6,FALSE),"")</f>
        <v>Ericsson</v>
      </c>
    </row>
    <row r="186" spans="1:11" x14ac:dyDescent="0.3">
      <c r="A186" s="1">
        <v>45212.965277777781</v>
      </c>
      <c r="B186" s="2">
        <v>45212.965277777781</v>
      </c>
      <c r="C186" t="s">
        <v>866</v>
      </c>
      <c r="D186">
        <v>27</v>
      </c>
      <c r="E186">
        <f>Logs_Reseau_Part56[[#This Row],[Duree_Panne_Min]]/60</f>
        <v>0.45</v>
      </c>
      <c r="F186" t="s">
        <v>739</v>
      </c>
      <c r="G186" t="str">
        <f>IFERROR(VLOOKUP(Logs_Reseau_Part56[[#This Row],[Cell_ID]],Registre_Maintenance_Part[[ID_Antenne]:[Colonne2]],2,FALSE),"")</f>
        <v>Kongo-Central</v>
      </c>
      <c r="H186">
        <f>IFERROR(VLOOKUP(Logs_Reseau_Part56[[#This Row],[Cell_ID]],Registre_Maintenance_Part[[ID_Antenne]:[Colonne2]],3,FALSE),"")</f>
        <v>0.79124300000000003</v>
      </c>
      <c r="I186">
        <f>IFERROR(VLOOKUP(Logs_Reseau_Part56[[#This Row],[Cell_ID]],Registre_Maintenance_Part[[ID_Antenne]:[Colonne2]],4,FALSE),"")</f>
        <v>25.273389000000002</v>
      </c>
      <c r="J186" t="str">
        <f>IFERROR(VLOOKUP(Logs_Reseau_Part56[[#This Row],[Cell_ID]],Registre_Maintenance_Part[[ID_Antenne]:[Colonne2]],5,FALSE),"")</f>
        <v>4G</v>
      </c>
      <c r="K186" t="str">
        <f>IFERROR(VLOOKUP(Logs_Reseau_Part56[[#This Row],[Cell_ID]],Registre_Maintenance_Part[[ID_Antenne]:[Colonne2]],6,FALSE),"")</f>
        <v>Nokia</v>
      </c>
    </row>
    <row r="187" spans="1:11" x14ac:dyDescent="0.3">
      <c r="A187" s="1">
        <v>45213.022916666669</v>
      </c>
      <c r="B187" s="2">
        <v>45213.022916666669</v>
      </c>
      <c r="C187" t="s">
        <v>741</v>
      </c>
      <c r="D187">
        <v>56</v>
      </c>
      <c r="E187">
        <f>Logs_Reseau_Part56[[#This Row],[Duree_Panne_Min]]/60</f>
        <v>0.93333333333333335</v>
      </c>
      <c r="F187" t="s">
        <v>739</v>
      </c>
      <c r="G187" t="str">
        <f>IFERROR(VLOOKUP(Logs_Reseau_Part56[[#This Row],[Cell_ID]],Registre_Maintenance_Part[[ID_Antenne]:[Colonne2]],2,FALSE),"")</f>
        <v>Kongo-Central</v>
      </c>
      <c r="H187">
        <f>IFERROR(VLOOKUP(Logs_Reseau_Part56[[#This Row],[Cell_ID]],Registre_Maintenance_Part[[ID_Antenne]:[Colonne2]],3,FALSE),"")</f>
        <v>-2.8211520000000001</v>
      </c>
      <c r="I187">
        <f>IFERROR(VLOOKUP(Logs_Reseau_Part56[[#This Row],[Cell_ID]],Registre_Maintenance_Part[[ID_Antenne]:[Colonne2]],4,FALSE),"")</f>
        <v>20.651419000000001</v>
      </c>
      <c r="J187" t="str">
        <f>IFERROR(VLOOKUP(Logs_Reseau_Part56[[#This Row],[Cell_ID]],Registre_Maintenance_Part[[ID_Antenne]:[Colonne2]],5,FALSE),"")</f>
        <v>5G</v>
      </c>
      <c r="K187" t="str">
        <f>IFERROR(VLOOKUP(Logs_Reseau_Part56[[#This Row],[Cell_ID]],Registre_Maintenance_Part[[ID_Antenne]:[Colonne2]],6,FALSE),"")</f>
        <v>Ericsson</v>
      </c>
    </row>
    <row r="188" spans="1:11" x14ac:dyDescent="0.3">
      <c r="A188" s="1">
        <v>45213.042361111111</v>
      </c>
      <c r="B188" s="2">
        <v>45213.042361111111</v>
      </c>
      <c r="C188" t="s">
        <v>741</v>
      </c>
      <c r="D188">
        <v>119</v>
      </c>
      <c r="E188">
        <f>Logs_Reseau_Part56[[#This Row],[Duree_Panne_Min]]/60</f>
        <v>1.9833333333333334</v>
      </c>
      <c r="F188" t="s">
        <v>737</v>
      </c>
      <c r="G188" t="str">
        <f>IFERROR(VLOOKUP(Logs_Reseau_Part56[[#This Row],[Cell_ID]],Registre_Maintenance_Part[[ID_Antenne]:[Colonne2]],2,FALSE),"")</f>
        <v>Kongo-Central</v>
      </c>
      <c r="H188">
        <f>IFERROR(VLOOKUP(Logs_Reseau_Part56[[#This Row],[Cell_ID]],Registre_Maintenance_Part[[ID_Antenne]:[Colonne2]],3,FALSE),"")</f>
        <v>-2.8211520000000001</v>
      </c>
      <c r="I188">
        <f>IFERROR(VLOOKUP(Logs_Reseau_Part56[[#This Row],[Cell_ID]],Registre_Maintenance_Part[[ID_Antenne]:[Colonne2]],4,FALSE),"")</f>
        <v>20.651419000000001</v>
      </c>
      <c r="J188" t="str">
        <f>IFERROR(VLOOKUP(Logs_Reseau_Part56[[#This Row],[Cell_ID]],Registre_Maintenance_Part[[ID_Antenne]:[Colonne2]],5,FALSE),"")</f>
        <v>5G</v>
      </c>
      <c r="K188" t="str">
        <f>IFERROR(VLOOKUP(Logs_Reseau_Part56[[#This Row],[Cell_ID]],Registre_Maintenance_Part[[ID_Antenne]:[Colonne2]],6,FALSE),"")</f>
        <v>Ericsson</v>
      </c>
    </row>
    <row r="189" spans="1:11" x14ac:dyDescent="0.3">
      <c r="A189" s="1">
        <v>45215.288194444453</v>
      </c>
      <c r="B189" s="2">
        <v>45215.288194444453</v>
      </c>
      <c r="C189" t="s">
        <v>1180</v>
      </c>
      <c r="D189">
        <v>109</v>
      </c>
      <c r="E189">
        <f>Logs_Reseau_Part56[[#This Row],[Duree_Panne_Min]]/60</f>
        <v>1.8166666666666667</v>
      </c>
      <c r="F189" t="s">
        <v>734</v>
      </c>
      <c r="G189" t="str">
        <f>IFERROR(VLOOKUP(Logs_Reseau_Part56[[#This Row],[Cell_ID]],Registre_Maintenance_Part[[ID_Antenne]:[Colonne2]],2,FALSE),"")</f>
        <v>Kongo-Central</v>
      </c>
      <c r="H189">
        <f>IFERROR(VLOOKUP(Logs_Reseau_Part56[[#This Row],[Cell_ID]],Registre_Maintenance_Part[[ID_Antenne]:[Colonne2]],3,FALSE),"")</f>
        <v>-11.157245</v>
      </c>
      <c r="I189">
        <f>IFERROR(VLOOKUP(Logs_Reseau_Part56[[#This Row],[Cell_ID]],Registre_Maintenance_Part[[ID_Antenne]:[Colonne2]],4,FALSE),"")</f>
        <v>21.262627999999999</v>
      </c>
      <c r="J189" t="str">
        <f>IFERROR(VLOOKUP(Logs_Reseau_Part56[[#This Row],[Cell_ID]],Registre_Maintenance_Part[[ID_Antenne]:[Colonne2]],5,FALSE),"")</f>
        <v>5G</v>
      </c>
      <c r="K189" t="str">
        <f>IFERROR(VLOOKUP(Logs_Reseau_Part56[[#This Row],[Cell_ID]],Registre_Maintenance_Part[[ID_Antenne]:[Colonne2]],6,FALSE),"")</f>
        <v>ZTE</v>
      </c>
    </row>
    <row r="190" spans="1:11" x14ac:dyDescent="0.3">
      <c r="A190" s="1">
        <v>45215.704861111109</v>
      </c>
      <c r="B190" s="2">
        <v>45215.704861111109</v>
      </c>
      <c r="C190" t="s">
        <v>977</v>
      </c>
      <c r="D190">
        <v>107</v>
      </c>
      <c r="E190">
        <f>Logs_Reseau_Part56[[#This Row],[Duree_Panne_Min]]/60</f>
        <v>1.7833333333333334</v>
      </c>
      <c r="F190" t="s">
        <v>734</v>
      </c>
      <c r="G190" t="str">
        <f>IFERROR(VLOOKUP(Logs_Reseau_Part56[[#This Row],[Cell_ID]],Registre_Maintenance_Part[[ID_Antenne]:[Colonne2]],2,FALSE),"")</f>
        <v>Kongo-Central</v>
      </c>
      <c r="H190">
        <f>IFERROR(VLOOKUP(Logs_Reseau_Part56[[#This Row],[Cell_ID]],Registre_Maintenance_Part[[ID_Antenne]:[Colonne2]],3,FALSE),"")</f>
        <v>-12.564277000000001</v>
      </c>
      <c r="I190">
        <f>IFERROR(VLOOKUP(Logs_Reseau_Part56[[#This Row],[Cell_ID]],Registre_Maintenance_Part[[ID_Antenne]:[Colonne2]],4,FALSE),"")</f>
        <v>28.480798</v>
      </c>
      <c r="J190" t="str">
        <f>IFERROR(VLOOKUP(Logs_Reseau_Part56[[#This Row],[Cell_ID]],Registre_Maintenance_Part[[ID_Antenne]:[Colonne2]],5,FALSE),"")</f>
        <v>5G</v>
      </c>
      <c r="K190" t="str">
        <f>IFERROR(VLOOKUP(Logs_Reseau_Part56[[#This Row],[Cell_ID]],Registre_Maintenance_Part[[ID_Antenne]:[Colonne2]],6,FALSE),"")</f>
        <v>ZTE</v>
      </c>
    </row>
    <row r="191" spans="1:11" x14ac:dyDescent="0.3">
      <c r="A191" s="1">
        <v>45218.381944444453</v>
      </c>
      <c r="B191" s="2">
        <v>45218.381944444453</v>
      </c>
      <c r="C191" t="s">
        <v>741</v>
      </c>
      <c r="D191">
        <v>81</v>
      </c>
      <c r="E191">
        <f>Logs_Reseau_Part56[[#This Row],[Duree_Panne_Min]]/60</f>
        <v>1.35</v>
      </c>
      <c r="F191" t="s">
        <v>737</v>
      </c>
      <c r="G191" t="str">
        <f>IFERROR(VLOOKUP(Logs_Reseau_Part56[[#This Row],[Cell_ID]],Registre_Maintenance_Part[[ID_Antenne]:[Colonne2]],2,FALSE),"")</f>
        <v>Kongo-Central</v>
      </c>
      <c r="H191">
        <f>IFERROR(VLOOKUP(Logs_Reseau_Part56[[#This Row],[Cell_ID]],Registre_Maintenance_Part[[ID_Antenne]:[Colonne2]],3,FALSE),"")</f>
        <v>-2.8211520000000001</v>
      </c>
      <c r="I191">
        <f>IFERROR(VLOOKUP(Logs_Reseau_Part56[[#This Row],[Cell_ID]],Registre_Maintenance_Part[[ID_Antenne]:[Colonne2]],4,FALSE),"")</f>
        <v>20.651419000000001</v>
      </c>
      <c r="J191" t="str">
        <f>IFERROR(VLOOKUP(Logs_Reseau_Part56[[#This Row],[Cell_ID]],Registre_Maintenance_Part[[ID_Antenne]:[Colonne2]],5,FALSE),"")</f>
        <v>5G</v>
      </c>
      <c r="K191" t="str">
        <f>IFERROR(VLOOKUP(Logs_Reseau_Part56[[#This Row],[Cell_ID]],Registre_Maintenance_Part[[ID_Antenne]:[Colonne2]],6,FALSE),"")</f>
        <v>Ericsson</v>
      </c>
    </row>
    <row r="192" spans="1:11" x14ac:dyDescent="0.3">
      <c r="A192" s="1">
        <v>45219.476388888892</v>
      </c>
      <c r="B192" s="2">
        <v>45219.476388888892</v>
      </c>
      <c r="C192" t="s">
        <v>741</v>
      </c>
      <c r="D192">
        <v>57</v>
      </c>
      <c r="E192">
        <f>Logs_Reseau_Part56[[#This Row],[Duree_Panne_Min]]/60</f>
        <v>0.95</v>
      </c>
      <c r="F192" t="s">
        <v>734</v>
      </c>
      <c r="G192" t="str">
        <f>IFERROR(VLOOKUP(Logs_Reseau_Part56[[#This Row],[Cell_ID]],Registre_Maintenance_Part[[ID_Antenne]:[Colonne2]],2,FALSE),"")</f>
        <v>Kongo-Central</v>
      </c>
      <c r="H192">
        <f>IFERROR(VLOOKUP(Logs_Reseau_Part56[[#This Row],[Cell_ID]],Registre_Maintenance_Part[[ID_Antenne]:[Colonne2]],3,FALSE),"")</f>
        <v>-2.8211520000000001</v>
      </c>
      <c r="I192">
        <f>IFERROR(VLOOKUP(Logs_Reseau_Part56[[#This Row],[Cell_ID]],Registre_Maintenance_Part[[ID_Antenne]:[Colonne2]],4,FALSE),"")</f>
        <v>20.651419000000001</v>
      </c>
      <c r="J192" t="str">
        <f>IFERROR(VLOOKUP(Logs_Reseau_Part56[[#This Row],[Cell_ID]],Registre_Maintenance_Part[[ID_Antenne]:[Colonne2]],5,FALSE),"")</f>
        <v>5G</v>
      </c>
      <c r="K192" t="str">
        <f>IFERROR(VLOOKUP(Logs_Reseau_Part56[[#This Row],[Cell_ID]],Registre_Maintenance_Part[[ID_Antenne]:[Colonne2]],6,FALSE),"")</f>
        <v>Ericsson</v>
      </c>
    </row>
    <row r="193" spans="1:11" x14ac:dyDescent="0.3">
      <c r="A193" s="1">
        <v>45219.569444444453</v>
      </c>
      <c r="B193" s="2">
        <v>45219.569444444453</v>
      </c>
      <c r="C193" t="s">
        <v>1287</v>
      </c>
      <c r="D193">
        <v>96</v>
      </c>
      <c r="E193">
        <f>Logs_Reseau_Part56[[#This Row],[Duree_Panne_Min]]/60</f>
        <v>1.6</v>
      </c>
      <c r="F193" t="s">
        <v>734</v>
      </c>
      <c r="G193" t="str">
        <f>IFERROR(VLOOKUP(Logs_Reseau_Part56[[#This Row],[Cell_ID]],Registre_Maintenance_Part[[ID_Antenne]:[Colonne2]],2,FALSE),"")</f>
        <v>Kongo-Central</v>
      </c>
      <c r="H193">
        <f>IFERROR(VLOOKUP(Logs_Reseau_Part56[[#This Row],[Cell_ID]],Registre_Maintenance_Part[[ID_Antenne]:[Colonne2]],3,FALSE),"")</f>
        <v>-7.1587569999999996</v>
      </c>
      <c r="I193">
        <f>IFERROR(VLOOKUP(Logs_Reseau_Part56[[#This Row],[Cell_ID]],Registre_Maintenance_Part[[ID_Antenne]:[Colonne2]],4,FALSE),"")</f>
        <v>18.975141000000001</v>
      </c>
      <c r="J193" t="str">
        <f>IFERROR(VLOOKUP(Logs_Reseau_Part56[[#This Row],[Cell_ID]],Registre_Maintenance_Part[[ID_Antenne]:[Colonne2]],5,FALSE),"")</f>
        <v>5G</v>
      </c>
      <c r="K193" t="str">
        <f>IFERROR(VLOOKUP(Logs_Reseau_Part56[[#This Row],[Cell_ID]],Registre_Maintenance_Part[[ID_Antenne]:[Colonne2]],6,FALSE),"")</f>
        <v>Ericsson</v>
      </c>
    </row>
    <row r="194" spans="1:11" x14ac:dyDescent="0.3">
      <c r="A194" s="1">
        <v>45219.683333333327</v>
      </c>
      <c r="B194" s="2">
        <v>45219.683333333327</v>
      </c>
      <c r="C194" t="s">
        <v>1030</v>
      </c>
      <c r="D194">
        <v>99</v>
      </c>
      <c r="E194">
        <f>Logs_Reseau_Part56[[#This Row],[Duree_Panne_Min]]/60</f>
        <v>1.65</v>
      </c>
      <c r="F194" t="s">
        <v>737</v>
      </c>
      <c r="G194" t="str">
        <f>IFERROR(VLOOKUP(Logs_Reseau_Part56[[#This Row],[Cell_ID]],Registre_Maintenance_Part[[ID_Antenne]:[Colonne2]],2,FALSE),"")</f>
        <v>Kongo-Central</v>
      </c>
      <c r="H194">
        <f>IFERROR(VLOOKUP(Logs_Reseau_Part56[[#This Row],[Cell_ID]],Registre_Maintenance_Part[[ID_Antenne]:[Colonne2]],3,FALSE),"")</f>
        <v>-9.5840350000000001</v>
      </c>
      <c r="I194">
        <f>IFERROR(VLOOKUP(Logs_Reseau_Part56[[#This Row],[Cell_ID]],Registre_Maintenance_Part[[ID_Antenne]:[Colonne2]],4,FALSE),"")</f>
        <v>15.966024000000001</v>
      </c>
      <c r="J194" t="str">
        <f>IFERROR(VLOOKUP(Logs_Reseau_Part56[[#This Row],[Cell_ID]],Registre_Maintenance_Part[[ID_Antenne]:[Colonne2]],5,FALSE),"")</f>
        <v>5G</v>
      </c>
      <c r="K194" t="str">
        <f>IFERROR(VLOOKUP(Logs_Reseau_Part56[[#This Row],[Cell_ID]],Registre_Maintenance_Part[[ID_Antenne]:[Colonne2]],6,FALSE),"")</f>
        <v>Nokia</v>
      </c>
    </row>
    <row r="195" spans="1:11" x14ac:dyDescent="0.3">
      <c r="A195" s="1">
        <v>45220.154861111107</v>
      </c>
      <c r="B195" s="2">
        <v>45220.154861111107</v>
      </c>
      <c r="C195" t="s">
        <v>1135</v>
      </c>
      <c r="D195">
        <v>53</v>
      </c>
      <c r="E195">
        <f>Logs_Reseau_Part56[[#This Row],[Duree_Panne_Min]]/60</f>
        <v>0.8833333333333333</v>
      </c>
      <c r="F195" t="s">
        <v>734</v>
      </c>
      <c r="G195" t="str">
        <f>IFERROR(VLOOKUP(Logs_Reseau_Part56[[#This Row],[Cell_ID]],Registre_Maintenance_Part[[ID_Antenne]:[Colonne2]],2,FALSE),"")</f>
        <v>Kongo-Central</v>
      </c>
      <c r="H195">
        <f>IFERROR(VLOOKUP(Logs_Reseau_Part56[[#This Row],[Cell_ID]],Registre_Maintenance_Part[[ID_Antenne]:[Colonne2]],3,FALSE),"")</f>
        <v>-9.8208710000000004</v>
      </c>
      <c r="I195">
        <f>IFERROR(VLOOKUP(Logs_Reseau_Part56[[#This Row],[Cell_ID]],Registre_Maintenance_Part[[ID_Antenne]:[Colonne2]],4,FALSE),"")</f>
        <v>23.229807000000001</v>
      </c>
      <c r="J195" t="str">
        <f>IFERROR(VLOOKUP(Logs_Reseau_Part56[[#This Row],[Cell_ID]],Registre_Maintenance_Part[[ID_Antenne]:[Colonne2]],5,FALSE),"")</f>
        <v>5G</v>
      </c>
      <c r="K195" t="str">
        <f>IFERROR(VLOOKUP(Logs_Reseau_Part56[[#This Row],[Cell_ID]],Registre_Maintenance_Part[[ID_Antenne]:[Colonne2]],6,FALSE),"")</f>
        <v>Nokia</v>
      </c>
    </row>
    <row r="196" spans="1:11" x14ac:dyDescent="0.3">
      <c r="A196" s="1">
        <v>45222.663194444453</v>
      </c>
      <c r="B196" s="2">
        <v>45222.663194444453</v>
      </c>
      <c r="C196" t="s">
        <v>958</v>
      </c>
      <c r="D196">
        <v>6</v>
      </c>
      <c r="E196">
        <f>Logs_Reseau_Part56[[#This Row],[Duree_Panne_Min]]/60</f>
        <v>0.1</v>
      </c>
      <c r="F196" t="s">
        <v>739</v>
      </c>
      <c r="G196" t="str">
        <f>IFERROR(VLOOKUP(Logs_Reseau_Part56[[#This Row],[Cell_ID]],Registre_Maintenance_Part[[ID_Antenne]:[Colonne2]],2,FALSE),"")</f>
        <v>Kongo-Central</v>
      </c>
      <c r="H196">
        <f>IFERROR(VLOOKUP(Logs_Reseau_Part56[[#This Row],[Cell_ID]],Registre_Maintenance_Part[[ID_Antenne]:[Colonne2]],3,FALSE),"")</f>
        <v>2.975352</v>
      </c>
      <c r="I196">
        <f>IFERROR(VLOOKUP(Logs_Reseau_Part56[[#This Row],[Cell_ID]],Registre_Maintenance_Part[[ID_Antenne]:[Colonne2]],4,FALSE),"")</f>
        <v>22.535886000000001</v>
      </c>
      <c r="J196" t="str">
        <f>IFERROR(VLOOKUP(Logs_Reseau_Part56[[#This Row],[Cell_ID]],Registre_Maintenance_Part[[ID_Antenne]:[Colonne2]],5,FALSE),"")</f>
        <v>4G</v>
      </c>
      <c r="K196" t="str">
        <f>IFERROR(VLOOKUP(Logs_Reseau_Part56[[#This Row],[Cell_ID]],Registre_Maintenance_Part[[ID_Antenne]:[Colonne2]],6,FALSE),"")</f>
        <v>Huawei</v>
      </c>
    </row>
    <row r="197" spans="1:11" x14ac:dyDescent="0.3">
      <c r="A197" s="1">
        <v>45225.171527777777</v>
      </c>
      <c r="B197" s="2">
        <v>45225.171527777777</v>
      </c>
      <c r="C197" t="s">
        <v>1293</v>
      </c>
      <c r="D197">
        <v>104</v>
      </c>
      <c r="E197">
        <f>Logs_Reseau_Part56[[#This Row],[Duree_Panne_Min]]/60</f>
        <v>1.7333333333333334</v>
      </c>
      <c r="F197" t="s">
        <v>737</v>
      </c>
      <c r="G197" t="str">
        <f>IFERROR(VLOOKUP(Logs_Reseau_Part56[[#This Row],[Cell_ID]],Registre_Maintenance_Part[[ID_Antenne]:[Colonne2]],2,FALSE),"")</f>
        <v>Kongo-Central</v>
      </c>
      <c r="H197">
        <f>IFERROR(VLOOKUP(Logs_Reseau_Part56[[#This Row],[Cell_ID]],Registre_Maintenance_Part[[ID_Antenne]:[Colonne2]],3,FALSE),"")</f>
        <v>1.2463919999999999</v>
      </c>
      <c r="I197">
        <f>IFERROR(VLOOKUP(Logs_Reseau_Part56[[#This Row],[Cell_ID]],Registre_Maintenance_Part[[ID_Antenne]:[Colonne2]],4,FALSE),"")</f>
        <v>13.266916999999999</v>
      </c>
      <c r="J197" t="str">
        <f>IFERROR(VLOOKUP(Logs_Reseau_Part56[[#This Row],[Cell_ID]],Registre_Maintenance_Part[[ID_Antenne]:[Colonne2]],5,FALSE),"")</f>
        <v>5G</v>
      </c>
      <c r="K197" t="str">
        <f>IFERROR(VLOOKUP(Logs_Reseau_Part56[[#This Row],[Cell_ID]],Registre_Maintenance_Part[[ID_Antenne]:[Colonne2]],6,FALSE),"")</f>
        <v>Huawei</v>
      </c>
    </row>
    <row r="198" spans="1:11" x14ac:dyDescent="0.3">
      <c r="A198" s="1">
        <v>45230.039583333331</v>
      </c>
      <c r="B198" s="2">
        <v>45230.039583333331</v>
      </c>
      <c r="C198" t="s">
        <v>1274</v>
      </c>
      <c r="D198">
        <v>117</v>
      </c>
      <c r="E198">
        <f>Logs_Reseau_Part56[[#This Row],[Duree_Panne_Min]]/60</f>
        <v>1.95</v>
      </c>
      <c r="F198" t="s">
        <v>737</v>
      </c>
      <c r="G198" t="str">
        <f>IFERROR(VLOOKUP(Logs_Reseau_Part56[[#This Row],[Cell_ID]],Registre_Maintenance_Part[[ID_Antenne]:[Colonne2]],2,FALSE),"")</f>
        <v>Kongo-Central</v>
      </c>
      <c r="H198">
        <f>IFERROR(VLOOKUP(Logs_Reseau_Part56[[#This Row],[Cell_ID]],Registre_Maintenance_Part[[ID_Antenne]:[Colonne2]],3,FALSE),"")</f>
        <v>1.981107</v>
      </c>
      <c r="I198">
        <f>IFERROR(VLOOKUP(Logs_Reseau_Part56[[#This Row],[Cell_ID]],Registre_Maintenance_Part[[ID_Antenne]:[Colonne2]],4,FALSE),"")</f>
        <v>23.932569000000001</v>
      </c>
      <c r="J198" t="str">
        <f>IFERROR(VLOOKUP(Logs_Reseau_Part56[[#This Row],[Cell_ID]],Registre_Maintenance_Part[[ID_Antenne]:[Colonne2]],5,FALSE),"")</f>
        <v>3G</v>
      </c>
      <c r="K198" t="str">
        <f>IFERROR(VLOOKUP(Logs_Reseau_Part56[[#This Row],[Cell_ID]],Registre_Maintenance_Part[[ID_Antenne]:[Colonne2]],6,FALSE),"")</f>
        <v>Nokia</v>
      </c>
    </row>
    <row r="199" spans="1:11" x14ac:dyDescent="0.3">
      <c r="A199" s="1">
        <v>45230.303472222222</v>
      </c>
      <c r="B199" s="2">
        <v>45230.303472222222</v>
      </c>
      <c r="C199" t="s">
        <v>1135</v>
      </c>
      <c r="D199">
        <v>83</v>
      </c>
      <c r="E199">
        <f>Logs_Reseau_Part56[[#This Row],[Duree_Panne_Min]]/60</f>
        <v>1.3833333333333333</v>
      </c>
      <c r="F199" t="s">
        <v>739</v>
      </c>
      <c r="G199" t="str">
        <f>IFERROR(VLOOKUP(Logs_Reseau_Part56[[#This Row],[Cell_ID]],Registre_Maintenance_Part[[ID_Antenne]:[Colonne2]],2,FALSE),"")</f>
        <v>Kongo-Central</v>
      </c>
      <c r="H199">
        <f>IFERROR(VLOOKUP(Logs_Reseau_Part56[[#This Row],[Cell_ID]],Registre_Maintenance_Part[[ID_Antenne]:[Colonne2]],3,FALSE),"")</f>
        <v>-9.8208710000000004</v>
      </c>
      <c r="I199">
        <f>IFERROR(VLOOKUP(Logs_Reseau_Part56[[#This Row],[Cell_ID]],Registre_Maintenance_Part[[ID_Antenne]:[Colonne2]],4,FALSE),"")</f>
        <v>23.229807000000001</v>
      </c>
      <c r="J199" t="str">
        <f>IFERROR(VLOOKUP(Logs_Reseau_Part56[[#This Row],[Cell_ID]],Registre_Maintenance_Part[[ID_Antenne]:[Colonne2]],5,FALSE),"")</f>
        <v>5G</v>
      </c>
      <c r="K199" t="str">
        <f>IFERROR(VLOOKUP(Logs_Reseau_Part56[[#This Row],[Cell_ID]],Registre_Maintenance_Part[[ID_Antenne]:[Colonne2]],6,FALSE),"")</f>
        <v>Nokia</v>
      </c>
    </row>
    <row r="200" spans="1:11" x14ac:dyDescent="0.3">
      <c r="A200" s="1">
        <v>45230.484027777777</v>
      </c>
      <c r="B200" s="2">
        <v>45230.484027777777</v>
      </c>
      <c r="C200" t="s">
        <v>977</v>
      </c>
      <c r="D200">
        <v>37</v>
      </c>
      <c r="E200">
        <f>Logs_Reseau_Part56[[#This Row],[Duree_Panne_Min]]/60</f>
        <v>0.6166666666666667</v>
      </c>
      <c r="F200" t="s">
        <v>737</v>
      </c>
      <c r="G200" t="str">
        <f>IFERROR(VLOOKUP(Logs_Reseau_Part56[[#This Row],[Cell_ID]],Registre_Maintenance_Part[[ID_Antenne]:[Colonne2]],2,FALSE),"")</f>
        <v>Kongo-Central</v>
      </c>
      <c r="H200">
        <f>IFERROR(VLOOKUP(Logs_Reseau_Part56[[#This Row],[Cell_ID]],Registre_Maintenance_Part[[ID_Antenne]:[Colonne2]],3,FALSE),"")</f>
        <v>-12.564277000000001</v>
      </c>
      <c r="I200">
        <f>IFERROR(VLOOKUP(Logs_Reseau_Part56[[#This Row],[Cell_ID]],Registre_Maintenance_Part[[ID_Antenne]:[Colonne2]],4,FALSE),"")</f>
        <v>28.480798</v>
      </c>
      <c r="J200" t="str">
        <f>IFERROR(VLOOKUP(Logs_Reseau_Part56[[#This Row],[Cell_ID]],Registre_Maintenance_Part[[ID_Antenne]:[Colonne2]],5,FALSE),"")</f>
        <v>5G</v>
      </c>
      <c r="K200" t="str">
        <f>IFERROR(VLOOKUP(Logs_Reseau_Part56[[#This Row],[Cell_ID]],Registre_Maintenance_Part[[ID_Antenne]:[Colonne2]],6,FALSE),"")</f>
        <v>ZTE</v>
      </c>
    </row>
    <row r="201" spans="1:11" x14ac:dyDescent="0.3">
      <c r="A201" s="1">
        <v>45206.539583333331</v>
      </c>
      <c r="B201" s="2">
        <v>45206.539583333331</v>
      </c>
      <c r="C201" t="s">
        <v>798</v>
      </c>
      <c r="D201">
        <v>43</v>
      </c>
      <c r="E201">
        <f>Logs_Reseau_Part56[[#This Row],[Duree_Panne_Min]]/60</f>
        <v>0.71666666666666667</v>
      </c>
      <c r="F201" t="s">
        <v>734</v>
      </c>
      <c r="G201" t="str">
        <f>IFERROR(VLOOKUP(Logs_Reseau_Part56[[#This Row],[Cell_ID]],Registre_Maintenance_Part[[ID_Antenne]:[Colonne2]],2,FALSE),"")</f>
        <v>Kwango</v>
      </c>
      <c r="H201">
        <f>IFERROR(VLOOKUP(Logs_Reseau_Part56[[#This Row],[Cell_ID]],Registre_Maintenance_Part[[ID_Antenne]:[Colonne2]],3,FALSE),"")</f>
        <v>-10.963041</v>
      </c>
      <c r="I201">
        <f>IFERROR(VLOOKUP(Logs_Reseau_Part56[[#This Row],[Cell_ID]],Registre_Maintenance_Part[[ID_Antenne]:[Colonne2]],4,FALSE),"")</f>
        <v>12.269857</v>
      </c>
      <c r="J201" t="str">
        <f>IFERROR(VLOOKUP(Logs_Reseau_Part56[[#This Row],[Cell_ID]],Registre_Maintenance_Part[[ID_Antenne]:[Colonne2]],5,FALSE),"")</f>
        <v>4G</v>
      </c>
      <c r="K201" t="str">
        <f>IFERROR(VLOOKUP(Logs_Reseau_Part56[[#This Row],[Cell_ID]],Registre_Maintenance_Part[[ID_Antenne]:[Colonne2]],6,FALSE),"")</f>
        <v>Huawei</v>
      </c>
    </row>
    <row r="202" spans="1:11" x14ac:dyDescent="0.3">
      <c r="A202" s="1">
        <v>45207.987500000003</v>
      </c>
      <c r="B202" s="2">
        <v>45207.987500000003</v>
      </c>
      <c r="C202" t="s">
        <v>1074</v>
      </c>
      <c r="D202">
        <v>15</v>
      </c>
      <c r="E202">
        <f>Logs_Reseau_Part56[[#This Row],[Duree_Panne_Min]]/60</f>
        <v>0.25</v>
      </c>
      <c r="F202" t="s">
        <v>737</v>
      </c>
      <c r="G202" t="str">
        <f>IFERROR(VLOOKUP(Logs_Reseau_Part56[[#This Row],[Cell_ID]],Registre_Maintenance_Part[[ID_Antenne]:[Colonne2]],2,FALSE),"")</f>
        <v>Kwango</v>
      </c>
      <c r="H202">
        <f>IFERROR(VLOOKUP(Logs_Reseau_Part56[[#This Row],[Cell_ID]],Registre_Maintenance_Part[[ID_Antenne]:[Colonne2]],3,FALSE),"")</f>
        <v>-9.0798120000000004</v>
      </c>
      <c r="I202">
        <f>IFERROR(VLOOKUP(Logs_Reseau_Part56[[#This Row],[Cell_ID]],Registre_Maintenance_Part[[ID_Antenne]:[Colonne2]],4,FALSE),"")</f>
        <v>14.945484</v>
      </c>
      <c r="J202" t="str">
        <f>IFERROR(VLOOKUP(Logs_Reseau_Part56[[#This Row],[Cell_ID]],Registre_Maintenance_Part[[ID_Antenne]:[Colonne2]],5,FALSE),"")</f>
        <v>5G</v>
      </c>
      <c r="K202" t="str">
        <f>IFERROR(VLOOKUP(Logs_Reseau_Part56[[#This Row],[Cell_ID]],Registre_Maintenance_Part[[ID_Antenne]:[Colonne2]],6,FALSE),"")</f>
        <v>Ericsson</v>
      </c>
    </row>
    <row r="203" spans="1:11" x14ac:dyDescent="0.3">
      <c r="A203" s="1">
        <v>45209.852083333331</v>
      </c>
      <c r="B203" s="2">
        <v>45209.852083333331</v>
      </c>
      <c r="C203" t="s">
        <v>978</v>
      </c>
      <c r="D203">
        <v>91</v>
      </c>
      <c r="E203">
        <f>Logs_Reseau_Part56[[#This Row],[Duree_Panne_Min]]/60</f>
        <v>1.5166666666666666</v>
      </c>
      <c r="F203" t="s">
        <v>739</v>
      </c>
      <c r="G203" t="str">
        <f>IFERROR(VLOOKUP(Logs_Reseau_Part56[[#This Row],[Cell_ID]],Registre_Maintenance_Part[[ID_Antenne]:[Colonne2]],2,FALSE),"")</f>
        <v>Kwango</v>
      </c>
      <c r="H203">
        <f>IFERROR(VLOOKUP(Logs_Reseau_Part56[[#This Row],[Cell_ID]],Registre_Maintenance_Part[[ID_Antenne]:[Colonne2]],3,FALSE),"")</f>
        <v>-12.431227</v>
      </c>
      <c r="I203">
        <f>IFERROR(VLOOKUP(Logs_Reseau_Part56[[#This Row],[Cell_ID]],Registre_Maintenance_Part[[ID_Antenne]:[Colonne2]],4,FALSE),"")</f>
        <v>18.414290999999999</v>
      </c>
      <c r="J203" t="str">
        <f>IFERROR(VLOOKUP(Logs_Reseau_Part56[[#This Row],[Cell_ID]],Registre_Maintenance_Part[[ID_Antenne]:[Colonne2]],5,FALSE),"")</f>
        <v>5G</v>
      </c>
      <c r="K203" t="str">
        <f>IFERROR(VLOOKUP(Logs_Reseau_Part56[[#This Row],[Cell_ID]],Registre_Maintenance_Part[[ID_Antenne]:[Colonne2]],6,FALSE),"")</f>
        <v>Huawei</v>
      </c>
    </row>
    <row r="204" spans="1:11" x14ac:dyDescent="0.3">
      <c r="A204" s="1">
        <v>45210.03125</v>
      </c>
      <c r="B204" s="2">
        <v>45210.03125</v>
      </c>
      <c r="C204" t="s">
        <v>1074</v>
      </c>
      <c r="D204">
        <v>63</v>
      </c>
      <c r="E204">
        <f>Logs_Reseau_Part56[[#This Row],[Duree_Panne_Min]]/60</f>
        <v>1.05</v>
      </c>
      <c r="F204" t="s">
        <v>739</v>
      </c>
      <c r="G204" t="str">
        <f>IFERROR(VLOOKUP(Logs_Reseau_Part56[[#This Row],[Cell_ID]],Registre_Maintenance_Part[[ID_Antenne]:[Colonne2]],2,FALSE),"")</f>
        <v>Kwango</v>
      </c>
      <c r="H204">
        <f>IFERROR(VLOOKUP(Logs_Reseau_Part56[[#This Row],[Cell_ID]],Registre_Maintenance_Part[[ID_Antenne]:[Colonne2]],3,FALSE),"")</f>
        <v>-9.0798120000000004</v>
      </c>
      <c r="I204">
        <f>IFERROR(VLOOKUP(Logs_Reseau_Part56[[#This Row],[Cell_ID]],Registre_Maintenance_Part[[ID_Antenne]:[Colonne2]],4,FALSE),"")</f>
        <v>14.945484</v>
      </c>
      <c r="J204" t="str">
        <f>IFERROR(VLOOKUP(Logs_Reseau_Part56[[#This Row],[Cell_ID]],Registre_Maintenance_Part[[ID_Antenne]:[Colonne2]],5,FALSE),"")</f>
        <v>5G</v>
      </c>
      <c r="K204" t="str">
        <f>IFERROR(VLOOKUP(Logs_Reseau_Part56[[#This Row],[Cell_ID]],Registre_Maintenance_Part[[ID_Antenne]:[Colonne2]],6,FALSE),"")</f>
        <v>Ericsson</v>
      </c>
    </row>
    <row r="205" spans="1:11" x14ac:dyDescent="0.3">
      <c r="A205" s="1">
        <v>45212.311111111107</v>
      </c>
      <c r="B205" s="2">
        <v>45212.311111111107</v>
      </c>
      <c r="C205" t="s">
        <v>746</v>
      </c>
      <c r="D205">
        <v>79</v>
      </c>
      <c r="E205">
        <f>Logs_Reseau_Part56[[#This Row],[Duree_Panne_Min]]/60</f>
        <v>1.3166666666666667</v>
      </c>
      <c r="F205" t="s">
        <v>734</v>
      </c>
      <c r="G205" t="str">
        <f>IFERROR(VLOOKUP(Logs_Reseau_Part56[[#This Row],[Cell_ID]],Registre_Maintenance_Part[[ID_Antenne]:[Colonne2]],2,FALSE),"")</f>
        <v>Kwango</v>
      </c>
      <c r="H205">
        <f>IFERROR(VLOOKUP(Logs_Reseau_Part56[[#This Row],[Cell_ID]],Registre_Maintenance_Part[[ID_Antenne]:[Colonne2]],3,FALSE),"")</f>
        <v>4.8319039999999998</v>
      </c>
      <c r="I205">
        <f>IFERROR(VLOOKUP(Logs_Reseau_Part56[[#This Row],[Cell_ID]],Registre_Maintenance_Part[[ID_Antenne]:[Colonne2]],4,FALSE),"")</f>
        <v>20.733468999999999</v>
      </c>
      <c r="J205" t="str">
        <f>IFERROR(VLOOKUP(Logs_Reseau_Part56[[#This Row],[Cell_ID]],Registre_Maintenance_Part[[ID_Antenne]:[Colonne2]],5,FALSE),"")</f>
        <v>5G</v>
      </c>
      <c r="K205" t="str">
        <f>IFERROR(VLOOKUP(Logs_Reseau_Part56[[#This Row],[Cell_ID]],Registre_Maintenance_Part[[ID_Antenne]:[Colonne2]],6,FALSE),"")</f>
        <v>Ericsson</v>
      </c>
    </row>
    <row r="206" spans="1:11" x14ac:dyDescent="0.3">
      <c r="A206" s="1">
        <v>45212.901388888888</v>
      </c>
      <c r="B206" s="2">
        <v>45212.901388888888</v>
      </c>
      <c r="C206" t="s">
        <v>798</v>
      </c>
      <c r="D206">
        <v>58</v>
      </c>
      <c r="E206">
        <f>Logs_Reseau_Part56[[#This Row],[Duree_Panne_Min]]/60</f>
        <v>0.96666666666666667</v>
      </c>
      <c r="F206" t="s">
        <v>734</v>
      </c>
      <c r="G206" t="str">
        <f>IFERROR(VLOOKUP(Logs_Reseau_Part56[[#This Row],[Cell_ID]],Registre_Maintenance_Part[[ID_Antenne]:[Colonne2]],2,FALSE),"")</f>
        <v>Kwango</v>
      </c>
      <c r="H206">
        <f>IFERROR(VLOOKUP(Logs_Reseau_Part56[[#This Row],[Cell_ID]],Registre_Maintenance_Part[[ID_Antenne]:[Colonne2]],3,FALSE),"")</f>
        <v>-10.963041</v>
      </c>
      <c r="I206">
        <f>IFERROR(VLOOKUP(Logs_Reseau_Part56[[#This Row],[Cell_ID]],Registre_Maintenance_Part[[ID_Antenne]:[Colonne2]],4,FALSE),"")</f>
        <v>12.269857</v>
      </c>
      <c r="J206" t="str">
        <f>IFERROR(VLOOKUP(Logs_Reseau_Part56[[#This Row],[Cell_ID]],Registre_Maintenance_Part[[ID_Antenne]:[Colonne2]],5,FALSE),"")</f>
        <v>4G</v>
      </c>
      <c r="K206" t="str">
        <f>IFERROR(VLOOKUP(Logs_Reseau_Part56[[#This Row],[Cell_ID]],Registre_Maintenance_Part[[ID_Antenne]:[Colonne2]],6,FALSE),"")</f>
        <v>Huawei</v>
      </c>
    </row>
    <row r="207" spans="1:11" x14ac:dyDescent="0.3">
      <c r="A207" s="1">
        <v>45213.311111111107</v>
      </c>
      <c r="B207" s="2">
        <v>45213.311111111107</v>
      </c>
      <c r="C207" t="s">
        <v>746</v>
      </c>
      <c r="D207">
        <v>22</v>
      </c>
      <c r="E207">
        <f>Logs_Reseau_Part56[[#This Row],[Duree_Panne_Min]]/60</f>
        <v>0.36666666666666664</v>
      </c>
      <c r="F207" t="s">
        <v>737</v>
      </c>
      <c r="G207" t="str">
        <f>IFERROR(VLOOKUP(Logs_Reseau_Part56[[#This Row],[Cell_ID]],Registre_Maintenance_Part[[ID_Antenne]:[Colonne2]],2,FALSE),"")</f>
        <v>Kwango</v>
      </c>
      <c r="H207">
        <f>IFERROR(VLOOKUP(Logs_Reseau_Part56[[#This Row],[Cell_ID]],Registre_Maintenance_Part[[ID_Antenne]:[Colonne2]],3,FALSE),"")</f>
        <v>4.8319039999999998</v>
      </c>
      <c r="I207">
        <f>IFERROR(VLOOKUP(Logs_Reseau_Part56[[#This Row],[Cell_ID]],Registre_Maintenance_Part[[ID_Antenne]:[Colonne2]],4,FALSE),"")</f>
        <v>20.733468999999999</v>
      </c>
      <c r="J207" t="str">
        <f>IFERROR(VLOOKUP(Logs_Reseau_Part56[[#This Row],[Cell_ID]],Registre_Maintenance_Part[[ID_Antenne]:[Colonne2]],5,FALSE),"")</f>
        <v>5G</v>
      </c>
      <c r="K207" t="str">
        <f>IFERROR(VLOOKUP(Logs_Reseau_Part56[[#This Row],[Cell_ID]],Registre_Maintenance_Part[[ID_Antenne]:[Colonne2]],6,FALSE),"")</f>
        <v>Ericsson</v>
      </c>
    </row>
    <row r="208" spans="1:11" x14ac:dyDescent="0.3">
      <c r="A208" s="1">
        <v>45218.038194444453</v>
      </c>
      <c r="B208" s="2">
        <v>45218.038194444453</v>
      </c>
      <c r="C208" t="s">
        <v>811</v>
      </c>
      <c r="D208">
        <v>6</v>
      </c>
      <c r="E208">
        <f>Logs_Reseau_Part56[[#This Row],[Duree_Panne_Min]]/60</f>
        <v>0.1</v>
      </c>
      <c r="F208" t="s">
        <v>734</v>
      </c>
      <c r="G208" t="str">
        <f>IFERROR(VLOOKUP(Logs_Reseau_Part56[[#This Row],[Cell_ID]],Registre_Maintenance_Part[[ID_Antenne]:[Colonne2]],2,FALSE),"")</f>
        <v>Kwango</v>
      </c>
      <c r="H208">
        <f>IFERROR(VLOOKUP(Logs_Reseau_Part56[[#This Row],[Cell_ID]],Registre_Maintenance_Part[[ID_Antenne]:[Colonne2]],3,FALSE),"")</f>
        <v>-9.7712979999999998</v>
      </c>
      <c r="I208">
        <f>IFERROR(VLOOKUP(Logs_Reseau_Part56[[#This Row],[Cell_ID]],Registre_Maintenance_Part[[ID_Antenne]:[Colonne2]],4,FALSE),"")</f>
        <v>19.827895999999999</v>
      </c>
      <c r="J208" t="str">
        <f>IFERROR(VLOOKUP(Logs_Reseau_Part56[[#This Row],[Cell_ID]],Registre_Maintenance_Part[[ID_Antenne]:[Colonne2]],5,FALSE),"")</f>
        <v>3G</v>
      </c>
      <c r="K208" t="str">
        <f>IFERROR(VLOOKUP(Logs_Reseau_Part56[[#This Row],[Cell_ID]],Registre_Maintenance_Part[[ID_Antenne]:[Colonne2]],6,FALSE),"")</f>
        <v>ZTE</v>
      </c>
    </row>
    <row r="209" spans="1:11" x14ac:dyDescent="0.3">
      <c r="A209" s="1">
        <v>45218.286111111112</v>
      </c>
      <c r="B209" s="2">
        <v>45218.286111111112</v>
      </c>
      <c r="C209" t="s">
        <v>996</v>
      </c>
      <c r="D209">
        <v>89</v>
      </c>
      <c r="E209">
        <f>Logs_Reseau_Part56[[#This Row],[Duree_Panne_Min]]/60</f>
        <v>1.4833333333333334</v>
      </c>
      <c r="F209" t="s">
        <v>734</v>
      </c>
      <c r="G209" t="str">
        <f>IFERROR(VLOOKUP(Logs_Reseau_Part56[[#This Row],[Cell_ID]],Registre_Maintenance_Part[[ID_Antenne]:[Colonne2]],2,FALSE),"")</f>
        <v>Kwango</v>
      </c>
      <c r="H209">
        <f>IFERROR(VLOOKUP(Logs_Reseau_Part56[[#This Row],[Cell_ID]],Registre_Maintenance_Part[[ID_Antenne]:[Colonne2]],3,FALSE),"")</f>
        <v>-7.5129409999999996</v>
      </c>
      <c r="I209">
        <f>IFERROR(VLOOKUP(Logs_Reseau_Part56[[#This Row],[Cell_ID]],Registre_Maintenance_Part[[ID_Antenne]:[Colonne2]],4,FALSE),"")</f>
        <v>18.701522000000001</v>
      </c>
      <c r="J209" t="str">
        <f>IFERROR(VLOOKUP(Logs_Reseau_Part56[[#This Row],[Cell_ID]],Registre_Maintenance_Part[[ID_Antenne]:[Colonne2]],5,FALSE),"")</f>
        <v>4G</v>
      </c>
      <c r="K209" t="str">
        <f>IFERROR(VLOOKUP(Logs_Reseau_Part56[[#This Row],[Cell_ID]],Registre_Maintenance_Part[[ID_Antenne]:[Colonne2]],6,FALSE),"")</f>
        <v>Nokia</v>
      </c>
    </row>
    <row r="210" spans="1:11" x14ac:dyDescent="0.3">
      <c r="A210" s="1">
        <v>45219.113194444442</v>
      </c>
      <c r="B210" s="2">
        <v>45219.113194444442</v>
      </c>
      <c r="C210" t="s">
        <v>811</v>
      </c>
      <c r="D210">
        <v>19</v>
      </c>
      <c r="E210">
        <f>Logs_Reseau_Part56[[#This Row],[Duree_Panne_Min]]/60</f>
        <v>0.31666666666666665</v>
      </c>
      <c r="F210" t="s">
        <v>734</v>
      </c>
      <c r="G210" t="str">
        <f>IFERROR(VLOOKUP(Logs_Reseau_Part56[[#This Row],[Cell_ID]],Registre_Maintenance_Part[[ID_Antenne]:[Colonne2]],2,FALSE),"")</f>
        <v>Kwango</v>
      </c>
      <c r="H210">
        <f>IFERROR(VLOOKUP(Logs_Reseau_Part56[[#This Row],[Cell_ID]],Registre_Maintenance_Part[[ID_Antenne]:[Colonne2]],3,FALSE),"")</f>
        <v>-9.7712979999999998</v>
      </c>
      <c r="I210">
        <f>IFERROR(VLOOKUP(Logs_Reseau_Part56[[#This Row],[Cell_ID]],Registre_Maintenance_Part[[ID_Antenne]:[Colonne2]],4,FALSE),"")</f>
        <v>19.827895999999999</v>
      </c>
      <c r="J210" t="str">
        <f>IFERROR(VLOOKUP(Logs_Reseau_Part56[[#This Row],[Cell_ID]],Registre_Maintenance_Part[[ID_Antenne]:[Colonne2]],5,FALSE),"")</f>
        <v>3G</v>
      </c>
      <c r="K210" t="str">
        <f>IFERROR(VLOOKUP(Logs_Reseau_Part56[[#This Row],[Cell_ID]],Registre_Maintenance_Part[[ID_Antenne]:[Colonne2]],6,FALSE),"")</f>
        <v>ZTE</v>
      </c>
    </row>
    <row r="211" spans="1:11" x14ac:dyDescent="0.3">
      <c r="A211" s="1">
        <v>45221.197916666657</v>
      </c>
      <c r="B211" s="2">
        <v>45221.197916666657</v>
      </c>
      <c r="C211" t="s">
        <v>996</v>
      </c>
      <c r="D211">
        <v>61</v>
      </c>
      <c r="E211">
        <f>Logs_Reseau_Part56[[#This Row],[Duree_Panne_Min]]/60</f>
        <v>1.0166666666666666</v>
      </c>
      <c r="F211" t="s">
        <v>739</v>
      </c>
      <c r="G211" t="str">
        <f>IFERROR(VLOOKUP(Logs_Reseau_Part56[[#This Row],[Cell_ID]],Registre_Maintenance_Part[[ID_Antenne]:[Colonne2]],2,FALSE),"")</f>
        <v>Kwango</v>
      </c>
      <c r="H211">
        <f>IFERROR(VLOOKUP(Logs_Reseau_Part56[[#This Row],[Cell_ID]],Registre_Maintenance_Part[[ID_Antenne]:[Colonne2]],3,FALSE),"")</f>
        <v>-7.5129409999999996</v>
      </c>
      <c r="I211">
        <f>IFERROR(VLOOKUP(Logs_Reseau_Part56[[#This Row],[Cell_ID]],Registre_Maintenance_Part[[ID_Antenne]:[Colonne2]],4,FALSE),"")</f>
        <v>18.701522000000001</v>
      </c>
      <c r="J211" t="str">
        <f>IFERROR(VLOOKUP(Logs_Reseau_Part56[[#This Row],[Cell_ID]],Registre_Maintenance_Part[[ID_Antenne]:[Colonne2]],5,FALSE),"")</f>
        <v>4G</v>
      </c>
      <c r="K211" t="str">
        <f>IFERROR(VLOOKUP(Logs_Reseau_Part56[[#This Row],[Cell_ID]],Registre_Maintenance_Part[[ID_Antenne]:[Colonne2]],6,FALSE),"")</f>
        <v>Nokia</v>
      </c>
    </row>
    <row r="212" spans="1:11" x14ac:dyDescent="0.3">
      <c r="A212" s="1">
        <v>45221.559027777781</v>
      </c>
      <c r="B212" s="2">
        <v>45221.559027777781</v>
      </c>
      <c r="C212" t="s">
        <v>1234</v>
      </c>
      <c r="D212">
        <v>22</v>
      </c>
      <c r="E212">
        <f>Logs_Reseau_Part56[[#This Row],[Duree_Panne_Min]]/60</f>
        <v>0.36666666666666664</v>
      </c>
      <c r="F212" t="s">
        <v>734</v>
      </c>
      <c r="G212" t="str">
        <f>IFERROR(VLOOKUP(Logs_Reseau_Part56[[#This Row],[Cell_ID]],Registre_Maintenance_Part[[ID_Antenne]:[Colonne2]],2,FALSE),"")</f>
        <v>Kwango</v>
      </c>
      <c r="H212">
        <f>IFERROR(VLOOKUP(Logs_Reseau_Part56[[#This Row],[Cell_ID]],Registre_Maintenance_Part[[ID_Antenne]:[Colonne2]],3,FALSE),"")</f>
        <v>0.65288900000000005</v>
      </c>
      <c r="I212">
        <f>IFERROR(VLOOKUP(Logs_Reseau_Part56[[#This Row],[Cell_ID]],Registre_Maintenance_Part[[ID_Antenne]:[Colonne2]],4,FALSE),"")</f>
        <v>24.243953999999999</v>
      </c>
      <c r="J212" t="str">
        <f>IFERROR(VLOOKUP(Logs_Reseau_Part56[[#This Row],[Cell_ID]],Registre_Maintenance_Part[[ID_Antenne]:[Colonne2]],5,FALSE),"")</f>
        <v>5G</v>
      </c>
      <c r="K212" t="str">
        <f>IFERROR(VLOOKUP(Logs_Reseau_Part56[[#This Row],[Cell_ID]],Registre_Maintenance_Part[[ID_Antenne]:[Colonne2]],6,FALSE),"")</f>
        <v>Ericsson</v>
      </c>
    </row>
    <row r="213" spans="1:11" x14ac:dyDescent="0.3">
      <c r="A213" s="1">
        <v>45224.010416666657</v>
      </c>
      <c r="B213" s="2">
        <v>45224.010416666657</v>
      </c>
      <c r="C213" t="s">
        <v>811</v>
      </c>
      <c r="D213">
        <v>114</v>
      </c>
      <c r="E213">
        <f>Logs_Reseau_Part56[[#This Row],[Duree_Panne_Min]]/60</f>
        <v>1.9</v>
      </c>
      <c r="F213" t="s">
        <v>739</v>
      </c>
      <c r="G213" t="str">
        <f>IFERROR(VLOOKUP(Logs_Reseau_Part56[[#This Row],[Cell_ID]],Registre_Maintenance_Part[[ID_Antenne]:[Colonne2]],2,FALSE),"")</f>
        <v>Kwango</v>
      </c>
      <c r="H213">
        <f>IFERROR(VLOOKUP(Logs_Reseau_Part56[[#This Row],[Cell_ID]],Registre_Maintenance_Part[[ID_Antenne]:[Colonne2]],3,FALSE),"")</f>
        <v>-9.7712979999999998</v>
      </c>
      <c r="I213">
        <f>IFERROR(VLOOKUP(Logs_Reseau_Part56[[#This Row],[Cell_ID]],Registre_Maintenance_Part[[ID_Antenne]:[Colonne2]],4,FALSE),"")</f>
        <v>19.827895999999999</v>
      </c>
      <c r="J213" t="str">
        <f>IFERROR(VLOOKUP(Logs_Reseau_Part56[[#This Row],[Cell_ID]],Registre_Maintenance_Part[[ID_Antenne]:[Colonne2]],5,FALSE),"")</f>
        <v>3G</v>
      </c>
      <c r="K213" t="str">
        <f>IFERROR(VLOOKUP(Logs_Reseau_Part56[[#This Row],[Cell_ID]],Registre_Maintenance_Part[[ID_Antenne]:[Colonne2]],6,FALSE),"")</f>
        <v>ZTE</v>
      </c>
    </row>
    <row r="214" spans="1:11" x14ac:dyDescent="0.3">
      <c r="A214" s="1">
        <v>45225.406944444447</v>
      </c>
      <c r="B214" s="2">
        <v>45225.406944444447</v>
      </c>
      <c r="C214" t="s">
        <v>1165</v>
      </c>
      <c r="D214">
        <v>74</v>
      </c>
      <c r="E214">
        <f>Logs_Reseau_Part56[[#This Row],[Duree_Panne_Min]]/60</f>
        <v>1.2333333333333334</v>
      </c>
      <c r="F214" t="s">
        <v>734</v>
      </c>
      <c r="G214" t="str">
        <f>IFERROR(VLOOKUP(Logs_Reseau_Part56[[#This Row],[Cell_ID]],Registre_Maintenance_Part[[ID_Antenne]:[Colonne2]],2,FALSE),"")</f>
        <v>Kwango</v>
      </c>
      <c r="H214">
        <f>IFERROR(VLOOKUP(Logs_Reseau_Part56[[#This Row],[Cell_ID]],Registre_Maintenance_Part[[ID_Antenne]:[Colonne2]],3,FALSE),"")</f>
        <v>-4.6957509999999996</v>
      </c>
      <c r="I214">
        <f>IFERROR(VLOOKUP(Logs_Reseau_Part56[[#This Row],[Cell_ID]],Registre_Maintenance_Part[[ID_Antenne]:[Colonne2]],4,FALSE),"")</f>
        <v>14.233525999999999</v>
      </c>
      <c r="J214" t="str">
        <f>IFERROR(VLOOKUP(Logs_Reseau_Part56[[#This Row],[Cell_ID]],Registre_Maintenance_Part[[ID_Antenne]:[Colonne2]],5,FALSE),"")</f>
        <v>4G</v>
      </c>
      <c r="K214" t="str">
        <f>IFERROR(VLOOKUP(Logs_Reseau_Part56[[#This Row],[Cell_ID]],Registre_Maintenance_Part[[ID_Antenne]:[Colonne2]],6,FALSE),"")</f>
        <v>Nokia</v>
      </c>
    </row>
    <row r="215" spans="1:11" x14ac:dyDescent="0.3">
      <c r="A215" s="1">
        <v>45225.948611111111</v>
      </c>
      <c r="B215" s="2">
        <v>45225.948611111111</v>
      </c>
      <c r="C215" t="s">
        <v>1197</v>
      </c>
      <c r="D215">
        <v>30</v>
      </c>
      <c r="E215">
        <f>Logs_Reseau_Part56[[#This Row],[Duree_Panne_Min]]/60</f>
        <v>0.5</v>
      </c>
      <c r="F215" t="s">
        <v>734</v>
      </c>
      <c r="G215" t="str">
        <f>IFERROR(VLOOKUP(Logs_Reseau_Part56[[#This Row],[Cell_ID]],Registre_Maintenance_Part[[ID_Antenne]:[Colonne2]],2,FALSE),"")</f>
        <v>Kwango</v>
      </c>
      <c r="H215">
        <f>IFERROR(VLOOKUP(Logs_Reseau_Part56[[#This Row],[Cell_ID]],Registre_Maintenance_Part[[ID_Antenne]:[Colonne2]],3,FALSE),"")</f>
        <v>-10.653247</v>
      </c>
      <c r="I215">
        <f>IFERROR(VLOOKUP(Logs_Reseau_Part56[[#This Row],[Cell_ID]],Registre_Maintenance_Part[[ID_Antenne]:[Colonne2]],4,FALSE),"")</f>
        <v>14.685601</v>
      </c>
      <c r="J215" t="str">
        <f>IFERROR(VLOOKUP(Logs_Reseau_Part56[[#This Row],[Cell_ID]],Registre_Maintenance_Part[[ID_Antenne]:[Colonne2]],5,FALSE),"")</f>
        <v>4G</v>
      </c>
      <c r="K215" t="str">
        <f>IFERROR(VLOOKUP(Logs_Reseau_Part56[[#This Row],[Cell_ID]],Registre_Maintenance_Part[[ID_Antenne]:[Colonne2]],6,FALSE),"")</f>
        <v>Ericsson</v>
      </c>
    </row>
    <row r="216" spans="1:11" x14ac:dyDescent="0.3">
      <c r="A216" s="1">
        <v>45228.621527777781</v>
      </c>
      <c r="B216" s="2">
        <v>45228.621527777781</v>
      </c>
      <c r="C216" t="s">
        <v>798</v>
      </c>
      <c r="D216">
        <v>98</v>
      </c>
      <c r="E216">
        <f>Logs_Reseau_Part56[[#This Row],[Duree_Panne_Min]]/60</f>
        <v>1.6333333333333333</v>
      </c>
      <c r="F216" t="s">
        <v>739</v>
      </c>
      <c r="G216" t="str">
        <f>IFERROR(VLOOKUP(Logs_Reseau_Part56[[#This Row],[Cell_ID]],Registre_Maintenance_Part[[ID_Antenne]:[Colonne2]],2,FALSE),"")</f>
        <v>Kwango</v>
      </c>
      <c r="H216">
        <f>IFERROR(VLOOKUP(Logs_Reseau_Part56[[#This Row],[Cell_ID]],Registre_Maintenance_Part[[ID_Antenne]:[Colonne2]],3,FALSE),"")</f>
        <v>-10.963041</v>
      </c>
      <c r="I216">
        <f>IFERROR(VLOOKUP(Logs_Reseau_Part56[[#This Row],[Cell_ID]],Registre_Maintenance_Part[[ID_Antenne]:[Colonne2]],4,FALSE),"")</f>
        <v>12.269857</v>
      </c>
      <c r="J216" t="str">
        <f>IFERROR(VLOOKUP(Logs_Reseau_Part56[[#This Row],[Cell_ID]],Registre_Maintenance_Part[[ID_Antenne]:[Colonne2]],5,FALSE),"")</f>
        <v>4G</v>
      </c>
      <c r="K216" t="str">
        <f>IFERROR(VLOOKUP(Logs_Reseau_Part56[[#This Row],[Cell_ID]],Registre_Maintenance_Part[[ID_Antenne]:[Colonne2]],6,FALSE),"")</f>
        <v>Huawei</v>
      </c>
    </row>
    <row r="217" spans="1:11" x14ac:dyDescent="0.3">
      <c r="A217" s="1">
        <v>45200.511111111111</v>
      </c>
      <c r="B217" s="2">
        <v>45200.511111111111</v>
      </c>
      <c r="C217" t="s">
        <v>1166</v>
      </c>
      <c r="D217">
        <v>22</v>
      </c>
      <c r="E217">
        <f>Logs_Reseau_Part56[[#This Row],[Duree_Panne_Min]]/60</f>
        <v>0.36666666666666664</v>
      </c>
      <c r="F217" t="s">
        <v>739</v>
      </c>
      <c r="G217" t="str">
        <f>IFERROR(VLOOKUP(Logs_Reseau_Part56[[#This Row],[Cell_ID]],Registre_Maintenance_Part[[ID_Antenne]:[Colonne2]],2,FALSE),"")</f>
        <v>Kwilu</v>
      </c>
      <c r="H217">
        <f>IFERROR(VLOOKUP(Logs_Reseau_Part56[[#This Row],[Cell_ID]],Registre_Maintenance_Part[[ID_Antenne]:[Colonne2]],3,FALSE),"")</f>
        <v>-10.939712999999999</v>
      </c>
      <c r="I217">
        <f>IFERROR(VLOOKUP(Logs_Reseau_Part56[[#This Row],[Cell_ID]],Registre_Maintenance_Part[[ID_Antenne]:[Colonne2]],4,FALSE),"")</f>
        <v>18.276230999999999</v>
      </c>
      <c r="J217" t="str">
        <f>IFERROR(VLOOKUP(Logs_Reseau_Part56[[#This Row],[Cell_ID]],Registre_Maintenance_Part[[ID_Antenne]:[Colonne2]],5,FALSE),"")</f>
        <v>4G</v>
      </c>
      <c r="K217" t="str">
        <f>IFERROR(VLOOKUP(Logs_Reseau_Part56[[#This Row],[Cell_ID]],Registre_Maintenance_Part[[ID_Antenne]:[Colonne2]],6,FALSE),"")</f>
        <v>ZTE</v>
      </c>
    </row>
    <row r="218" spans="1:11" x14ac:dyDescent="0.3">
      <c r="A218" s="1">
        <v>45202.376388888893</v>
      </c>
      <c r="B218" s="2">
        <v>45202.376388888893</v>
      </c>
      <c r="C218" t="s">
        <v>1228</v>
      </c>
      <c r="D218">
        <v>28</v>
      </c>
      <c r="E218">
        <f>Logs_Reseau_Part56[[#This Row],[Duree_Panne_Min]]/60</f>
        <v>0.46666666666666667</v>
      </c>
      <c r="F218" t="s">
        <v>734</v>
      </c>
      <c r="G218" t="str">
        <f>IFERROR(VLOOKUP(Logs_Reseau_Part56[[#This Row],[Cell_ID]],Registre_Maintenance_Part[[ID_Antenne]:[Colonne2]],2,FALSE),"")</f>
        <v>Kwilu</v>
      </c>
      <c r="H218">
        <f>IFERROR(VLOOKUP(Logs_Reseau_Part56[[#This Row],[Cell_ID]],Registre_Maintenance_Part[[ID_Antenne]:[Colonne2]],3,FALSE),"")</f>
        <v>-7.402336</v>
      </c>
      <c r="I218">
        <f>IFERROR(VLOOKUP(Logs_Reseau_Part56[[#This Row],[Cell_ID]],Registre_Maintenance_Part[[ID_Antenne]:[Colonne2]],4,FALSE),"")</f>
        <v>27.376697</v>
      </c>
      <c r="J218" t="str">
        <f>IFERROR(VLOOKUP(Logs_Reseau_Part56[[#This Row],[Cell_ID]],Registre_Maintenance_Part[[ID_Antenne]:[Colonne2]],5,FALSE),"")</f>
        <v>4G</v>
      </c>
      <c r="K218" t="str">
        <f>IFERROR(VLOOKUP(Logs_Reseau_Part56[[#This Row],[Cell_ID]],Registre_Maintenance_Part[[ID_Antenne]:[Colonne2]],6,FALSE),"")</f>
        <v>Huawei</v>
      </c>
    </row>
    <row r="219" spans="1:11" x14ac:dyDescent="0.3">
      <c r="A219" s="1">
        <v>45203.522222222222</v>
      </c>
      <c r="B219" s="2">
        <v>45203.522222222222</v>
      </c>
      <c r="C219" t="s">
        <v>1228</v>
      </c>
      <c r="D219">
        <v>11</v>
      </c>
      <c r="E219">
        <f>Logs_Reseau_Part56[[#This Row],[Duree_Panne_Min]]/60</f>
        <v>0.18333333333333332</v>
      </c>
      <c r="F219" t="s">
        <v>737</v>
      </c>
      <c r="G219" t="str">
        <f>IFERROR(VLOOKUP(Logs_Reseau_Part56[[#This Row],[Cell_ID]],Registre_Maintenance_Part[[ID_Antenne]:[Colonne2]],2,FALSE),"")</f>
        <v>Kwilu</v>
      </c>
      <c r="H219">
        <f>IFERROR(VLOOKUP(Logs_Reseau_Part56[[#This Row],[Cell_ID]],Registre_Maintenance_Part[[ID_Antenne]:[Colonne2]],3,FALSE),"")</f>
        <v>-7.402336</v>
      </c>
      <c r="I219">
        <f>IFERROR(VLOOKUP(Logs_Reseau_Part56[[#This Row],[Cell_ID]],Registre_Maintenance_Part[[ID_Antenne]:[Colonne2]],4,FALSE),"")</f>
        <v>27.376697</v>
      </c>
      <c r="J219" t="str">
        <f>IFERROR(VLOOKUP(Logs_Reseau_Part56[[#This Row],[Cell_ID]],Registre_Maintenance_Part[[ID_Antenne]:[Colonne2]],5,FALSE),"")</f>
        <v>4G</v>
      </c>
      <c r="K219" t="str">
        <f>IFERROR(VLOOKUP(Logs_Reseau_Part56[[#This Row],[Cell_ID]],Registre_Maintenance_Part[[ID_Antenne]:[Colonne2]],6,FALSE),"")</f>
        <v>Huawei</v>
      </c>
    </row>
    <row r="220" spans="1:11" x14ac:dyDescent="0.3">
      <c r="A220" s="1">
        <v>45204.59097222222</v>
      </c>
      <c r="B220" s="2">
        <v>45204.59097222222</v>
      </c>
      <c r="C220" t="s">
        <v>871</v>
      </c>
      <c r="D220">
        <v>108</v>
      </c>
      <c r="E220">
        <f>Logs_Reseau_Part56[[#This Row],[Duree_Panne_Min]]/60</f>
        <v>1.8</v>
      </c>
      <c r="F220" t="s">
        <v>737</v>
      </c>
      <c r="G220" t="str">
        <f>IFERROR(VLOOKUP(Logs_Reseau_Part56[[#This Row],[Cell_ID]],Registre_Maintenance_Part[[ID_Antenne]:[Colonne2]],2,FALSE),"")</f>
        <v>Kwilu</v>
      </c>
      <c r="H220">
        <f>IFERROR(VLOOKUP(Logs_Reseau_Part56[[#This Row],[Cell_ID]],Registre_Maintenance_Part[[ID_Antenne]:[Colonne2]],3,FALSE),"")</f>
        <v>-8.5675749999999997</v>
      </c>
      <c r="I220">
        <f>IFERROR(VLOOKUP(Logs_Reseau_Part56[[#This Row],[Cell_ID]],Registre_Maintenance_Part[[ID_Antenne]:[Colonne2]],4,FALSE),"")</f>
        <v>26.994581</v>
      </c>
      <c r="J220" t="str">
        <f>IFERROR(VLOOKUP(Logs_Reseau_Part56[[#This Row],[Cell_ID]],Registre_Maintenance_Part[[ID_Antenne]:[Colonne2]],5,FALSE),"")</f>
        <v>3G</v>
      </c>
      <c r="K220" t="str">
        <f>IFERROR(VLOOKUP(Logs_Reseau_Part56[[#This Row],[Cell_ID]],Registre_Maintenance_Part[[ID_Antenne]:[Colonne2]],6,FALSE),"")</f>
        <v>Nokia</v>
      </c>
    </row>
    <row r="221" spans="1:11" x14ac:dyDescent="0.3">
      <c r="A221" s="1">
        <v>45207.127083333333</v>
      </c>
      <c r="B221" s="2">
        <v>45207.127083333333</v>
      </c>
      <c r="C221" t="s">
        <v>871</v>
      </c>
      <c r="D221">
        <v>38</v>
      </c>
      <c r="E221">
        <f>Logs_Reseau_Part56[[#This Row],[Duree_Panne_Min]]/60</f>
        <v>0.6333333333333333</v>
      </c>
      <c r="F221" t="s">
        <v>734</v>
      </c>
      <c r="G221" t="str">
        <f>IFERROR(VLOOKUP(Logs_Reseau_Part56[[#This Row],[Cell_ID]],Registre_Maintenance_Part[[ID_Antenne]:[Colonne2]],2,FALSE),"")</f>
        <v>Kwilu</v>
      </c>
      <c r="H221">
        <f>IFERROR(VLOOKUP(Logs_Reseau_Part56[[#This Row],[Cell_ID]],Registre_Maintenance_Part[[ID_Antenne]:[Colonne2]],3,FALSE),"")</f>
        <v>-8.5675749999999997</v>
      </c>
      <c r="I221">
        <f>IFERROR(VLOOKUP(Logs_Reseau_Part56[[#This Row],[Cell_ID]],Registre_Maintenance_Part[[ID_Antenne]:[Colonne2]],4,FALSE),"")</f>
        <v>26.994581</v>
      </c>
      <c r="J221" t="str">
        <f>IFERROR(VLOOKUP(Logs_Reseau_Part56[[#This Row],[Cell_ID]],Registre_Maintenance_Part[[ID_Antenne]:[Colonne2]],5,FALSE),"")</f>
        <v>3G</v>
      </c>
      <c r="K221" t="str">
        <f>IFERROR(VLOOKUP(Logs_Reseau_Part56[[#This Row],[Cell_ID]],Registre_Maintenance_Part[[ID_Antenne]:[Colonne2]],6,FALSE),"")</f>
        <v>Nokia</v>
      </c>
    </row>
    <row r="222" spans="1:11" x14ac:dyDescent="0.3">
      <c r="A222" s="1">
        <v>45208.863888888889</v>
      </c>
      <c r="B222" s="2">
        <v>45208.863888888889</v>
      </c>
      <c r="C222" t="s">
        <v>771</v>
      </c>
      <c r="D222">
        <v>92</v>
      </c>
      <c r="E222">
        <f>Logs_Reseau_Part56[[#This Row],[Duree_Panne_Min]]/60</f>
        <v>1.5333333333333334</v>
      </c>
      <c r="F222" t="s">
        <v>734</v>
      </c>
      <c r="G222" t="str">
        <f>IFERROR(VLOOKUP(Logs_Reseau_Part56[[#This Row],[Cell_ID]],Registre_Maintenance_Part[[ID_Antenne]:[Colonne2]],2,FALSE),"")</f>
        <v>Kwilu</v>
      </c>
      <c r="H222">
        <f>IFERROR(VLOOKUP(Logs_Reseau_Part56[[#This Row],[Cell_ID]],Registre_Maintenance_Part[[ID_Antenne]:[Colonne2]],3,FALSE),"")</f>
        <v>-0.77432100000000004</v>
      </c>
      <c r="I222">
        <f>IFERROR(VLOOKUP(Logs_Reseau_Part56[[#This Row],[Cell_ID]],Registre_Maintenance_Part[[ID_Antenne]:[Colonne2]],4,FALSE),"")</f>
        <v>18.628658999999999</v>
      </c>
      <c r="J222" t="str">
        <f>IFERROR(VLOOKUP(Logs_Reseau_Part56[[#This Row],[Cell_ID]],Registre_Maintenance_Part[[ID_Antenne]:[Colonne2]],5,FALSE),"")</f>
        <v>4G</v>
      </c>
      <c r="K222" t="str">
        <f>IFERROR(VLOOKUP(Logs_Reseau_Part56[[#This Row],[Cell_ID]],Registre_Maintenance_Part[[ID_Antenne]:[Colonne2]],6,FALSE),"")</f>
        <v>Huawei</v>
      </c>
    </row>
    <row r="223" spans="1:11" x14ac:dyDescent="0.3">
      <c r="A223" s="1">
        <v>45209.524305555547</v>
      </c>
      <c r="B223" s="2">
        <v>45209.524305555547</v>
      </c>
      <c r="C223" t="s">
        <v>849</v>
      </c>
      <c r="D223">
        <v>27</v>
      </c>
      <c r="E223">
        <f>Logs_Reseau_Part56[[#This Row],[Duree_Panne_Min]]/60</f>
        <v>0.45</v>
      </c>
      <c r="F223" t="s">
        <v>739</v>
      </c>
      <c r="G223" t="str">
        <f>IFERROR(VLOOKUP(Logs_Reseau_Part56[[#This Row],[Cell_ID]],Registre_Maintenance_Part[[ID_Antenne]:[Colonne2]],2,FALSE),"")</f>
        <v>Kwilu</v>
      </c>
      <c r="H223">
        <f>IFERROR(VLOOKUP(Logs_Reseau_Part56[[#This Row],[Cell_ID]],Registre_Maintenance_Part[[ID_Antenne]:[Colonne2]],3,FALSE),"")</f>
        <v>2.4741019999999998</v>
      </c>
      <c r="I223">
        <f>IFERROR(VLOOKUP(Logs_Reseau_Part56[[#This Row],[Cell_ID]],Registre_Maintenance_Part[[ID_Antenne]:[Colonne2]],4,FALSE),"")</f>
        <v>29.297391000000001</v>
      </c>
      <c r="J223" t="str">
        <f>IFERROR(VLOOKUP(Logs_Reseau_Part56[[#This Row],[Cell_ID]],Registre_Maintenance_Part[[ID_Antenne]:[Colonne2]],5,FALSE),"")</f>
        <v>4G</v>
      </c>
      <c r="K223" t="str">
        <f>IFERROR(VLOOKUP(Logs_Reseau_Part56[[#This Row],[Cell_ID]],Registre_Maintenance_Part[[ID_Antenne]:[Colonne2]],6,FALSE),"")</f>
        <v>Ericsson</v>
      </c>
    </row>
    <row r="224" spans="1:11" x14ac:dyDescent="0.3">
      <c r="A224" s="1">
        <v>45212.447222222218</v>
      </c>
      <c r="B224" s="2">
        <v>45212.447222222218</v>
      </c>
      <c r="C224" t="s">
        <v>1228</v>
      </c>
      <c r="D224">
        <v>88</v>
      </c>
      <c r="E224">
        <f>Logs_Reseau_Part56[[#This Row],[Duree_Panne_Min]]/60</f>
        <v>1.4666666666666666</v>
      </c>
      <c r="F224" t="s">
        <v>737</v>
      </c>
      <c r="G224" t="str">
        <f>IFERROR(VLOOKUP(Logs_Reseau_Part56[[#This Row],[Cell_ID]],Registre_Maintenance_Part[[ID_Antenne]:[Colonne2]],2,FALSE),"")</f>
        <v>Kwilu</v>
      </c>
      <c r="H224">
        <f>IFERROR(VLOOKUP(Logs_Reseau_Part56[[#This Row],[Cell_ID]],Registre_Maintenance_Part[[ID_Antenne]:[Colonne2]],3,FALSE),"")</f>
        <v>-7.402336</v>
      </c>
      <c r="I224">
        <f>IFERROR(VLOOKUP(Logs_Reseau_Part56[[#This Row],[Cell_ID]],Registre_Maintenance_Part[[ID_Antenne]:[Colonne2]],4,FALSE),"")</f>
        <v>27.376697</v>
      </c>
      <c r="J224" t="str">
        <f>IFERROR(VLOOKUP(Logs_Reseau_Part56[[#This Row],[Cell_ID]],Registre_Maintenance_Part[[ID_Antenne]:[Colonne2]],5,FALSE),"")</f>
        <v>4G</v>
      </c>
      <c r="K224" t="str">
        <f>IFERROR(VLOOKUP(Logs_Reseau_Part56[[#This Row],[Cell_ID]],Registre_Maintenance_Part[[ID_Antenne]:[Colonne2]],6,FALSE),"")</f>
        <v>Huawei</v>
      </c>
    </row>
    <row r="225" spans="1:11" x14ac:dyDescent="0.3">
      <c r="A225" s="1">
        <v>45212.754861111112</v>
      </c>
      <c r="B225" s="2">
        <v>45212.754861111112</v>
      </c>
      <c r="C225" t="s">
        <v>849</v>
      </c>
      <c r="D225">
        <v>112</v>
      </c>
      <c r="E225">
        <f>Logs_Reseau_Part56[[#This Row],[Duree_Panne_Min]]/60</f>
        <v>1.8666666666666667</v>
      </c>
      <c r="F225" t="s">
        <v>739</v>
      </c>
      <c r="G225" t="str">
        <f>IFERROR(VLOOKUP(Logs_Reseau_Part56[[#This Row],[Cell_ID]],Registre_Maintenance_Part[[ID_Antenne]:[Colonne2]],2,FALSE),"")</f>
        <v>Kwilu</v>
      </c>
      <c r="H225">
        <f>IFERROR(VLOOKUP(Logs_Reseau_Part56[[#This Row],[Cell_ID]],Registre_Maintenance_Part[[ID_Antenne]:[Colonne2]],3,FALSE),"")</f>
        <v>2.4741019999999998</v>
      </c>
      <c r="I225">
        <f>IFERROR(VLOOKUP(Logs_Reseau_Part56[[#This Row],[Cell_ID]],Registre_Maintenance_Part[[ID_Antenne]:[Colonne2]],4,FALSE),"")</f>
        <v>29.297391000000001</v>
      </c>
      <c r="J225" t="str">
        <f>IFERROR(VLOOKUP(Logs_Reseau_Part56[[#This Row],[Cell_ID]],Registre_Maintenance_Part[[ID_Antenne]:[Colonne2]],5,FALSE),"")</f>
        <v>4G</v>
      </c>
      <c r="K225" t="str">
        <f>IFERROR(VLOOKUP(Logs_Reseau_Part56[[#This Row],[Cell_ID]],Registre_Maintenance_Part[[ID_Antenne]:[Colonne2]],6,FALSE),"")</f>
        <v>Ericsson</v>
      </c>
    </row>
    <row r="226" spans="1:11" x14ac:dyDescent="0.3">
      <c r="A226" s="1">
        <v>45212.875694444447</v>
      </c>
      <c r="B226" s="2">
        <v>45212.875694444447</v>
      </c>
      <c r="C226" t="s">
        <v>1415</v>
      </c>
      <c r="D226">
        <v>23</v>
      </c>
      <c r="E226">
        <f>Logs_Reseau_Part56[[#This Row],[Duree_Panne_Min]]/60</f>
        <v>0.38333333333333336</v>
      </c>
      <c r="F226" t="s">
        <v>734</v>
      </c>
      <c r="G226" t="str">
        <f>IFERROR(VLOOKUP(Logs_Reseau_Part56[[#This Row],[Cell_ID]],Registre_Maintenance_Part[[ID_Antenne]:[Colonne2]],2,FALSE),"")</f>
        <v>Kwilu</v>
      </c>
      <c r="H226">
        <f>IFERROR(VLOOKUP(Logs_Reseau_Part56[[#This Row],[Cell_ID]],Registre_Maintenance_Part[[ID_Antenne]:[Colonne2]],3,FALSE),"")</f>
        <v>1.2691650000000001</v>
      </c>
      <c r="I226">
        <f>IFERROR(VLOOKUP(Logs_Reseau_Part56[[#This Row],[Cell_ID]],Registre_Maintenance_Part[[ID_Antenne]:[Colonne2]],4,FALSE),"")</f>
        <v>18.789956</v>
      </c>
      <c r="J226" t="str">
        <f>IFERROR(VLOOKUP(Logs_Reseau_Part56[[#This Row],[Cell_ID]],Registre_Maintenance_Part[[ID_Antenne]:[Colonne2]],5,FALSE),"")</f>
        <v>3G</v>
      </c>
      <c r="K226" t="str">
        <f>IFERROR(VLOOKUP(Logs_Reseau_Part56[[#This Row],[Cell_ID]],Registre_Maintenance_Part[[ID_Antenne]:[Colonne2]],6,FALSE),"")</f>
        <v>Nokia</v>
      </c>
    </row>
    <row r="227" spans="1:11" x14ac:dyDescent="0.3">
      <c r="A227" s="1">
        <v>45213.145138888889</v>
      </c>
      <c r="B227" s="2">
        <v>45213.145138888889</v>
      </c>
      <c r="C227" t="s">
        <v>1166</v>
      </c>
      <c r="D227">
        <v>105</v>
      </c>
      <c r="E227">
        <f>Logs_Reseau_Part56[[#This Row],[Duree_Panne_Min]]/60</f>
        <v>1.75</v>
      </c>
      <c r="F227" t="s">
        <v>737</v>
      </c>
      <c r="G227" t="str">
        <f>IFERROR(VLOOKUP(Logs_Reseau_Part56[[#This Row],[Cell_ID]],Registre_Maintenance_Part[[ID_Antenne]:[Colonne2]],2,FALSE),"")</f>
        <v>Kwilu</v>
      </c>
      <c r="H227">
        <f>IFERROR(VLOOKUP(Logs_Reseau_Part56[[#This Row],[Cell_ID]],Registre_Maintenance_Part[[ID_Antenne]:[Colonne2]],3,FALSE),"")</f>
        <v>-10.939712999999999</v>
      </c>
      <c r="I227">
        <f>IFERROR(VLOOKUP(Logs_Reseau_Part56[[#This Row],[Cell_ID]],Registre_Maintenance_Part[[ID_Antenne]:[Colonne2]],4,FALSE),"")</f>
        <v>18.276230999999999</v>
      </c>
      <c r="J227" t="str">
        <f>IFERROR(VLOOKUP(Logs_Reseau_Part56[[#This Row],[Cell_ID]],Registre_Maintenance_Part[[ID_Antenne]:[Colonne2]],5,FALSE),"")</f>
        <v>4G</v>
      </c>
      <c r="K227" t="str">
        <f>IFERROR(VLOOKUP(Logs_Reseau_Part56[[#This Row],[Cell_ID]],Registre_Maintenance_Part[[ID_Antenne]:[Colonne2]],6,FALSE),"")</f>
        <v>ZTE</v>
      </c>
    </row>
    <row r="228" spans="1:11" x14ac:dyDescent="0.3">
      <c r="A228" s="1">
        <v>45214.736805555563</v>
      </c>
      <c r="B228" s="2">
        <v>45214.736805555563</v>
      </c>
      <c r="C228" t="s">
        <v>1184</v>
      </c>
      <c r="D228">
        <v>34</v>
      </c>
      <c r="E228">
        <f>Logs_Reseau_Part56[[#This Row],[Duree_Panne_Min]]/60</f>
        <v>0.56666666666666665</v>
      </c>
      <c r="F228" t="s">
        <v>739</v>
      </c>
      <c r="G228" t="str">
        <f>IFERROR(VLOOKUP(Logs_Reseau_Part56[[#This Row],[Cell_ID]],Registre_Maintenance_Part[[ID_Antenne]:[Colonne2]],2,FALSE),"")</f>
        <v>Kwilu</v>
      </c>
      <c r="H228">
        <f>IFERROR(VLOOKUP(Logs_Reseau_Part56[[#This Row],[Cell_ID]],Registre_Maintenance_Part[[ID_Antenne]:[Colonne2]],3,FALSE),"")</f>
        <v>5.3608999999999997E-2</v>
      </c>
      <c r="I228">
        <f>IFERROR(VLOOKUP(Logs_Reseau_Part56[[#This Row],[Cell_ID]],Registre_Maintenance_Part[[ID_Antenne]:[Colonne2]],4,FALSE),"")</f>
        <v>28.346852999999999</v>
      </c>
      <c r="J228" t="str">
        <f>IFERROR(VLOOKUP(Logs_Reseau_Part56[[#This Row],[Cell_ID]],Registre_Maintenance_Part[[ID_Antenne]:[Colonne2]],5,FALSE),"")</f>
        <v>3G</v>
      </c>
      <c r="K228" t="str">
        <f>IFERROR(VLOOKUP(Logs_Reseau_Part56[[#This Row],[Cell_ID]],Registre_Maintenance_Part[[ID_Antenne]:[Colonne2]],6,FALSE),"")</f>
        <v>ZTE</v>
      </c>
    </row>
    <row r="229" spans="1:11" x14ac:dyDescent="0.3">
      <c r="A229" s="1">
        <v>45216.902777777781</v>
      </c>
      <c r="B229" s="2">
        <v>45216.902777777781</v>
      </c>
      <c r="C229" t="s">
        <v>856</v>
      </c>
      <c r="D229">
        <v>20</v>
      </c>
      <c r="E229">
        <f>Logs_Reseau_Part56[[#This Row],[Duree_Panne_Min]]/60</f>
        <v>0.33333333333333331</v>
      </c>
      <c r="F229" t="s">
        <v>739</v>
      </c>
      <c r="G229" t="str">
        <f>IFERROR(VLOOKUP(Logs_Reseau_Part56[[#This Row],[Cell_ID]],Registre_Maintenance_Part[[ID_Antenne]:[Colonne2]],2,FALSE),"")</f>
        <v>Kwilu</v>
      </c>
      <c r="H229">
        <f>IFERROR(VLOOKUP(Logs_Reseau_Part56[[#This Row],[Cell_ID]],Registre_Maintenance_Part[[ID_Antenne]:[Colonne2]],3,FALSE),"")</f>
        <v>-4.2408359999999998</v>
      </c>
      <c r="I229">
        <f>IFERROR(VLOOKUP(Logs_Reseau_Part56[[#This Row],[Cell_ID]],Registre_Maintenance_Part[[ID_Antenne]:[Colonne2]],4,FALSE),"")</f>
        <v>26.210014000000001</v>
      </c>
      <c r="J229" t="str">
        <f>IFERROR(VLOOKUP(Logs_Reseau_Part56[[#This Row],[Cell_ID]],Registre_Maintenance_Part[[ID_Antenne]:[Colonne2]],5,FALSE),"")</f>
        <v>4G</v>
      </c>
      <c r="K229" t="str">
        <f>IFERROR(VLOOKUP(Logs_Reseau_Part56[[#This Row],[Cell_ID]],Registre_Maintenance_Part[[ID_Antenne]:[Colonne2]],6,FALSE),"")</f>
        <v>Huawei</v>
      </c>
    </row>
    <row r="230" spans="1:11" x14ac:dyDescent="0.3">
      <c r="A230" s="1">
        <v>45217.473611111112</v>
      </c>
      <c r="B230" s="2">
        <v>45217.473611111112</v>
      </c>
      <c r="C230" t="s">
        <v>871</v>
      </c>
      <c r="D230">
        <v>37</v>
      </c>
      <c r="E230">
        <f>Logs_Reseau_Part56[[#This Row],[Duree_Panne_Min]]/60</f>
        <v>0.6166666666666667</v>
      </c>
      <c r="F230" t="s">
        <v>739</v>
      </c>
      <c r="G230" t="str">
        <f>IFERROR(VLOOKUP(Logs_Reseau_Part56[[#This Row],[Cell_ID]],Registre_Maintenance_Part[[ID_Antenne]:[Colonne2]],2,FALSE),"")</f>
        <v>Kwilu</v>
      </c>
      <c r="H230">
        <f>IFERROR(VLOOKUP(Logs_Reseau_Part56[[#This Row],[Cell_ID]],Registre_Maintenance_Part[[ID_Antenne]:[Colonne2]],3,FALSE),"")</f>
        <v>-8.5675749999999997</v>
      </c>
      <c r="I230">
        <f>IFERROR(VLOOKUP(Logs_Reseau_Part56[[#This Row],[Cell_ID]],Registre_Maintenance_Part[[ID_Antenne]:[Colonne2]],4,FALSE),"")</f>
        <v>26.994581</v>
      </c>
      <c r="J230" t="str">
        <f>IFERROR(VLOOKUP(Logs_Reseau_Part56[[#This Row],[Cell_ID]],Registre_Maintenance_Part[[ID_Antenne]:[Colonne2]],5,FALSE),"")</f>
        <v>3G</v>
      </c>
      <c r="K230" t="str">
        <f>IFERROR(VLOOKUP(Logs_Reseau_Part56[[#This Row],[Cell_ID]],Registre_Maintenance_Part[[ID_Antenne]:[Colonne2]],6,FALSE),"")</f>
        <v>Nokia</v>
      </c>
    </row>
    <row r="231" spans="1:11" x14ac:dyDescent="0.3">
      <c r="A231" s="1">
        <v>45218.631944444453</v>
      </c>
      <c r="B231" s="2">
        <v>45218.631944444453</v>
      </c>
      <c r="C231" t="s">
        <v>771</v>
      </c>
      <c r="D231">
        <v>42</v>
      </c>
      <c r="E231">
        <f>Logs_Reseau_Part56[[#This Row],[Duree_Panne_Min]]/60</f>
        <v>0.7</v>
      </c>
      <c r="F231" t="s">
        <v>737</v>
      </c>
      <c r="G231" t="str">
        <f>IFERROR(VLOOKUP(Logs_Reseau_Part56[[#This Row],[Cell_ID]],Registre_Maintenance_Part[[ID_Antenne]:[Colonne2]],2,FALSE),"")</f>
        <v>Kwilu</v>
      </c>
      <c r="H231">
        <f>IFERROR(VLOOKUP(Logs_Reseau_Part56[[#This Row],[Cell_ID]],Registre_Maintenance_Part[[ID_Antenne]:[Colonne2]],3,FALSE),"")</f>
        <v>-0.77432100000000004</v>
      </c>
      <c r="I231">
        <f>IFERROR(VLOOKUP(Logs_Reseau_Part56[[#This Row],[Cell_ID]],Registre_Maintenance_Part[[ID_Antenne]:[Colonne2]],4,FALSE),"")</f>
        <v>18.628658999999999</v>
      </c>
      <c r="J231" t="str">
        <f>IFERROR(VLOOKUP(Logs_Reseau_Part56[[#This Row],[Cell_ID]],Registre_Maintenance_Part[[ID_Antenne]:[Colonne2]],5,FALSE),"")</f>
        <v>4G</v>
      </c>
      <c r="K231" t="str">
        <f>IFERROR(VLOOKUP(Logs_Reseau_Part56[[#This Row],[Cell_ID]],Registre_Maintenance_Part[[ID_Antenne]:[Colonne2]],6,FALSE),"")</f>
        <v>Huawei</v>
      </c>
    </row>
    <row r="232" spans="1:11" x14ac:dyDescent="0.3">
      <c r="A232" s="1">
        <v>45220.811805555553</v>
      </c>
      <c r="B232" s="2">
        <v>45220.811805555553</v>
      </c>
      <c r="C232" t="s">
        <v>1063</v>
      </c>
      <c r="D232">
        <v>100</v>
      </c>
      <c r="E232">
        <f>Logs_Reseau_Part56[[#This Row],[Duree_Panne_Min]]/60</f>
        <v>1.6666666666666667</v>
      </c>
      <c r="F232" t="s">
        <v>739</v>
      </c>
      <c r="G232" t="str">
        <f>IFERROR(VLOOKUP(Logs_Reseau_Part56[[#This Row],[Cell_ID]],Registre_Maintenance_Part[[ID_Antenne]:[Colonne2]],2,FALSE),"")</f>
        <v>Kwilu</v>
      </c>
      <c r="H232">
        <f>IFERROR(VLOOKUP(Logs_Reseau_Part56[[#This Row],[Cell_ID]],Registre_Maintenance_Part[[ID_Antenne]:[Colonne2]],3,FALSE),"")</f>
        <v>-0.98830399999999996</v>
      </c>
      <c r="I232">
        <f>IFERROR(VLOOKUP(Logs_Reseau_Part56[[#This Row],[Cell_ID]],Registre_Maintenance_Part[[ID_Antenne]:[Colonne2]],4,FALSE),"")</f>
        <v>28.099966999999999</v>
      </c>
      <c r="J232" t="str">
        <f>IFERROR(VLOOKUP(Logs_Reseau_Part56[[#This Row],[Cell_ID]],Registre_Maintenance_Part[[ID_Antenne]:[Colonne2]],5,FALSE),"")</f>
        <v>3G</v>
      </c>
      <c r="K232" t="str">
        <f>IFERROR(VLOOKUP(Logs_Reseau_Part56[[#This Row],[Cell_ID]],Registre_Maintenance_Part[[ID_Antenne]:[Colonne2]],6,FALSE),"")</f>
        <v>Huawei</v>
      </c>
    </row>
    <row r="233" spans="1:11" x14ac:dyDescent="0.3">
      <c r="A233" s="1">
        <v>45221.167361111111</v>
      </c>
      <c r="B233" s="2">
        <v>45221.167361111111</v>
      </c>
      <c r="C233" t="s">
        <v>849</v>
      </c>
      <c r="D233">
        <v>78</v>
      </c>
      <c r="E233">
        <f>Logs_Reseau_Part56[[#This Row],[Duree_Panne_Min]]/60</f>
        <v>1.3</v>
      </c>
      <c r="F233" t="s">
        <v>737</v>
      </c>
      <c r="G233" t="str">
        <f>IFERROR(VLOOKUP(Logs_Reseau_Part56[[#This Row],[Cell_ID]],Registre_Maintenance_Part[[ID_Antenne]:[Colonne2]],2,FALSE),"")</f>
        <v>Kwilu</v>
      </c>
      <c r="H233">
        <f>IFERROR(VLOOKUP(Logs_Reseau_Part56[[#This Row],[Cell_ID]],Registre_Maintenance_Part[[ID_Antenne]:[Colonne2]],3,FALSE),"")</f>
        <v>2.4741019999999998</v>
      </c>
      <c r="I233">
        <f>IFERROR(VLOOKUP(Logs_Reseau_Part56[[#This Row],[Cell_ID]],Registre_Maintenance_Part[[ID_Antenne]:[Colonne2]],4,FALSE),"")</f>
        <v>29.297391000000001</v>
      </c>
      <c r="J233" t="str">
        <f>IFERROR(VLOOKUP(Logs_Reseau_Part56[[#This Row],[Cell_ID]],Registre_Maintenance_Part[[ID_Antenne]:[Colonne2]],5,FALSE),"")</f>
        <v>4G</v>
      </c>
      <c r="K233" t="str">
        <f>IFERROR(VLOOKUP(Logs_Reseau_Part56[[#This Row],[Cell_ID]],Registre_Maintenance_Part[[ID_Antenne]:[Colonne2]],6,FALSE),"")</f>
        <v>Ericsson</v>
      </c>
    </row>
    <row r="234" spans="1:11" x14ac:dyDescent="0.3">
      <c r="A234" s="1">
        <v>45227.091666666667</v>
      </c>
      <c r="B234" s="2">
        <v>45227.091666666667</v>
      </c>
      <c r="C234" t="s">
        <v>1178</v>
      </c>
      <c r="D234">
        <v>112</v>
      </c>
      <c r="E234">
        <f>Logs_Reseau_Part56[[#This Row],[Duree_Panne_Min]]/60</f>
        <v>1.8666666666666667</v>
      </c>
      <c r="F234" t="s">
        <v>734</v>
      </c>
      <c r="G234" t="str">
        <f>IFERROR(VLOOKUP(Logs_Reseau_Part56[[#This Row],[Cell_ID]],Registre_Maintenance_Part[[ID_Antenne]:[Colonne2]],2,FALSE),"")</f>
        <v>Kwilu</v>
      </c>
      <c r="H234">
        <f>IFERROR(VLOOKUP(Logs_Reseau_Part56[[#This Row],[Cell_ID]],Registre_Maintenance_Part[[ID_Antenne]:[Colonne2]],3,FALSE),"")</f>
        <v>-10.161428000000001</v>
      </c>
      <c r="I234">
        <f>IFERROR(VLOOKUP(Logs_Reseau_Part56[[#This Row],[Cell_ID]],Registre_Maintenance_Part[[ID_Antenne]:[Colonne2]],4,FALSE),"")</f>
        <v>19.362325999999999</v>
      </c>
      <c r="J234" t="str">
        <f>IFERROR(VLOOKUP(Logs_Reseau_Part56[[#This Row],[Cell_ID]],Registre_Maintenance_Part[[ID_Antenne]:[Colonne2]],5,FALSE),"")</f>
        <v>3G</v>
      </c>
      <c r="K234" t="str">
        <f>IFERROR(VLOOKUP(Logs_Reseau_Part56[[#This Row],[Cell_ID]],Registre_Maintenance_Part[[ID_Antenne]:[Colonne2]],6,FALSE),"")</f>
        <v>Nokia</v>
      </c>
    </row>
    <row r="235" spans="1:11" x14ac:dyDescent="0.3">
      <c r="A235" s="1">
        <v>45228.15902777778</v>
      </c>
      <c r="B235" s="2">
        <v>45228.15902777778</v>
      </c>
      <c r="C235" t="s">
        <v>1137</v>
      </c>
      <c r="D235">
        <v>30</v>
      </c>
      <c r="E235">
        <f>Logs_Reseau_Part56[[#This Row],[Duree_Panne_Min]]/60</f>
        <v>0.5</v>
      </c>
      <c r="F235" t="s">
        <v>734</v>
      </c>
      <c r="G235" t="str">
        <f>IFERROR(VLOOKUP(Logs_Reseau_Part56[[#This Row],[Cell_ID]],Registre_Maintenance_Part[[ID_Antenne]:[Colonne2]],2,FALSE),"")</f>
        <v>Kwilu</v>
      </c>
      <c r="H235">
        <f>IFERROR(VLOOKUP(Logs_Reseau_Part56[[#This Row],[Cell_ID]],Registre_Maintenance_Part[[ID_Antenne]:[Colonne2]],3,FALSE),"")</f>
        <v>0.62055499999999997</v>
      </c>
      <c r="I235">
        <f>IFERROR(VLOOKUP(Logs_Reseau_Part56[[#This Row],[Cell_ID]],Registre_Maintenance_Part[[ID_Antenne]:[Colonne2]],4,FALSE),"")</f>
        <v>21.222035000000002</v>
      </c>
      <c r="J235" t="str">
        <f>IFERROR(VLOOKUP(Logs_Reseau_Part56[[#This Row],[Cell_ID]],Registre_Maintenance_Part[[ID_Antenne]:[Colonne2]],5,FALSE),"")</f>
        <v>5G</v>
      </c>
      <c r="K235" t="str">
        <f>IFERROR(VLOOKUP(Logs_Reseau_Part56[[#This Row],[Cell_ID]],Registre_Maintenance_Part[[ID_Antenne]:[Colonne2]],6,FALSE),"")</f>
        <v>Nokia</v>
      </c>
    </row>
    <row r="236" spans="1:11" x14ac:dyDescent="0.3">
      <c r="A236" s="1">
        <v>45230.40902777778</v>
      </c>
      <c r="B236" s="2">
        <v>45230.40902777778</v>
      </c>
      <c r="C236" t="s">
        <v>1137</v>
      </c>
      <c r="D236">
        <v>80</v>
      </c>
      <c r="E236">
        <f>Logs_Reseau_Part56[[#This Row],[Duree_Panne_Min]]/60</f>
        <v>1.3333333333333333</v>
      </c>
      <c r="F236" t="s">
        <v>737</v>
      </c>
      <c r="G236" t="str">
        <f>IFERROR(VLOOKUP(Logs_Reseau_Part56[[#This Row],[Cell_ID]],Registre_Maintenance_Part[[ID_Antenne]:[Colonne2]],2,FALSE),"")</f>
        <v>Kwilu</v>
      </c>
      <c r="H236">
        <f>IFERROR(VLOOKUP(Logs_Reseau_Part56[[#This Row],[Cell_ID]],Registre_Maintenance_Part[[ID_Antenne]:[Colonne2]],3,FALSE),"")</f>
        <v>0.62055499999999997</v>
      </c>
      <c r="I236">
        <f>IFERROR(VLOOKUP(Logs_Reseau_Part56[[#This Row],[Cell_ID]],Registre_Maintenance_Part[[ID_Antenne]:[Colonne2]],4,FALSE),"")</f>
        <v>21.222035000000002</v>
      </c>
      <c r="J236" t="str">
        <f>IFERROR(VLOOKUP(Logs_Reseau_Part56[[#This Row],[Cell_ID]],Registre_Maintenance_Part[[ID_Antenne]:[Colonne2]],5,FALSE),"")</f>
        <v>5G</v>
      </c>
      <c r="K236" t="str">
        <f>IFERROR(VLOOKUP(Logs_Reseau_Part56[[#This Row],[Cell_ID]],Registre_Maintenance_Part[[ID_Antenne]:[Colonne2]],6,FALSE),"")</f>
        <v>Nokia</v>
      </c>
    </row>
    <row r="237" spans="1:11" x14ac:dyDescent="0.3">
      <c r="A237" s="1">
        <v>45200.466666666667</v>
      </c>
      <c r="B237" s="2">
        <v>45200.466666666667</v>
      </c>
      <c r="C237" t="s">
        <v>1289</v>
      </c>
      <c r="D237">
        <v>31</v>
      </c>
      <c r="E237">
        <f>Logs_Reseau_Part56[[#This Row],[Duree_Panne_Min]]/60</f>
        <v>0.51666666666666672</v>
      </c>
      <c r="F237" t="s">
        <v>737</v>
      </c>
      <c r="G237" t="str">
        <f>IFERROR(VLOOKUP(Logs_Reseau_Part56[[#This Row],[Cell_ID]],Registre_Maintenance_Part[[ID_Antenne]:[Colonne2]],2,FALSE),"")</f>
        <v>Lomami</v>
      </c>
      <c r="H237">
        <f>IFERROR(VLOOKUP(Logs_Reseau_Part56[[#This Row],[Cell_ID]],Registre_Maintenance_Part[[ID_Antenne]:[Colonne2]],3,FALSE),"")</f>
        <v>-9.5619429999999994</v>
      </c>
      <c r="I237">
        <f>IFERROR(VLOOKUP(Logs_Reseau_Part56[[#This Row],[Cell_ID]],Registre_Maintenance_Part[[ID_Antenne]:[Colonne2]],4,FALSE),"")</f>
        <v>21.445726000000001</v>
      </c>
      <c r="J237" t="str">
        <f>IFERROR(VLOOKUP(Logs_Reseau_Part56[[#This Row],[Cell_ID]],Registre_Maintenance_Part[[ID_Antenne]:[Colonne2]],5,FALSE),"")</f>
        <v>4G</v>
      </c>
      <c r="K237" t="str">
        <f>IFERROR(VLOOKUP(Logs_Reseau_Part56[[#This Row],[Cell_ID]],Registre_Maintenance_Part[[ID_Antenne]:[Colonne2]],6,FALSE),"")</f>
        <v>Nokia</v>
      </c>
    </row>
    <row r="238" spans="1:11" x14ac:dyDescent="0.3">
      <c r="A238" s="1">
        <v>45201.293055555558</v>
      </c>
      <c r="B238" s="2">
        <v>45201.293055555558</v>
      </c>
      <c r="C238" t="s">
        <v>1289</v>
      </c>
      <c r="D238">
        <v>95</v>
      </c>
      <c r="E238">
        <f>Logs_Reseau_Part56[[#This Row],[Duree_Panne_Min]]/60</f>
        <v>1.5833333333333333</v>
      </c>
      <c r="F238" t="s">
        <v>739</v>
      </c>
      <c r="G238" t="str">
        <f>IFERROR(VLOOKUP(Logs_Reseau_Part56[[#This Row],[Cell_ID]],Registre_Maintenance_Part[[ID_Antenne]:[Colonne2]],2,FALSE),"")</f>
        <v>Lomami</v>
      </c>
      <c r="H238">
        <f>IFERROR(VLOOKUP(Logs_Reseau_Part56[[#This Row],[Cell_ID]],Registre_Maintenance_Part[[ID_Antenne]:[Colonne2]],3,FALSE),"")</f>
        <v>-9.5619429999999994</v>
      </c>
      <c r="I238">
        <f>IFERROR(VLOOKUP(Logs_Reseau_Part56[[#This Row],[Cell_ID]],Registre_Maintenance_Part[[ID_Antenne]:[Colonne2]],4,FALSE),"")</f>
        <v>21.445726000000001</v>
      </c>
      <c r="J238" t="str">
        <f>IFERROR(VLOOKUP(Logs_Reseau_Part56[[#This Row],[Cell_ID]],Registre_Maintenance_Part[[ID_Antenne]:[Colonne2]],5,FALSE),"")</f>
        <v>4G</v>
      </c>
      <c r="K238" t="str">
        <f>IFERROR(VLOOKUP(Logs_Reseau_Part56[[#This Row],[Cell_ID]],Registre_Maintenance_Part[[ID_Antenne]:[Colonne2]],6,FALSE),"")</f>
        <v>Nokia</v>
      </c>
    </row>
    <row r="239" spans="1:11" x14ac:dyDescent="0.3">
      <c r="A239" s="1">
        <v>45204.283333333333</v>
      </c>
      <c r="B239" s="2">
        <v>45204.283333333333</v>
      </c>
      <c r="C239" t="s">
        <v>751</v>
      </c>
      <c r="D239">
        <v>11</v>
      </c>
      <c r="E239">
        <f>Logs_Reseau_Part56[[#This Row],[Duree_Panne_Min]]/60</f>
        <v>0.18333333333333332</v>
      </c>
      <c r="F239" t="s">
        <v>739</v>
      </c>
      <c r="G239" t="str">
        <f>IFERROR(VLOOKUP(Logs_Reseau_Part56[[#This Row],[Cell_ID]],Registre_Maintenance_Part[[ID_Antenne]:[Colonne2]],2,FALSE),"")</f>
        <v>Lomami</v>
      </c>
      <c r="H239">
        <f>IFERROR(VLOOKUP(Logs_Reseau_Part56[[#This Row],[Cell_ID]],Registre_Maintenance_Part[[ID_Antenne]:[Colonne2]],3,FALSE),"")</f>
        <v>-2.2371569999999998</v>
      </c>
      <c r="I239">
        <f>IFERROR(VLOOKUP(Logs_Reseau_Part56[[#This Row],[Cell_ID]],Registre_Maintenance_Part[[ID_Antenne]:[Colonne2]],4,FALSE),"")</f>
        <v>25.926188</v>
      </c>
      <c r="J239" t="str">
        <f>IFERROR(VLOOKUP(Logs_Reseau_Part56[[#This Row],[Cell_ID]],Registre_Maintenance_Part[[ID_Antenne]:[Colonne2]],5,FALSE),"")</f>
        <v>3G</v>
      </c>
      <c r="K239" t="str">
        <f>IFERROR(VLOOKUP(Logs_Reseau_Part56[[#This Row],[Cell_ID]],Registre_Maintenance_Part[[ID_Antenne]:[Colonne2]],6,FALSE),"")</f>
        <v>Nokia</v>
      </c>
    </row>
    <row r="240" spans="1:11" x14ac:dyDescent="0.3">
      <c r="A240" s="1">
        <v>45205.345138888893</v>
      </c>
      <c r="B240" s="2">
        <v>45205.345138888893</v>
      </c>
      <c r="C240" t="s">
        <v>907</v>
      </c>
      <c r="D240">
        <v>109</v>
      </c>
      <c r="E240">
        <f>Logs_Reseau_Part56[[#This Row],[Duree_Panne_Min]]/60</f>
        <v>1.8166666666666667</v>
      </c>
      <c r="F240" t="s">
        <v>737</v>
      </c>
      <c r="G240" t="str">
        <f>IFERROR(VLOOKUP(Logs_Reseau_Part56[[#This Row],[Cell_ID]],Registre_Maintenance_Part[[ID_Antenne]:[Colonne2]],2,FALSE),"")</f>
        <v>Lomami</v>
      </c>
      <c r="H240">
        <f>IFERROR(VLOOKUP(Logs_Reseau_Part56[[#This Row],[Cell_ID]],Registre_Maintenance_Part[[ID_Antenne]:[Colonne2]],3,FALSE),"")</f>
        <v>-2.2681789999999999</v>
      </c>
      <c r="I240">
        <f>IFERROR(VLOOKUP(Logs_Reseau_Part56[[#This Row],[Cell_ID]],Registre_Maintenance_Part[[ID_Antenne]:[Colonne2]],4,FALSE),"")</f>
        <v>25.699068</v>
      </c>
      <c r="J240" t="str">
        <f>IFERROR(VLOOKUP(Logs_Reseau_Part56[[#This Row],[Cell_ID]],Registre_Maintenance_Part[[ID_Antenne]:[Colonne2]],5,FALSE),"")</f>
        <v>3G</v>
      </c>
      <c r="K240" t="str">
        <f>IFERROR(VLOOKUP(Logs_Reseau_Part56[[#This Row],[Cell_ID]],Registre_Maintenance_Part[[ID_Antenne]:[Colonne2]],6,FALSE),"")</f>
        <v>ZTE</v>
      </c>
    </row>
    <row r="241" spans="1:11" x14ac:dyDescent="0.3">
      <c r="A241" s="1">
        <v>45208.073611111111</v>
      </c>
      <c r="B241" s="2">
        <v>45208.073611111111</v>
      </c>
      <c r="C241" t="s">
        <v>747</v>
      </c>
      <c r="D241">
        <v>85</v>
      </c>
      <c r="E241">
        <f>Logs_Reseau_Part56[[#This Row],[Duree_Panne_Min]]/60</f>
        <v>1.4166666666666667</v>
      </c>
      <c r="F241" t="s">
        <v>737</v>
      </c>
      <c r="G241" t="str">
        <f>IFERROR(VLOOKUP(Logs_Reseau_Part56[[#This Row],[Cell_ID]],Registre_Maintenance_Part[[ID_Antenne]:[Colonne2]],2,FALSE),"")</f>
        <v>Lomami</v>
      </c>
      <c r="H241">
        <f>IFERROR(VLOOKUP(Logs_Reseau_Part56[[#This Row],[Cell_ID]],Registre_Maintenance_Part[[ID_Antenne]:[Colonne2]],3,FALSE),"")</f>
        <v>-8.4227860000000003</v>
      </c>
      <c r="I241">
        <f>IFERROR(VLOOKUP(Logs_Reseau_Part56[[#This Row],[Cell_ID]],Registre_Maintenance_Part[[ID_Antenne]:[Colonne2]],4,FALSE),"")</f>
        <v>16.781293000000002</v>
      </c>
      <c r="J241" t="str">
        <f>IFERROR(VLOOKUP(Logs_Reseau_Part56[[#This Row],[Cell_ID]],Registre_Maintenance_Part[[ID_Antenne]:[Colonne2]],5,FALSE),"")</f>
        <v>4G</v>
      </c>
      <c r="K241" t="str">
        <f>IFERROR(VLOOKUP(Logs_Reseau_Part56[[#This Row],[Cell_ID]],Registre_Maintenance_Part[[ID_Antenne]:[Colonne2]],6,FALSE),"")</f>
        <v>Huawei</v>
      </c>
    </row>
    <row r="242" spans="1:11" x14ac:dyDescent="0.3">
      <c r="A242" s="1">
        <v>45210.879861111112</v>
      </c>
      <c r="B242" s="2">
        <v>45210.879861111112</v>
      </c>
      <c r="C242" t="s">
        <v>1124</v>
      </c>
      <c r="D242">
        <v>53</v>
      </c>
      <c r="E242">
        <f>Logs_Reseau_Part56[[#This Row],[Duree_Panne_Min]]/60</f>
        <v>0.8833333333333333</v>
      </c>
      <c r="F242" t="s">
        <v>734</v>
      </c>
      <c r="G242" t="str">
        <f>IFERROR(VLOOKUP(Logs_Reseau_Part56[[#This Row],[Cell_ID]],Registre_Maintenance_Part[[ID_Antenne]:[Colonne2]],2,FALSE),"")</f>
        <v>Lomami</v>
      </c>
      <c r="H242">
        <f>IFERROR(VLOOKUP(Logs_Reseau_Part56[[#This Row],[Cell_ID]],Registre_Maintenance_Part[[ID_Antenne]:[Colonne2]],3,FALSE),"")</f>
        <v>-7.8770429999999996</v>
      </c>
      <c r="I242">
        <f>IFERROR(VLOOKUP(Logs_Reseau_Part56[[#This Row],[Cell_ID]],Registre_Maintenance_Part[[ID_Antenne]:[Colonne2]],4,FALSE),"")</f>
        <v>16.357762999999998</v>
      </c>
      <c r="J242" t="str">
        <f>IFERROR(VLOOKUP(Logs_Reseau_Part56[[#This Row],[Cell_ID]],Registre_Maintenance_Part[[ID_Antenne]:[Colonne2]],5,FALSE),"")</f>
        <v>4G</v>
      </c>
      <c r="K242" t="str">
        <f>IFERROR(VLOOKUP(Logs_Reseau_Part56[[#This Row],[Cell_ID]],Registre_Maintenance_Part[[ID_Antenne]:[Colonne2]],6,FALSE),"")</f>
        <v>Ericsson</v>
      </c>
    </row>
    <row r="243" spans="1:11" x14ac:dyDescent="0.3">
      <c r="A243" s="1">
        <v>45213.518750000003</v>
      </c>
      <c r="B243" s="2">
        <v>45213.518750000003</v>
      </c>
      <c r="C243" t="s">
        <v>1272</v>
      </c>
      <c r="D243">
        <v>88</v>
      </c>
      <c r="E243">
        <f>Logs_Reseau_Part56[[#This Row],[Duree_Panne_Min]]/60</f>
        <v>1.4666666666666666</v>
      </c>
      <c r="F243" t="s">
        <v>737</v>
      </c>
      <c r="G243" t="str">
        <f>IFERROR(VLOOKUP(Logs_Reseau_Part56[[#This Row],[Cell_ID]],Registre_Maintenance_Part[[ID_Antenne]:[Colonne2]],2,FALSE),"")</f>
        <v>Lomami</v>
      </c>
      <c r="H243">
        <f>IFERROR(VLOOKUP(Logs_Reseau_Part56[[#This Row],[Cell_ID]],Registre_Maintenance_Part[[ID_Antenne]:[Colonne2]],3,FALSE),"")</f>
        <v>4.8265669999999998</v>
      </c>
      <c r="I243">
        <f>IFERROR(VLOOKUP(Logs_Reseau_Part56[[#This Row],[Cell_ID]],Registre_Maintenance_Part[[ID_Antenne]:[Colonne2]],4,FALSE),"")</f>
        <v>28.535277000000001</v>
      </c>
      <c r="J243" t="str">
        <f>IFERROR(VLOOKUP(Logs_Reseau_Part56[[#This Row],[Cell_ID]],Registre_Maintenance_Part[[ID_Antenne]:[Colonne2]],5,FALSE),"")</f>
        <v>3G</v>
      </c>
      <c r="K243" t="str">
        <f>IFERROR(VLOOKUP(Logs_Reseau_Part56[[#This Row],[Cell_ID]],Registre_Maintenance_Part[[ID_Antenne]:[Colonne2]],6,FALSE),"")</f>
        <v>Huawei</v>
      </c>
    </row>
    <row r="244" spans="1:11" x14ac:dyDescent="0.3">
      <c r="A244" s="1">
        <v>45214.684027777781</v>
      </c>
      <c r="B244" s="2">
        <v>45214.684027777781</v>
      </c>
      <c r="C244" t="s">
        <v>835</v>
      </c>
      <c r="D244">
        <v>119</v>
      </c>
      <c r="E244">
        <f>Logs_Reseau_Part56[[#This Row],[Duree_Panne_Min]]/60</f>
        <v>1.9833333333333334</v>
      </c>
      <c r="F244" t="s">
        <v>739</v>
      </c>
      <c r="G244" t="str">
        <f>IFERROR(VLOOKUP(Logs_Reseau_Part56[[#This Row],[Cell_ID]],Registre_Maintenance_Part[[ID_Antenne]:[Colonne2]],2,FALSE),"")</f>
        <v>Lomami</v>
      </c>
      <c r="H244">
        <f>IFERROR(VLOOKUP(Logs_Reseau_Part56[[#This Row],[Cell_ID]],Registre_Maintenance_Part[[ID_Antenne]:[Colonne2]],3,FALSE),"")</f>
        <v>-11.218453999999999</v>
      </c>
      <c r="I244">
        <f>IFERROR(VLOOKUP(Logs_Reseau_Part56[[#This Row],[Cell_ID]],Registre_Maintenance_Part[[ID_Antenne]:[Colonne2]],4,FALSE),"")</f>
        <v>28.230025000000001</v>
      </c>
      <c r="J244" t="str">
        <f>IFERROR(VLOOKUP(Logs_Reseau_Part56[[#This Row],[Cell_ID]],Registre_Maintenance_Part[[ID_Antenne]:[Colonne2]],5,FALSE),"")</f>
        <v>5G</v>
      </c>
      <c r="K244" t="str">
        <f>IFERROR(VLOOKUP(Logs_Reseau_Part56[[#This Row],[Cell_ID]],Registre_Maintenance_Part[[ID_Antenne]:[Colonne2]],6,FALSE),"")</f>
        <v>ZTE</v>
      </c>
    </row>
    <row r="245" spans="1:11" x14ac:dyDescent="0.3">
      <c r="A245" s="1">
        <v>45215.376388888893</v>
      </c>
      <c r="B245" s="2">
        <v>45215.376388888893</v>
      </c>
      <c r="C245" t="s">
        <v>751</v>
      </c>
      <c r="D245">
        <v>65</v>
      </c>
      <c r="E245">
        <f>Logs_Reseau_Part56[[#This Row],[Duree_Panne_Min]]/60</f>
        <v>1.0833333333333333</v>
      </c>
      <c r="F245" t="s">
        <v>739</v>
      </c>
      <c r="G245" t="str">
        <f>IFERROR(VLOOKUP(Logs_Reseau_Part56[[#This Row],[Cell_ID]],Registre_Maintenance_Part[[ID_Antenne]:[Colonne2]],2,FALSE),"")</f>
        <v>Lomami</v>
      </c>
      <c r="H245">
        <f>IFERROR(VLOOKUP(Logs_Reseau_Part56[[#This Row],[Cell_ID]],Registre_Maintenance_Part[[ID_Antenne]:[Colonne2]],3,FALSE),"")</f>
        <v>-2.2371569999999998</v>
      </c>
      <c r="I245">
        <f>IFERROR(VLOOKUP(Logs_Reseau_Part56[[#This Row],[Cell_ID]],Registre_Maintenance_Part[[ID_Antenne]:[Colonne2]],4,FALSE),"")</f>
        <v>25.926188</v>
      </c>
      <c r="J245" t="str">
        <f>IFERROR(VLOOKUP(Logs_Reseau_Part56[[#This Row],[Cell_ID]],Registre_Maintenance_Part[[ID_Antenne]:[Colonne2]],5,FALSE),"")</f>
        <v>3G</v>
      </c>
      <c r="K245" t="str">
        <f>IFERROR(VLOOKUP(Logs_Reseau_Part56[[#This Row],[Cell_ID]],Registre_Maintenance_Part[[ID_Antenne]:[Colonne2]],6,FALSE),"")</f>
        <v>Nokia</v>
      </c>
    </row>
    <row r="246" spans="1:11" x14ac:dyDescent="0.3">
      <c r="A246" s="1">
        <v>45216.094444444447</v>
      </c>
      <c r="B246" s="2">
        <v>45216.094444444447</v>
      </c>
      <c r="C246" t="s">
        <v>1272</v>
      </c>
      <c r="D246">
        <v>74</v>
      </c>
      <c r="E246">
        <f>Logs_Reseau_Part56[[#This Row],[Duree_Panne_Min]]/60</f>
        <v>1.2333333333333334</v>
      </c>
      <c r="F246" t="s">
        <v>734</v>
      </c>
      <c r="G246" t="str">
        <f>IFERROR(VLOOKUP(Logs_Reseau_Part56[[#This Row],[Cell_ID]],Registre_Maintenance_Part[[ID_Antenne]:[Colonne2]],2,FALSE),"")</f>
        <v>Lomami</v>
      </c>
      <c r="H246">
        <f>IFERROR(VLOOKUP(Logs_Reseau_Part56[[#This Row],[Cell_ID]],Registre_Maintenance_Part[[ID_Antenne]:[Colonne2]],3,FALSE),"")</f>
        <v>4.8265669999999998</v>
      </c>
      <c r="I246">
        <f>IFERROR(VLOOKUP(Logs_Reseau_Part56[[#This Row],[Cell_ID]],Registre_Maintenance_Part[[ID_Antenne]:[Colonne2]],4,FALSE),"")</f>
        <v>28.535277000000001</v>
      </c>
      <c r="J246" t="str">
        <f>IFERROR(VLOOKUP(Logs_Reseau_Part56[[#This Row],[Cell_ID]],Registre_Maintenance_Part[[ID_Antenne]:[Colonne2]],5,FALSE),"")</f>
        <v>3G</v>
      </c>
      <c r="K246" t="str">
        <f>IFERROR(VLOOKUP(Logs_Reseau_Part56[[#This Row],[Cell_ID]],Registre_Maintenance_Part[[ID_Antenne]:[Colonne2]],6,FALSE),"")</f>
        <v>Huawei</v>
      </c>
    </row>
    <row r="247" spans="1:11" x14ac:dyDescent="0.3">
      <c r="A247" s="1">
        <v>45218.368750000001</v>
      </c>
      <c r="B247" s="2">
        <v>45218.368750000001</v>
      </c>
      <c r="C247" t="s">
        <v>747</v>
      </c>
      <c r="D247">
        <v>70</v>
      </c>
      <c r="E247">
        <f>Logs_Reseau_Part56[[#This Row],[Duree_Panne_Min]]/60</f>
        <v>1.1666666666666667</v>
      </c>
      <c r="F247" t="s">
        <v>734</v>
      </c>
      <c r="G247" t="str">
        <f>IFERROR(VLOOKUP(Logs_Reseau_Part56[[#This Row],[Cell_ID]],Registre_Maintenance_Part[[ID_Antenne]:[Colonne2]],2,FALSE),"")</f>
        <v>Lomami</v>
      </c>
      <c r="H247">
        <f>IFERROR(VLOOKUP(Logs_Reseau_Part56[[#This Row],[Cell_ID]],Registre_Maintenance_Part[[ID_Antenne]:[Colonne2]],3,FALSE),"")</f>
        <v>-8.4227860000000003</v>
      </c>
      <c r="I247">
        <f>IFERROR(VLOOKUP(Logs_Reseau_Part56[[#This Row],[Cell_ID]],Registre_Maintenance_Part[[ID_Antenne]:[Colonne2]],4,FALSE),"")</f>
        <v>16.781293000000002</v>
      </c>
      <c r="J247" t="str">
        <f>IFERROR(VLOOKUP(Logs_Reseau_Part56[[#This Row],[Cell_ID]],Registre_Maintenance_Part[[ID_Antenne]:[Colonne2]],5,FALSE),"")</f>
        <v>4G</v>
      </c>
      <c r="K247" t="str">
        <f>IFERROR(VLOOKUP(Logs_Reseau_Part56[[#This Row],[Cell_ID]],Registre_Maintenance_Part[[ID_Antenne]:[Colonne2]],6,FALSE),"")</f>
        <v>Huawei</v>
      </c>
    </row>
    <row r="248" spans="1:11" x14ac:dyDescent="0.3">
      <c r="A248" s="1">
        <v>45219.103472222218</v>
      </c>
      <c r="B248" s="2">
        <v>45219.103472222218</v>
      </c>
      <c r="C248" t="s">
        <v>862</v>
      </c>
      <c r="D248">
        <v>72</v>
      </c>
      <c r="E248">
        <f>Logs_Reseau_Part56[[#This Row],[Duree_Panne_Min]]/60</f>
        <v>1.2</v>
      </c>
      <c r="F248" t="s">
        <v>737</v>
      </c>
      <c r="G248" t="str">
        <f>IFERROR(VLOOKUP(Logs_Reseau_Part56[[#This Row],[Cell_ID]],Registre_Maintenance_Part[[ID_Antenne]:[Colonne2]],2,FALSE),"")</f>
        <v>Lomami</v>
      </c>
      <c r="H248">
        <f>IFERROR(VLOOKUP(Logs_Reseau_Part56[[#This Row],[Cell_ID]],Registre_Maintenance_Part[[ID_Antenne]:[Colonne2]],3,FALSE),"")</f>
        <v>-5.7035130000000001</v>
      </c>
      <c r="I248">
        <f>IFERROR(VLOOKUP(Logs_Reseau_Part56[[#This Row],[Cell_ID]],Registre_Maintenance_Part[[ID_Antenne]:[Colonne2]],4,FALSE),"")</f>
        <v>14.331479</v>
      </c>
      <c r="J248" t="str">
        <f>IFERROR(VLOOKUP(Logs_Reseau_Part56[[#This Row],[Cell_ID]],Registre_Maintenance_Part[[ID_Antenne]:[Colonne2]],5,FALSE),"")</f>
        <v>5G</v>
      </c>
      <c r="K248" t="str">
        <f>IFERROR(VLOOKUP(Logs_Reseau_Part56[[#This Row],[Cell_ID]],Registre_Maintenance_Part[[ID_Antenne]:[Colonne2]],6,FALSE),"")</f>
        <v>Nokia</v>
      </c>
    </row>
    <row r="249" spans="1:11" x14ac:dyDescent="0.3">
      <c r="A249" s="1">
        <v>45219.420138888891</v>
      </c>
      <c r="B249" s="2">
        <v>45219.420138888891</v>
      </c>
      <c r="C249" t="s">
        <v>857</v>
      </c>
      <c r="D249">
        <v>63</v>
      </c>
      <c r="E249">
        <f>Logs_Reseau_Part56[[#This Row],[Duree_Panne_Min]]/60</f>
        <v>1.05</v>
      </c>
      <c r="F249" t="s">
        <v>739</v>
      </c>
      <c r="G249" t="str">
        <f>IFERROR(VLOOKUP(Logs_Reseau_Part56[[#This Row],[Cell_ID]],Registre_Maintenance_Part[[ID_Antenne]:[Colonne2]],2,FALSE),"")</f>
        <v>Lomami</v>
      </c>
      <c r="H249">
        <f>IFERROR(VLOOKUP(Logs_Reseau_Part56[[#This Row],[Cell_ID]],Registre_Maintenance_Part[[ID_Antenne]:[Colonne2]],3,FALSE),"")</f>
        <v>-9.9875139999999991</v>
      </c>
      <c r="I249">
        <f>IFERROR(VLOOKUP(Logs_Reseau_Part56[[#This Row],[Cell_ID]],Registre_Maintenance_Part[[ID_Antenne]:[Colonne2]],4,FALSE),"")</f>
        <v>12.013676999999999</v>
      </c>
      <c r="J249" t="str">
        <f>IFERROR(VLOOKUP(Logs_Reseau_Part56[[#This Row],[Cell_ID]],Registre_Maintenance_Part[[ID_Antenne]:[Colonne2]],5,FALSE),"")</f>
        <v>3G</v>
      </c>
      <c r="K249" t="str">
        <f>IFERROR(VLOOKUP(Logs_Reseau_Part56[[#This Row],[Cell_ID]],Registre_Maintenance_Part[[ID_Antenne]:[Colonne2]],6,FALSE),"")</f>
        <v>ZTE</v>
      </c>
    </row>
    <row r="250" spans="1:11" x14ac:dyDescent="0.3">
      <c r="A250" s="1">
        <v>45222.652777777781</v>
      </c>
      <c r="B250" s="2">
        <v>45222.652777777781</v>
      </c>
      <c r="C250" t="s">
        <v>1080</v>
      </c>
      <c r="D250">
        <v>46</v>
      </c>
      <c r="E250">
        <f>Logs_Reseau_Part56[[#This Row],[Duree_Panne_Min]]/60</f>
        <v>0.76666666666666672</v>
      </c>
      <c r="F250" t="s">
        <v>739</v>
      </c>
      <c r="G250" t="str">
        <f>IFERROR(VLOOKUP(Logs_Reseau_Part56[[#This Row],[Cell_ID]],Registre_Maintenance_Part[[ID_Antenne]:[Colonne2]],2,FALSE),"")</f>
        <v>Lomami</v>
      </c>
      <c r="H250">
        <f>IFERROR(VLOOKUP(Logs_Reseau_Part56[[#This Row],[Cell_ID]],Registre_Maintenance_Part[[ID_Antenne]:[Colonne2]],3,FALSE),"")</f>
        <v>-11.266565999999999</v>
      </c>
      <c r="I250">
        <f>IFERROR(VLOOKUP(Logs_Reseau_Part56[[#This Row],[Cell_ID]],Registre_Maintenance_Part[[ID_Antenne]:[Colonne2]],4,FALSE),"")</f>
        <v>26.245055000000001</v>
      </c>
      <c r="J250" t="str">
        <f>IFERROR(VLOOKUP(Logs_Reseau_Part56[[#This Row],[Cell_ID]],Registre_Maintenance_Part[[ID_Antenne]:[Colonne2]],5,FALSE),"")</f>
        <v>3G</v>
      </c>
      <c r="K250" t="str">
        <f>IFERROR(VLOOKUP(Logs_Reseau_Part56[[#This Row],[Cell_ID]],Registre_Maintenance_Part[[ID_Antenne]:[Colonne2]],6,FALSE),"")</f>
        <v>Ericsson</v>
      </c>
    </row>
    <row r="251" spans="1:11" x14ac:dyDescent="0.3">
      <c r="A251" s="1">
        <v>45224.482638888891</v>
      </c>
      <c r="B251" s="2">
        <v>45224.482638888891</v>
      </c>
      <c r="C251" t="s">
        <v>751</v>
      </c>
      <c r="D251">
        <v>95</v>
      </c>
      <c r="E251">
        <f>Logs_Reseau_Part56[[#This Row],[Duree_Panne_Min]]/60</f>
        <v>1.5833333333333333</v>
      </c>
      <c r="F251" t="s">
        <v>737</v>
      </c>
      <c r="G251" t="str">
        <f>IFERROR(VLOOKUP(Logs_Reseau_Part56[[#This Row],[Cell_ID]],Registre_Maintenance_Part[[ID_Antenne]:[Colonne2]],2,FALSE),"")</f>
        <v>Lomami</v>
      </c>
      <c r="H251">
        <f>IFERROR(VLOOKUP(Logs_Reseau_Part56[[#This Row],[Cell_ID]],Registre_Maintenance_Part[[ID_Antenne]:[Colonne2]],3,FALSE),"")</f>
        <v>-2.2371569999999998</v>
      </c>
      <c r="I251">
        <f>IFERROR(VLOOKUP(Logs_Reseau_Part56[[#This Row],[Cell_ID]],Registre_Maintenance_Part[[ID_Antenne]:[Colonne2]],4,FALSE),"")</f>
        <v>25.926188</v>
      </c>
      <c r="J251" t="str">
        <f>IFERROR(VLOOKUP(Logs_Reseau_Part56[[#This Row],[Cell_ID]],Registre_Maintenance_Part[[ID_Antenne]:[Colonne2]],5,FALSE),"")</f>
        <v>3G</v>
      </c>
      <c r="K251" t="str">
        <f>IFERROR(VLOOKUP(Logs_Reseau_Part56[[#This Row],[Cell_ID]],Registre_Maintenance_Part[[ID_Antenne]:[Colonne2]],6,FALSE),"")</f>
        <v>Nokia</v>
      </c>
    </row>
    <row r="252" spans="1:11" x14ac:dyDescent="0.3">
      <c r="A252" s="1">
        <v>45226.100694444453</v>
      </c>
      <c r="B252" s="2">
        <v>45226.100694444453</v>
      </c>
      <c r="C252" t="s">
        <v>907</v>
      </c>
      <c r="D252">
        <v>110</v>
      </c>
      <c r="E252">
        <f>Logs_Reseau_Part56[[#This Row],[Duree_Panne_Min]]/60</f>
        <v>1.8333333333333333</v>
      </c>
      <c r="F252" t="s">
        <v>737</v>
      </c>
      <c r="G252" t="str">
        <f>IFERROR(VLOOKUP(Logs_Reseau_Part56[[#This Row],[Cell_ID]],Registre_Maintenance_Part[[ID_Antenne]:[Colonne2]],2,FALSE),"")</f>
        <v>Lomami</v>
      </c>
      <c r="H252">
        <f>IFERROR(VLOOKUP(Logs_Reseau_Part56[[#This Row],[Cell_ID]],Registre_Maintenance_Part[[ID_Antenne]:[Colonne2]],3,FALSE),"")</f>
        <v>-2.2681789999999999</v>
      </c>
      <c r="I252">
        <f>IFERROR(VLOOKUP(Logs_Reseau_Part56[[#This Row],[Cell_ID]],Registre_Maintenance_Part[[ID_Antenne]:[Colonne2]],4,FALSE),"")</f>
        <v>25.699068</v>
      </c>
      <c r="J252" t="str">
        <f>IFERROR(VLOOKUP(Logs_Reseau_Part56[[#This Row],[Cell_ID]],Registre_Maintenance_Part[[ID_Antenne]:[Colonne2]],5,FALSE),"")</f>
        <v>3G</v>
      </c>
      <c r="K252" t="str">
        <f>IFERROR(VLOOKUP(Logs_Reseau_Part56[[#This Row],[Cell_ID]],Registre_Maintenance_Part[[ID_Antenne]:[Colonne2]],6,FALSE),"")</f>
        <v>ZTE</v>
      </c>
    </row>
    <row r="253" spans="1:11" x14ac:dyDescent="0.3">
      <c r="A253" s="1">
        <v>45229.738194444442</v>
      </c>
      <c r="B253" s="2">
        <v>45229.738194444442</v>
      </c>
      <c r="C253" t="s">
        <v>835</v>
      </c>
      <c r="D253">
        <v>36</v>
      </c>
      <c r="E253">
        <f>Logs_Reseau_Part56[[#This Row],[Duree_Panne_Min]]/60</f>
        <v>0.6</v>
      </c>
      <c r="F253" t="s">
        <v>737</v>
      </c>
      <c r="G253" t="str">
        <f>IFERROR(VLOOKUP(Logs_Reseau_Part56[[#This Row],[Cell_ID]],Registre_Maintenance_Part[[ID_Antenne]:[Colonne2]],2,FALSE),"")</f>
        <v>Lomami</v>
      </c>
      <c r="H253">
        <f>IFERROR(VLOOKUP(Logs_Reseau_Part56[[#This Row],[Cell_ID]],Registre_Maintenance_Part[[ID_Antenne]:[Colonne2]],3,FALSE),"")</f>
        <v>-11.218453999999999</v>
      </c>
      <c r="I253">
        <f>IFERROR(VLOOKUP(Logs_Reseau_Part56[[#This Row],[Cell_ID]],Registre_Maintenance_Part[[ID_Antenne]:[Colonne2]],4,FALSE),"")</f>
        <v>28.230025000000001</v>
      </c>
      <c r="J253" t="str">
        <f>IFERROR(VLOOKUP(Logs_Reseau_Part56[[#This Row],[Cell_ID]],Registre_Maintenance_Part[[ID_Antenne]:[Colonne2]],5,FALSE),"")</f>
        <v>5G</v>
      </c>
      <c r="K253" t="str">
        <f>IFERROR(VLOOKUP(Logs_Reseau_Part56[[#This Row],[Cell_ID]],Registre_Maintenance_Part[[ID_Antenne]:[Colonne2]],6,FALSE),"")</f>
        <v>ZTE</v>
      </c>
    </row>
    <row r="254" spans="1:11" x14ac:dyDescent="0.3">
      <c r="A254" s="1">
        <v>45230.228472222218</v>
      </c>
      <c r="B254" s="2">
        <v>45230.228472222218</v>
      </c>
      <c r="C254" t="s">
        <v>862</v>
      </c>
      <c r="D254">
        <v>39</v>
      </c>
      <c r="E254">
        <f>Logs_Reseau_Part56[[#This Row],[Duree_Panne_Min]]/60</f>
        <v>0.65</v>
      </c>
      <c r="F254" t="s">
        <v>739</v>
      </c>
      <c r="G254" t="str">
        <f>IFERROR(VLOOKUP(Logs_Reseau_Part56[[#This Row],[Cell_ID]],Registre_Maintenance_Part[[ID_Antenne]:[Colonne2]],2,FALSE),"")</f>
        <v>Lomami</v>
      </c>
      <c r="H254">
        <f>IFERROR(VLOOKUP(Logs_Reseau_Part56[[#This Row],[Cell_ID]],Registre_Maintenance_Part[[ID_Antenne]:[Colonne2]],3,FALSE),"")</f>
        <v>-5.7035130000000001</v>
      </c>
      <c r="I254">
        <f>IFERROR(VLOOKUP(Logs_Reseau_Part56[[#This Row],[Cell_ID]],Registre_Maintenance_Part[[ID_Antenne]:[Colonne2]],4,FALSE),"")</f>
        <v>14.331479</v>
      </c>
      <c r="J254" t="str">
        <f>IFERROR(VLOOKUP(Logs_Reseau_Part56[[#This Row],[Cell_ID]],Registre_Maintenance_Part[[ID_Antenne]:[Colonne2]],5,FALSE),"")</f>
        <v>5G</v>
      </c>
      <c r="K254" t="str">
        <f>IFERROR(VLOOKUP(Logs_Reseau_Part56[[#This Row],[Cell_ID]],Registre_Maintenance_Part[[ID_Antenne]:[Colonne2]],6,FALSE),"")</f>
        <v>Nokia</v>
      </c>
    </row>
    <row r="255" spans="1:11" x14ac:dyDescent="0.3">
      <c r="A255" s="1">
        <v>45204.26458333333</v>
      </c>
      <c r="B255" s="2">
        <v>45204.26458333333</v>
      </c>
      <c r="C255" t="s">
        <v>1119</v>
      </c>
      <c r="D255">
        <v>90</v>
      </c>
      <c r="E255">
        <f>Logs_Reseau_Part56[[#This Row],[Duree_Panne_Min]]/60</f>
        <v>1.5</v>
      </c>
      <c r="F255" t="s">
        <v>739</v>
      </c>
      <c r="G255" t="str">
        <f>IFERROR(VLOOKUP(Logs_Reseau_Part56[[#This Row],[Cell_ID]],Registre_Maintenance_Part[[ID_Antenne]:[Colonne2]],2,FALSE),"")</f>
        <v>Lualaba</v>
      </c>
      <c r="H255">
        <f>IFERROR(VLOOKUP(Logs_Reseau_Part56[[#This Row],[Cell_ID]],Registre_Maintenance_Part[[ID_Antenne]:[Colonne2]],3,FALSE),"")</f>
        <v>2.0392079999999999</v>
      </c>
      <c r="I255">
        <f>IFERROR(VLOOKUP(Logs_Reseau_Part56[[#This Row],[Cell_ID]],Registre_Maintenance_Part[[ID_Antenne]:[Colonne2]],4,FALSE),"")</f>
        <v>19.090841999999999</v>
      </c>
      <c r="J255" t="str">
        <f>IFERROR(VLOOKUP(Logs_Reseau_Part56[[#This Row],[Cell_ID]],Registre_Maintenance_Part[[ID_Antenne]:[Colonne2]],5,FALSE),"")</f>
        <v>4G</v>
      </c>
      <c r="K255" t="str">
        <f>IFERROR(VLOOKUP(Logs_Reseau_Part56[[#This Row],[Cell_ID]],Registre_Maintenance_Part[[ID_Antenne]:[Colonne2]],6,FALSE),"")</f>
        <v>Nokia</v>
      </c>
    </row>
    <row r="256" spans="1:11" x14ac:dyDescent="0.3">
      <c r="A256" s="1">
        <v>45207.149305555547</v>
      </c>
      <c r="B256" s="2">
        <v>45207.149305555547</v>
      </c>
      <c r="C256" t="s">
        <v>912</v>
      </c>
      <c r="D256">
        <v>101</v>
      </c>
      <c r="E256">
        <f>Logs_Reseau_Part56[[#This Row],[Duree_Panne_Min]]/60</f>
        <v>1.6833333333333333</v>
      </c>
      <c r="F256" t="s">
        <v>739</v>
      </c>
      <c r="G256" t="str">
        <f>IFERROR(VLOOKUP(Logs_Reseau_Part56[[#This Row],[Cell_ID]],Registre_Maintenance_Part[[ID_Antenne]:[Colonne2]],2,FALSE),"")</f>
        <v>Lualaba</v>
      </c>
      <c r="H256">
        <f>IFERROR(VLOOKUP(Logs_Reseau_Part56[[#This Row],[Cell_ID]],Registre_Maintenance_Part[[ID_Antenne]:[Colonne2]],3,FALSE),"")</f>
        <v>-10.872631999999999</v>
      </c>
      <c r="I256">
        <f>IFERROR(VLOOKUP(Logs_Reseau_Part56[[#This Row],[Cell_ID]],Registre_Maintenance_Part[[ID_Antenne]:[Colonne2]],4,FALSE),"")</f>
        <v>12.773279</v>
      </c>
      <c r="J256" t="str">
        <f>IFERROR(VLOOKUP(Logs_Reseau_Part56[[#This Row],[Cell_ID]],Registre_Maintenance_Part[[ID_Antenne]:[Colonne2]],5,FALSE),"")</f>
        <v>3G</v>
      </c>
      <c r="K256" t="str">
        <f>IFERROR(VLOOKUP(Logs_Reseau_Part56[[#This Row],[Cell_ID]],Registre_Maintenance_Part[[ID_Antenne]:[Colonne2]],6,FALSE),"")</f>
        <v>ZTE</v>
      </c>
    </row>
    <row r="257" spans="1:11" x14ac:dyDescent="0.3">
      <c r="A257" s="1">
        <v>45208.52847222222</v>
      </c>
      <c r="B257" s="2">
        <v>45208.52847222222</v>
      </c>
      <c r="C257" t="s">
        <v>912</v>
      </c>
      <c r="D257">
        <v>33</v>
      </c>
      <c r="E257">
        <f>Logs_Reseau_Part56[[#This Row],[Duree_Panne_Min]]/60</f>
        <v>0.55000000000000004</v>
      </c>
      <c r="F257" t="s">
        <v>737</v>
      </c>
      <c r="G257" t="str">
        <f>IFERROR(VLOOKUP(Logs_Reseau_Part56[[#This Row],[Cell_ID]],Registre_Maintenance_Part[[ID_Antenne]:[Colonne2]],2,FALSE),"")</f>
        <v>Lualaba</v>
      </c>
      <c r="H257">
        <f>IFERROR(VLOOKUP(Logs_Reseau_Part56[[#This Row],[Cell_ID]],Registre_Maintenance_Part[[ID_Antenne]:[Colonne2]],3,FALSE),"")</f>
        <v>-10.872631999999999</v>
      </c>
      <c r="I257">
        <f>IFERROR(VLOOKUP(Logs_Reseau_Part56[[#This Row],[Cell_ID]],Registre_Maintenance_Part[[ID_Antenne]:[Colonne2]],4,FALSE),"")</f>
        <v>12.773279</v>
      </c>
      <c r="J257" t="str">
        <f>IFERROR(VLOOKUP(Logs_Reseau_Part56[[#This Row],[Cell_ID]],Registre_Maintenance_Part[[ID_Antenne]:[Colonne2]],5,FALSE),"")</f>
        <v>3G</v>
      </c>
      <c r="K257" t="str">
        <f>IFERROR(VLOOKUP(Logs_Reseau_Part56[[#This Row],[Cell_ID]],Registre_Maintenance_Part[[ID_Antenne]:[Colonne2]],6,FALSE),"")</f>
        <v>ZTE</v>
      </c>
    </row>
    <row r="258" spans="1:11" x14ac:dyDescent="0.3">
      <c r="A258" s="1">
        <v>45209.777083333327</v>
      </c>
      <c r="B258" s="2">
        <v>45209.777083333327</v>
      </c>
      <c r="C258" t="s">
        <v>918</v>
      </c>
      <c r="D258">
        <v>40</v>
      </c>
      <c r="E258">
        <f>Logs_Reseau_Part56[[#This Row],[Duree_Panne_Min]]/60</f>
        <v>0.66666666666666663</v>
      </c>
      <c r="F258" t="s">
        <v>739</v>
      </c>
      <c r="G258" t="str">
        <f>IFERROR(VLOOKUP(Logs_Reseau_Part56[[#This Row],[Cell_ID]],Registre_Maintenance_Part[[ID_Antenne]:[Colonne2]],2,FALSE),"")</f>
        <v>Lualaba</v>
      </c>
      <c r="H258">
        <f>IFERROR(VLOOKUP(Logs_Reseau_Part56[[#This Row],[Cell_ID]],Registre_Maintenance_Part[[ID_Antenne]:[Colonne2]],3,FALSE),"")</f>
        <v>-9.5243310000000001</v>
      </c>
      <c r="I258">
        <f>IFERROR(VLOOKUP(Logs_Reseau_Part56[[#This Row],[Cell_ID]],Registre_Maintenance_Part[[ID_Antenne]:[Colonne2]],4,FALSE),"")</f>
        <v>30.541212000000002</v>
      </c>
      <c r="J258" t="str">
        <f>IFERROR(VLOOKUP(Logs_Reseau_Part56[[#This Row],[Cell_ID]],Registre_Maintenance_Part[[ID_Antenne]:[Colonne2]],5,FALSE),"")</f>
        <v>3G</v>
      </c>
      <c r="K258" t="str">
        <f>IFERROR(VLOOKUP(Logs_Reseau_Part56[[#This Row],[Cell_ID]],Registre_Maintenance_Part[[ID_Antenne]:[Colonne2]],6,FALSE),"")</f>
        <v>Ericsson</v>
      </c>
    </row>
    <row r="259" spans="1:11" x14ac:dyDescent="0.3">
      <c r="A259" s="1">
        <v>45209.898611111108</v>
      </c>
      <c r="B259" s="2">
        <v>45209.898611111108</v>
      </c>
      <c r="C259" t="s">
        <v>912</v>
      </c>
      <c r="D259">
        <v>29</v>
      </c>
      <c r="E259">
        <f>Logs_Reseau_Part56[[#This Row],[Duree_Panne_Min]]/60</f>
        <v>0.48333333333333334</v>
      </c>
      <c r="F259" t="s">
        <v>737</v>
      </c>
      <c r="G259" t="str">
        <f>IFERROR(VLOOKUP(Logs_Reseau_Part56[[#This Row],[Cell_ID]],Registre_Maintenance_Part[[ID_Antenne]:[Colonne2]],2,FALSE),"")</f>
        <v>Lualaba</v>
      </c>
      <c r="H259">
        <f>IFERROR(VLOOKUP(Logs_Reseau_Part56[[#This Row],[Cell_ID]],Registre_Maintenance_Part[[ID_Antenne]:[Colonne2]],3,FALSE),"")</f>
        <v>-10.872631999999999</v>
      </c>
      <c r="I259">
        <f>IFERROR(VLOOKUP(Logs_Reseau_Part56[[#This Row],[Cell_ID]],Registre_Maintenance_Part[[ID_Antenne]:[Colonne2]],4,FALSE),"")</f>
        <v>12.773279</v>
      </c>
      <c r="J259" t="str">
        <f>IFERROR(VLOOKUP(Logs_Reseau_Part56[[#This Row],[Cell_ID]],Registre_Maintenance_Part[[ID_Antenne]:[Colonne2]],5,FALSE),"")</f>
        <v>3G</v>
      </c>
      <c r="K259" t="str">
        <f>IFERROR(VLOOKUP(Logs_Reseau_Part56[[#This Row],[Cell_ID]],Registre_Maintenance_Part[[ID_Antenne]:[Colonne2]],6,FALSE),"")</f>
        <v>ZTE</v>
      </c>
    </row>
    <row r="260" spans="1:11" x14ac:dyDescent="0.3">
      <c r="A260" s="1">
        <v>45210.366666666669</v>
      </c>
      <c r="B260" s="2">
        <v>45210.366666666669</v>
      </c>
      <c r="C260" t="s">
        <v>1194</v>
      </c>
      <c r="D260">
        <v>67</v>
      </c>
      <c r="E260">
        <f>Logs_Reseau_Part56[[#This Row],[Duree_Panne_Min]]/60</f>
        <v>1.1166666666666667</v>
      </c>
      <c r="F260" t="s">
        <v>737</v>
      </c>
      <c r="G260" t="str">
        <f>IFERROR(VLOOKUP(Logs_Reseau_Part56[[#This Row],[Cell_ID]],Registre_Maintenance_Part[[ID_Antenne]:[Colonne2]],2,FALSE),"")</f>
        <v>Lualaba</v>
      </c>
      <c r="H260">
        <f>IFERROR(VLOOKUP(Logs_Reseau_Part56[[#This Row],[Cell_ID]],Registre_Maintenance_Part[[ID_Antenne]:[Colonne2]],3,FALSE),"")</f>
        <v>-8.0301989999999996</v>
      </c>
      <c r="I260">
        <f>IFERROR(VLOOKUP(Logs_Reseau_Part56[[#This Row],[Cell_ID]],Registre_Maintenance_Part[[ID_Antenne]:[Colonne2]],4,FALSE),"")</f>
        <v>24.122495000000001</v>
      </c>
      <c r="J260" t="str">
        <f>IFERROR(VLOOKUP(Logs_Reseau_Part56[[#This Row],[Cell_ID]],Registre_Maintenance_Part[[ID_Antenne]:[Colonne2]],5,FALSE),"")</f>
        <v>5G</v>
      </c>
      <c r="K260" t="str">
        <f>IFERROR(VLOOKUP(Logs_Reseau_Part56[[#This Row],[Cell_ID]],Registre_Maintenance_Part[[ID_Antenne]:[Colonne2]],6,FALSE),"")</f>
        <v>ZTE</v>
      </c>
    </row>
    <row r="261" spans="1:11" x14ac:dyDescent="0.3">
      <c r="A261" s="1">
        <v>45210.45</v>
      </c>
      <c r="B261" s="2">
        <v>45210.45</v>
      </c>
      <c r="C261" t="s">
        <v>874</v>
      </c>
      <c r="D261">
        <v>66</v>
      </c>
      <c r="E261">
        <f>Logs_Reseau_Part56[[#This Row],[Duree_Panne_Min]]/60</f>
        <v>1.1000000000000001</v>
      </c>
      <c r="F261" t="s">
        <v>734</v>
      </c>
      <c r="G261" t="str">
        <f>IFERROR(VLOOKUP(Logs_Reseau_Part56[[#This Row],[Cell_ID]],Registre_Maintenance_Part[[ID_Antenne]:[Colonne2]],2,FALSE),"")</f>
        <v>Lualaba</v>
      </c>
      <c r="H261">
        <f>IFERROR(VLOOKUP(Logs_Reseau_Part56[[#This Row],[Cell_ID]],Registre_Maintenance_Part[[ID_Antenne]:[Colonne2]],3,FALSE),"")</f>
        <v>-9.7803979999999999</v>
      </c>
      <c r="I261">
        <f>IFERROR(VLOOKUP(Logs_Reseau_Part56[[#This Row],[Cell_ID]],Registre_Maintenance_Part[[ID_Antenne]:[Colonne2]],4,FALSE),"")</f>
        <v>17.686595000000001</v>
      </c>
      <c r="J261" t="str">
        <f>IFERROR(VLOOKUP(Logs_Reseau_Part56[[#This Row],[Cell_ID]],Registre_Maintenance_Part[[ID_Antenne]:[Colonne2]],5,FALSE),"")</f>
        <v>4G</v>
      </c>
      <c r="K261" t="str">
        <f>IFERROR(VLOOKUP(Logs_Reseau_Part56[[#This Row],[Cell_ID]],Registre_Maintenance_Part[[ID_Antenne]:[Colonne2]],6,FALSE),"")</f>
        <v>Ericsson</v>
      </c>
    </row>
    <row r="262" spans="1:11" x14ac:dyDescent="0.3">
      <c r="A262" s="1">
        <v>45211.316666666673</v>
      </c>
      <c r="B262" s="2">
        <v>45211.316666666673</v>
      </c>
      <c r="C262" t="s">
        <v>1068</v>
      </c>
      <c r="D262">
        <v>93</v>
      </c>
      <c r="E262">
        <f>Logs_Reseau_Part56[[#This Row],[Duree_Panne_Min]]/60</f>
        <v>1.55</v>
      </c>
      <c r="F262" t="s">
        <v>739</v>
      </c>
      <c r="G262" t="str">
        <f>IFERROR(VLOOKUP(Logs_Reseau_Part56[[#This Row],[Cell_ID]],Registre_Maintenance_Part[[ID_Antenne]:[Colonne2]],2,FALSE),"")</f>
        <v>Lualaba</v>
      </c>
      <c r="H262">
        <f>IFERROR(VLOOKUP(Logs_Reseau_Part56[[#This Row],[Cell_ID]],Registre_Maintenance_Part[[ID_Antenne]:[Colonne2]],3,FALSE),"")</f>
        <v>1.286548</v>
      </c>
      <c r="I262">
        <f>IFERROR(VLOOKUP(Logs_Reseau_Part56[[#This Row],[Cell_ID]],Registre_Maintenance_Part[[ID_Antenne]:[Colonne2]],4,FALSE),"")</f>
        <v>29.823702999999998</v>
      </c>
      <c r="J262" t="str">
        <f>IFERROR(VLOOKUP(Logs_Reseau_Part56[[#This Row],[Cell_ID]],Registre_Maintenance_Part[[ID_Antenne]:[Colonne2]],5,FALSE),"")</f>
        <v>4G</v>
      </c>
      <c r="K262" t="str">
        <f>IFERROR(VLOOKUP(Logs_Reseau_Part56[[#This Row],[Cell_ID]],Registre_Maintenance_Part[[ID_Antenne]:[Colonne2]],6,FALSE),"")</f>
        <v>ZTE</v>
      </c>
    </row>
    <row r="263" spans="1:11" x14ac:dyDescent="0.3">
      <c r="A263" s="1">
        <v>45214.960416666669</v>
      </c>
      <c r="B263" s="2">
        <v>45214.960416666669</v>
      </c>
      <c r="C263" t="s">
        <v>786</v>
      </c>
      <c r="D263">
        <v>38</v>
      </c>
      <c r="E263">
        <f>Logs_Reseau_Part56[[#This Row],[Duree_Panne_Min]]/60</f>
        <v>0.6333333333333333</v>
      </c>
      <c r="F263" t="s">
        <v>734</v>
      </c>
      <c r="G263" t="str">
        <f>IFERROR(VLOOKUP(Logs_Reseau_Part56[[#This Row],[Cell_ID]],Registre_Maintenance_Part[[ID_Antenne]:[Colonne2]],2,FALSE),"")</f>
        <v>Lualaba</v>
      </c>
      <c r="H263">
        <f>IFERROR(VLOOKUP(Logs_Reseau_Part56[[#This Row],[Cell_ID]],Registre_Maintenance_Part[[ID_Antenne]:[Colonne2]],3,FALSE),"")</f>
        <v>-11.710407999999999</v>
      </c>
      <c r="I263">
        <f>IFERROR(VLOOKUP(Logs_Reseau_Part56[[#This Row],[Cell_ID]],Registre_Maintenance_Part[[ID_Antenne]:[Colonne2]],4,FALSE),"")</f>
        <v>23.741330999999999</v>
      </c>
      <c r="J263" t="str">
        <f>IFERROR(VLOOKUP(Logs_Reseau_Part56[[#This Row],[Cell_ID]],Registre_Maintenance_Part[[ID_Antenne]:[Colonne2]],5,FALSE),"")</f>
        <v>3G</v>
      </c>
      <c r="K263" t="str">
        <f>IFERROR(VLOOKUP(Logs_Reseau_Part56[[#This Row],[Cell_ID]],Registre_Maintenance_Part[[ID_Antenne]:[Colonne2]],6,FALSE),"")</f>
        <v>Huawei</v>
      </c>
    </row>
    <row r="264" spans="1:11" x14ac:dyDescent="0.3">
      <c r="A264" s="1">
        <v>45216.183333333327</v>
      </c>
      <c r="B264" s="2">
        <v>45216.183333333327</v>
      </c>
      <c r="C264" t="s">
        <v>1040</v>
      </c>
      <c r="D264">
        <v>67</v>
      </c>
      <c r="E264">
        <f>Logs_Reseau_Part56[[#This Row],[Duree_Panne_Min]]/60</f>
        <v>1.1166666666666667</v>
      </c>
      <c r="F264" t="s">
        <v>737</v>
      </c>
      <c r="G264" t="str">
        <f>IFERROR(VLOOKUP(Logs_Reseau_Part56[[#This Row],[Cell_ID]],Registre_Maintenance_Part[[ID_Antenne]:[Colonne2]],2,FALSE),"")</f>
        <v>Lualaba</v>
      </c>
      <c r="H264">
        <f>IFERROR(VLOOKUP(Logs_Reseau_Part56[[#This Row],[Cell_ID]],Registre_Maintenance_Part[[ID_Antenne]:[Colonne2]],3,FALSE),"")</f>
        <v>-10.967288</v>
      </c>
      <c r="I264">
        <f>IFERROR(VLOOKUP(Logs_Reseau_Part56[[#This Row],[Cell_ID]],Registre_Maintenance_Part[[ID_Antenne]:[Colonne2]],4,FALSE),"")</f>
        <v>17.617781000000001</v>
      </c>
      <c r="J264" t="str">
        <f>IFERROR(VLOOKUP(Logs_Reseau_Part56[[#This Row],[Cell_ID]],Registre_Maintenance_Part[[ID_Antenne]:[Colonne2]],5,FALSE),"")</f>
        <v>4G</v>
      </c>
      <c r="K264" t="str">
        <f>IFERROR(VLOOKUP(Logs_Reseau_Part56[[#This Row],[Cell_ID]],Registre_Maintenance_Part[[ID_Antenne]:[Colonne2]],6,FALSE),"")</f>
        <v>Ericsson</v>
      </c>
    </row>
    <row r="265" spans="1:11" x14ac:dyDescent="0.3">
      <c r="A265" s="1">
        <v>45216.729861111111</v>
      </c>
      <c r="B265" s="2">
        <v>45216.729861111111</v>
      </c>
      <c r="C265" t="s">
        <v>918</v>
      </c>
      <c r="D265">
        <v>78</v>
      </c>
      <c r="E265">
        <f>Logs_Reseau_Part56[[#This Row],[Duree_Panne_Min]]/60</f>
        <v>1.3</v>
      </c>
      <c r="F265" t="s">
        <v>737</v>
      </c>
      <c r="G265" t="str">
        <f>IFERROR(VLOOKUP(Logs_Reseau_Part56[[#This Row],[Cell_ID]],Registre_Maintenance_Part[[ID_Antenne]:[Colonne2]],2,FALSE),"")</f>
        <v>Lualaba</v>
      </c>
      <c r="H265">
        <f>IFERROR(VLOOKUP(Logs_Reseau_Part56[[#This Row],[Cell_ID]],Registre_Maintenance_Part[[ID_Antenne]:[Colonne2]],3,FALSE),"")</f>
        <v>-9.5243310000000001</v>
      </c>
      <c r="I265">
        <f>IFERROR(VLOOKUP(Logs_Reseau_Part56[[#This Row],[Cell_ID]],Registre_Maintenance_Part[[ID_Antenne]:[Colonne2]],4,FALSE),"")</f>
        <v>30.541212000000002</v>
      </c>
      <c r="J265" t="str">
        <f>IFERROR(VLOOKUP(Logs_Reseau_Part56[[#This Row],[Cell_ID]],Registre_Maintenance_Part[[ID_Antenne]:[Colonne2]],5,FALSE),"")</f>
        <v>3G</v>
      </c>
      <c r="K265" t="str">
        <f>IFERROR(VLOOKUP(Logs_Reseau_Part56[[#This Row],[Cell_ID]],Registre_Maintenance_Part[[ID_Antenne]:[Colonne2]],6,FALSE),"")</f>
        <v>Ericsson</v>
      </c>
    </row>
    <row r="266" spans="1:11" x14ac:dyDescent="0.3">
      <c r="A266" s="1">
        <v>45217.999305555553</v>
      </c>
      <c r="B266" s="2">
        <v>45217.999305555553</v>
      </c>
      <c r="C266" t="s">
        <v>1040</v>
      </c>
      <c r="D266">
        <v>38</v>
      </c>
      <c r="E266">
        <f>Logs_Reseau_Part56[[#This Row],[Duree_Panne_Min]]/60</f>
        <v>0.6333333333333333</v>
      </c>
      <c r="F266" t="s">
        <v>737</v>
      </c>
      <c r="G266" t="str">
        <f>IFERROR(VLOOKUP(Logs_Reseau_Part56[[#This Row],[Cell_ID]],Registre_Maintenance_Part[[ID_Antenne]:[Colonne2]],2,FALSE),"")</f>
        <v>Lualaba</v>
      </c>
      <c r="H266">
        <f>IFERROR(VLOOKUP(Logs_Reseau_Part56[[#This Row],[Cell_ID]],Registre_Maintenance_Part[[ID_Antenne]:[Colonne2]],3,FALSE),"")</f>
        <v>-10.967288</v>
      </c>
      <c r="I266">
        <f>IFERROR(VLOOKUP(Logs_Reseau_Part56[[#This Row],[Cell_ID]],Registre_Maintenance_Part[[ID_Antenne]:[Colonne2]],4,FALSE),"")</f>
        <v>17.617781000000001</v>
      </c>
      <c r="J266" t="str">
        <f>IFERROR(VLOOKUP(Logs_Reseau_Part56[[#This Row],[Cell_ID]],Registre_Maintenance_Part[[ID_Antenne]:[Colonne2]],5,FALSE),"")</f>
        <v>4G</v>
      </c>
      <c r="K266" t="str">
        <f>IFERROR(VLOOKUP(Logs_Reseau_Part56[[#This Row],[Cell_ID]],Registre_Maintenance_Part[[ID_Antenne]:[Colonne2]],6,FALSE),"")</f>
        <v>Ericsson</v>
      </c>
    </row>
    <row r="267" spans="1:11" x14ac:dyDescent="0.3">
      <c r="A267" s="1">
        <v>45220.754166666673</v>
      </c>
      <c r="B267" s="2">
        <v>45220.754166666673</v>
      </c>
      <c r="C267" t="s">
        <v>874</v>
      </c>
      <c r="D267">
        <v>85</v>
      </c>
      <c r="E267">
        <f>Logs_Reseau_Part56[[#This Row],[Duree_Panne_Min]]/60</f>
        <v>1.4166666666666667</v>
      </c>
      <c r="F267" t="s">
        <v>734</v>
      </c>
      <c r="G267" t="str">
        <f>IFERROR(VLOOKUP(Logs_Reseau_Part56[[#This Row],[Cell_ID]],Registre_Maintenance_Part[[ID_Antenne]:[Colonne2]],2,FALSE),"")</f>
        <v>Lualaba</v>
      </c>
      <c r="H267">
        <f>IFERROR(VLOOKUP(Logs_Reseau_Part56[[#This Row],[Cell_ID]],Registre_Maintenance_Part[[ID_Antenne]:[Colonne2]],3,FALSE),"")</f>
        <v>-9.7803979999999999</v>
      </c>
      <c r="I267">
        <f>IFERROR(VLOOKUP(Logs_Reseau_Part56[[#This Row],[Cell_ID]],Registre_Maintenance_Part[[ID_Antenne]:[Colonne2]],4,FALSE),"")</f>
        <v>17.686595000000001</v>
      </c>
      <c r="J267" t="str">
        <f>IFERROR(VLOOKUP(Logs_Reseau_Part56[[#This Row],[Cell_ID]],Registre_Maintenance_Part[[ID_Antenne]:[Colonne2]],5,FALSE),"")</f>
        <v>4G</v>
      </c>
      <c r="K267" t="str">
        <f>IFERROR(VLOOKUP(Logs_Reseau_Part56[[#This Row],[Cell_ID]],Registre_Maintenance_Part[[ID_Antenne]:[Colonne2]],6,FALSE),"")</f>
        <v>Ericsson</v>
      </c>
    </row>
    <row r="268" spans="1:11" x14ac:dyDescent="0.3">
      <c r="A268" s="1">
        <v>45221.049305555563</v>
      </c>
      <c r="B268" s="2">
        <v>45221.049305555563</v>
      </c>
      <c r="C268" t="s">
        <v>1068</v>
      </c>
      <c r="D268">
        <v>53</v>
      </c>
      <c r="E268">
        <f>Logs_Reseau_Part56[[#This Row],[Duree_Panne_Min]]/60</f>
        <v>0.8833333333333333</v>
      </c>
      <c r="F268" t="s">
        <v>737</v>
      </c>
      <c r="G268" t="str">
        <f>IFERROR(VLOOKUP(Logs_Reseau_Part56[[#This Row],[Cell_ID]],Registre_Maintenance_Part[[ID_Antenne]:[Colonne2]],2,FALSE),"")</f>
        <v>Lualaba</v>
      </c>
      <c r="H268">
        <f>IFERROR(VLOOKUP(Logs_Reseau_Part56[[#This Row],[Cell_ID]],Registre_Maintenance_Part[[ID_Antenne]:[Colonne2]],3,FALSE),"")</f>
        <v>1.286548</v>
      </c>
      <c r="I268">
        <f>IFERROR(VLOOKUP(Logs_Reseau_Part56[[#This Row],[Cell_ID]],Registre_Maintenance_Part[[ID_Antenne]:[Colonne2]],4,FALSE),"")</f>
        <v>29.823702999999998</v>
      </c>
      <c r="J268" t="str">
        <f>IFERROR(VLOOKUP(Logs_Reseau_Part56[[#This Row],[Cell_ID]],Registre_Maintenance_Part[[ID_Antenne]:[Colonne2]],5,FALSE),"")</f>
        <v>4G</v>
      </c>
      <c r="K268" t="str">
        <f>IFERROR(VLOOKUP(Logs_Reseau_Part56[[#This Row],[Cell_ID]],Registre_Maintenance_Part[[ID_Antenne]:[Colonne2]],6,FALSE),"")</f>
        <v>ZTE</v>
      </c>
    </row>
    <row r="269" spans="1:11" x14ac:dyDescent="0.3">
      <c r="A269" s="1">
        <v>45223.611111111109</v>
      </c>
      <c r="B269" s="2">
        <v>45223.611111111109</v>
      </c>
      <c r="C269" t="s">
        <v>1194</v>
      </c>
      <c r="D269">
        <v>88</v>
      </c>
      <c r="E269">
        <f>Logs_Reseau_Part56[[#This Row],[Duree_Panne_Min]]/60</f>
        <v>1.4666666666666666</v>
      </c>
      <c r="F269" t="s">
        <v>734</v>
      </c>
      <c r="G269" t="str">
        <f>IFERROR(VLOOKUP(Logs_Reseau_Part56[[#This Row],[Cell_ID]],Registre_Maintenance_Part[[ID_Antenne]:[Colonne2]],2,FALSE),"")</f>
        <v>Lualaba</v>
      </c>
      <c r="H269">
        <f>IFERROR(VLOOKUP(Logs_Reseau_Part56[[#This Row],[Cell_ID]],Registre_Maintenance_Part[[ID_Antenne]:[Colonne2]],3,FALSE),"")</f>
        <v>-8.0301989999999996</v>
      </c>
      <c r="I269">
        <f>IFERROR(VLOOKUP(Logs_Reseau_Part56[[#This Row],[Cell_ID]],Registre_Maintenance_Part[[ID_Antenne]:[Colonne2]],4,FALSE),"")</f>
        <v>24.122495000000001</v>
      </c>
      <c r="J269" t="str">
        <f>IFERROR(VLOOKUP(Logs_Reseau_Part56[[#This Row],[Cell_ID]],Registre_Maintenance_Part[[ID_Antenne]:[Colonne2]],5,FALSE),"")</f>
        <v>5G</v>
      </c>
      <c r="K269" t="str">
        <f>IFERROR(VLOOKUP(Logs_Reseau_Part56[[#This Row],[Cell_ID]],Registre_Maintenance_Part[[ID_Antenne]:[Colonne2]],6,FALSE),"")</f>
        <v>ZTE</v>
      </c>
    </row>
    <row r="270" spans="1:11" x14ac:dyDescent="0.3">
      <c r="A270" s="1">
        <v>45226.964583333327</v>
      </c>
      <c r="B270" s="2">
        <v>45226.964583333327</v>
      </c>
      <c r="C270" t="s">
        <v>1225</v>
      </c>
      <c r="D270">
        <v>27</v>
      </c>
      <c r="E270">
        <f>Logs_Reseau_Part56[[#This Row],[Duree_Panne_Min]]/60</f>
        <v>0.45</v>
      </c>
      <c r="F270" t="s">
        <v>737</v>
      </c>
      <c r="G270" t="str">
        <f>IFERROR(VLOOKUP(Logs_Reseau_Part56[[#This Row],[Cell_ID]],Registre_Maintenance_Part[[ID_Antenne]:[Colonne2]],2,FALSE),"")</f>
        <v>Lualaba</v>
      </c>
      <c r="H270">
        <f>IFERROR(VLOOKUP(Logs_Reseau_Part56[[#This Row],[Cell_ID]],Registre_Maintenance_Part[[ID_Antenne]:[Colonne2]],3,FALSE),"")</f>
        <v>-11.354772000000001</v>
      </c>
      <c r="I270">
        <f>IFERROR(VLOOKUP(Logs_Reseau_Part56[[#This Row],[Cell_ID]],Registre_Maintenance_Part[[ID_Antenne]:[Colonne2]],4,FALSE),"")</f>
        <v>21.957325999999998</v>
      </c>
      <c r="J270" t="str">
        <f>IFERROR(VLOOKUP(Logs_Reseau_Part56[[#This Row],[Cell_ID]],Registre_Maintenance_Part[[ID_Antenne]:[Colonne2]],5,FALSE),"")</f>
        <v>3G</v>
      </c>
      <c r="K270" t="str">
        <f>IFERROR(VLOOKUP(Logs_Reseau_Part56[[#This Row],[Cell_ID]],Registre_Maintenance_Part[[ID_Antenne]:[Colonne2]],6,FALSE),"")</f>
        <v>Nokia</v>
      </c>
    </row>
    <row r="271" spans="1:11" x14ac:dyDescent="0.3">
      <c r="A271" s="1">
        <v>45228.672222222223</v>
      </c>
      <c r="B271" s="2">
        <v>45228.672222222223</v>
      </c>
      <c r="C271" t="s">
        <v>1119</v>
      </c>
      <c r="D271">
        <v>106</v>
      </c>
      <c r="E271">
        <f>Logs_Reseau_Part56[[#This Row],[Duree_Panne_Min]]/60</f>
        <v>1.7666666666666666</v>
      </c>
      <c r="F271" t="s">
        <v>734</v>
      </c>
      <c r="G271" t="str">
        <f>IFERROR(VLOOKUP(Logs_Reseau_Part56[[#This Row],[Cell_ID]],Registre_Maintenance_Part[[ID_Antenne]:[Colonne2]],2,FALSE),"")</f>
        <v>Lualaba</v>
      </c>
      <c r="H271">
        <f>IFERROR(VLOOKUP(Logs_Reseau_Part56[[#This Row],[Cell_ID]],Registre_Maintenance_Part[[ID_Antenne]:[Colonne2]],3,FALSE),"")</f>
        <v>2.0392079999999999</v>
      </c>
      <c r="I271">
        <f>IFERROR(VLOOKUP(Logs_Reseau_Part56[[#This Row],[Cell_ID]],Registre_Maintenance_Part[[ID_Antenne]:[Colonne2]],4,FALSE),"")</f>
        <v>19.090841999999999</v>
      </c>
      <c r="J271" t="str">
        <f>IFERROR(VLOOKUP(Logs_Reseau_Part56[[#This Row],[Cell_ID]],Registre_Maintenance_Part[[ID_Antenne]:[Colonne2]],5,FALSE),"")</f>
        <v>4G</v>
      </c>
      <c r="K271" t="str">
        <f>IFERROR(VLOOKUP(Logs_Reseau_Part56[[#This Row],[Cell_ID]],Registre_Maintenance_Part[[ID_Antenne]:[Colonne2]],6,FALSE),"")</f>
        <v>Nokia</v>
      </c>
    </row>
    <row r="272" spans="1:11" x14ac:dyDescent="0.3">
      <c r="A272" s="1">
        <v>45228.747916666667</v>
      </c>
      <c r="B272" s="2">
        <v>45228.747916666667</v>
      </c>
      <c r="C272" t="s">
        <v>1194</v>
      </c>
      <c r="D272">
        <v>27</v>
      </c>
      <c r="E272">
        <f>Logs_Reseau_Part56[[#This Row],[Duree_Panne_Min]]/60</f>
        <v>0.45</v>
      </c>
      <c r="F272" t="s">
        <v>734</v>
      </c>
      <c r="G272" t="str">
        <f>IFERROR(VLOOKUP(Logs_Reseau_Part56[[#This Row],[Cell_ID]],Registre_Maintenance_Part[[ID_Antenne]:[Colonne2]],2,FALSE),"")</f>
        <v>Lualaba</v>
      </c>
      <c r="H272">
        <f>IFERROR(VLOOKUP(Logs_Reseau_Part56[[#This Row],[Cell_ID]],Registre_Maintenance_Part[[ID_Antenne]:[Colonne2]],3,FALSE),"")</f>
        <v>-8.0301989999999996</v>
      </c>
      <c r="I272">
        <f>IFERROR(VLOOKUP(Logs_Reseau_Part56[[#This Row],[Cell_ID]],Registre_Maintenance_Part[[ID_Antenne]:[Colonne2]],4,FALSE),"")</f>
        <v>24.122495000000001</v>
      </c>
      <c r="J272" t="str">
        <f>IFERROR(VLOOKUP(Logs_Reseau_Part56[[#This Row],[Cell_ID]],Registre_Maintenance_Part[[ID_Antenne]:[Colonne2]],5,FALSE),"")</f>
        <v>5G</v>
      </c>
      <c r="K272" t="str">
        <f>IFERROR(VLOOKUP(Logs_Reseau_Part56[[#This Row],[Cell_ID]],Registre_Maintenance_Part[[ID_Antenne]:[Colonne2]],6,FALSE),"")</f>
        <v>ZTE</v>
      </c>
    </row>
    <row r="273" spans="1:11" x14ac:dyDescent="0.3">
      <c r="A273" s="1">
        <v>45229.39166666667</v>
      </c>
      <c r="B273" s="2">
        <v>45229.39166666667</v>
      </c>
      <c r="C273" t="s">
        <v>1040</v>
      </c>
      <c r="D273">
        <v>28</v>
      </c>
      <c r="E273">
        <f>Logs_Reseau_Part56[[#This Row],[Duree_Panne_Min]]/60</f>
        <v>0.46666666666666667</v>
      </c>
      <c r="F273" t="s">
        <v>739</v>
      </c>
      <c r="G273" t="str">
        <f>IFERROR(VLOOKUP(Logs_Reseau_Part56[[#This Row],[Cell_ID]],Registre_Maintenance_Part[[ID_Antenne]:[Colonne2]],2,FALSE),"")</f>
        <v>Lualaba</v>
      </c>
      <c r="H273">
        <f>IFERROR(VLOOKUP(Logs_Reseau_Part56[[#This Row],[Cell_ID]],Registre_Maintenance_Part[[ID_Antenne]:[Colonne2]],3,FALSE),"")</f>
        <v>-10.967288</v>
      </c>
      <c r="I273">
        <f>IFERROR(VLOOKUP(Logs_Reseau_Part56[[#This Row],[Cell_ID]],Registre_Maintenance_Part[[ID_Antenne]:[Colonne2]],4,FALSE),"")</f>
        <v>17.617781000000001</v>
      </c>
      <c r="J273" t="str">
        <f>IFERROR(VLOOKUP(Logs_Reseau_Part56[[#This Row],[Cell_ID]],Registre_Maintenance_Part[[ID_Antenne]:[Colonne2]],5,FALSE),"")</f>
        <v>4G</v>
      </c>
      <c r="K273" t="str">
        <f>IFERROR(VLOOKUP(Logs_Reseau_Part56[[#This Row],[Cell_ID]],Registre_Maintenance_Part[[ID_Antenne]:[Colonne2]],6,FALSE),"")</f>
        <v>Ericsson</v>
      </c>
    </row>
    <row r="274" spans="1:11" x14ac:dyDescent="0.3">
      <c r="A274" s="1">
        <v>45230.119444444441</v>
      </c>
      <c r="B274" s="2">
        <v>45230.119444444441</v>
      </c>
      <c r="C274" t="s">
        <v>918</v>
      </c>
      <c r="D274">
        <v>8</v>
      </c>
      <c r="E274">
        <f>Logs_Reseau_Part56[[#This Row],[Duree_Panne_Min]]/60</f>
        <v>0.13333333333333333</v>
      </c>
      <c r="F274" t="s">
        <v>737</v>
      </c>
      <c r="G274" t="str">
        <f>IFERROR(VLOOKUP(Logs_Reseau_Part56[[#This Row],[Cell_ID]],Registre_Maintenance_Part[[ID_Antenne]:[Colonne2]],2,FALSE),"")</f>
        <v>Lualaba</v>
      </c>
      <c r="H274">
        <f>IFERROR(VLOOKUP(Logs_Reseau_Part56[[#This Row],[Cell_ID]],Registre_Maintenance_Part[[ID_Antenne]:[Colonne2]],3,FALSE),"")</f>
        <v>-9.5243310000000001</v>
      </c>
      <c r="I274">
        <f>IFERROR(VLOOKUP(Logs_Reseau_Part56[[#This Row],[Cell_ID]],Registre_Maintenance_Part[[ID_Antenne]:[Colonne2]],4,FALSE),"")</f>
        <v>30.541212000000002</v>
      </c>
      <c r="J274" t="str">
        <f>IFERROR(VLOOKUP(Logs_Reseau_Part56[[#This Row],[Cell_ID]],Registre_Maintenance_Part[[ID_Antenne]:[Colonne2]],5,FALSE),"")</f>
        <v>3G</v>
      </c>
      <c r="K274" t="str">
        <f>IFERROR(VLOOKUP(Logs_Reseau_Part56[[#This Row],[Cell_ID]],Registre_Maintenance_Part[[ID_Antenne]:[Colonne2]],6,FALSE),"")</f>
        <v>Ericsson</v>
      </c>
    </row>
    <row r="275" spans="1:11" x14ac:dyDescent="0.3">
      <c r="A275" s="1">
        <v>45201.824305555558</v>
      </c>
      <c r="B275" s="2">
        <v>45201.824305555558</v>
      </c>
      <c r="C275" t="s">
        <v>919</v>
      </c>
      <c r="D275">
        <v>28</v>
      </c>
      <c r="E275">
        <f>Logs_Reseau_Part56[[#This Row],[Duree_Panne_Min]]/60</f>
        <v>0.46666666666666667</v>
      </c>
      <c r="F275" t="s">
        <v>737</v>
      </c>
      <c r="G275" t="str">
        <f>IFERROR(VLOOKUP(Logs_Reseau_Part56[[#This Row],[Cell_ID]],Registre_Maintenance_Part[[ID_Antenne]:[Colonne2]],2,FALSE),"")</f>
        <v>Mai-Ndombe</v>
      </c>
      <c r="H275">
        <f>IFERROR(VLOOKUP(Logs_Reseau_Part56[[#This Row],[Cell_ID]],Registre_Maintenance_Part[[ID_Antenne]:[Colonne2]],3,FALSE),"")</f>
        <v>-9.3652280000000001</v>
      </c>
      <c r="I275">
        <f>IFERROR(VLOOKUP(Logs_Reseau_Part56[[#This Row],[Cell_ID]],Registre_Maintenance_Part[[ID_Antenne]:[Colonne2]],4,FALSE),"")</f>
        <v>18.674116000000001</v>
      </c>
      <c r="J275" t="str">
        <f>IFERROR(VLOOKUP(Logs_Reseau_Part56[[#This Row],[Cell_ID]],Registre_Maintenance_Part[[ID_Antenne]:[Colonne2]],5,FALSE),"")</f>
        <v>4G</v>
      </c>
      <c r="K275" t="str">
        <f>IFERROR(VLOOKUP(Logs_Reseau_Part56[[#This Row],[Cell_ID]],Registre_Maintenance_Part[[ID_Antenne]:[Colonne2]],6,FALSE),"")</f>
        <v>Huawei</v>
      </c>
    </row>
    <row r="276" spans="1:11" x14ac:dyDescent="0.3">
      <c r="A276" s="1">
        <v>45202.852083333331</v>
      </c>
      <c r="B276" s="2">
        <v>45202.852083333331</v>
      </c>
      <c r="C276" t="s">
        <v>870</v>
      </c>
      <c r="D276">
        <v>83</v>
      </c>
      <c r="E276">
        <f>Logs_Reseau_Part56[[#This Row],[Duree_Panne_Min]]/60</f>
        <v>1.3833333333333333</v>
      </c>
      <c r="F276" t="s">
        <v>734</v>
      </c>
      <c r="G276" t="str">
        <f>IFERROR(VLOOKUP(Logs_Reseau_Part56[[#This Row],[Cell_ID]],Registre_Maintenance_Part[[ID_Antenne]:[Colonne2]],2,FALSE),"")</f>
        <v>Mai-Ndombe</v>
      </c>
      <c r="H276">
        <f>IFERROR(VLOOKUP(Logs_Reseau_Part56[[#This Row],[Cell_ID]],Registre_Maintenance_Part[[ID_Antenne]:[Colonne2]],3,FALSE),"")</f>
        <v>-1.607639</v>
      </c>
      <c r="I276">
        <f>IFERROR(VLOOKUP(Logs_Reseau_Part56[[#This Row],[Cell_ID]],Registre_Maintenance_Part[[ID_Antenne]:[Colonne2]],4,FALSE),"")</f>
        <v>17.003636</v>
      </c>
      <c r="J276" t="str">
        <f>IFERROR(VLOOKUP(Logs_Reseau_Part56[[#This Row],[Cell_ID]],Registre_Maintenance_Part[[ID_Antenne]:[Colonne2]],5,FALSE),"")</f>
        <v>4G</v>
      </c>
      <c r="K276" t="str">
        <f>IFERROR(VLOOKUP(Logs_Reseau_Part56[[#This Row],[Cell_ID]],Registre_Maintenance_Part[[ID_Antenne]:[Colonne2]],6,FALSE),"")</f>
        <v>Ericsson</v>
      </c>
    </row>
    <row r="277" spans="1:11" x14ac:dyDescent="0.3">
      <c r="A277" s="1">
        <v>45206.23333333333</v>
      </c>
      <c r="B277" s="2">
        <v>45206.23333333333</v>
      </c>
      <c r="C277" t="s">
        <v>1356</v>
      </c>
      <c r="D277">
        <v>26</v>
      </c>
      <c r="E277">
        <f>Logs_Reseau_Part56[[#This Row],[Duree_Panne_Min]]/60</f>
        <v>0.43333333333333335</v>
      </c>
      <c r="F277" t="s">
        <v>739</v>
      </c>
      <c r="G277" t="str">
        <f>IFERROR(VLOOKUP(Logs_Reseau_Part56[[#This Row],[Cell_ID]],Registre_Maintenance_Part[[ID_Antenne]:[Colonne2]],2,FALSE),"")</f>
        <v>Mai-Ndombe</v>
      </c>
      <c r="H277">
        <f>IFERROR(VLOOKUP(Logs_Reseau_Part56[[#This Row],[Cell_ID]],Registre_Maintenance_Part[[ID_Antenne]:[Colonne2]],3,FALSE),"")</f>
        <v>-4.6311460000000002</v>
      </c>
      <c r="I277">
        <f>IFERROR(VLOOKUP(Logs_Reseau_Part56[[#This Row],[Cell_ID]],Registre_Maintenance_Part[[ID_Antenne]:[Colonne2]],4,FALSE),"")</f>
        <v>25.314723000000001</v>
      </c>
      <c r="J277" t="str">
        <f>IFERROR(VLOOKUP(Logs_Reseau_Part56[[#This Row],[Cell_ID]],Registre_Maintenance_Part[[ID_Antenne]:[Colonne2]],5,FALSE),"")</f>
        <v>4G</v>
      </c>
      <c r="K277" t="str">
        <f>IFERROR(VLOOKUP(Logs_Reseau_Part56[[#This Row],[Cell_ID]],Registre_Maintenance_Part[[ID_Antenne]:[Colonne2]],6,FALSE),"")</f>
        <v>Huawei</v>
      </c>
    </row>
    <row r="278" spans="1:11" x14ac:dyDescent="0.3">
      <c r="A278" s="1">
        <v>45206.956944444442</v>
      </c>
      <c r="B278" s="2">
        <v>45206.956944444442</v>
      </c>
      <c r="C278" t="s">
        <v>919</v>
      </c>
      <c r="D278">
        <v>32</v>
      </c>
      <c r="E278">
        <f>Logs_Reseau_Part56[[#This Row],[Duree_Panne_Min]]/60</f>
        <v>0.53333333333333333</v>
      </c>
      <c r="F278" t="s">
        <v>737</v>
      </c>
      <c r="G278" t="str">
        <f>IFERROR(VLOOKUP(Logs_Reseau_Part56[[#This Row],[Cell_ID]],Registre_Maintenance_Part[[ID_Antenne]:[Colonne2]],2,FALSE),"")</f>
        <v>Mai-Ndombe</v>
      </c>
      <c r="H278">
        <f>IFERROR(VLOOKUP(Logs_Reseau_Part56[[#This Row],[Cell_ID]],Registre_Maintenance_Part[[ID_Antenne]:[Colonne2]],3,FALSE),"")</f>
        <v>-9.3652280000000001</v>
      </c>
      <c r="I278">
        <f>IFERROR(VLOOKUP(Logs_Reseau_Part56[[#This Row],[Cell_ID]],Registre_Maintenance_Part[[ID_Antenne]:[Colonne2]],4,FALSE),"")</f>
        <v>18.674116000000001</v>
      </c>
      <c r="J278" t="str">
        <f>IFERROR(VLOOKUP(Logs_Reseau_Part56[[#This Row],[Cell_ID]],Registre_Maintenance_Part[[ID_Antenne]:[Colonne2]],5,FALSE),"")</f>
        <v>4G</v>
      </c>
      <c r="K278" t="str">
        <f>IFERROR(VLOOKUP(Logs_Reseau_Part56[[#This Row],[Cell_ID]],Registre_Maintenance_Part[[ID_Antenne]:[Colonne2]],6,FALSE),"")</f>
        <v>Huawei</v>
      </c>
    </row>
    <row r="279" spans="1:11" x14ac:dyDescent="0.3">
      <c r="A279" s="1">
        <v>45214.697916666657</v>
      </c>
      <c r="B279" s="2">
        <v>45214.697916666657</v>
      </c>
      <c r="C279" t="s">
        <v>1156</v>
      </c>
      <c r="D279">
        <v>98</v>
      </c>
      <c r="E279">
        <f>Logs_Reseau_Part56[[#This Row],[Duree_Panne_Min]]/60</f>
        <v>1.6333333333333333</v>
      </c>
      <c r="F279" t="s">
        <v>739</v>
      </c>
      <c r="G279" t="str">
        <f>IFERROR(VLOOKUP(Logs_Reseau_Part56[[#This Row],[Cell_ID]],Registre_Maintenance_Part[[ID_Antenne]:[Colonne2]],2,FALSE),"")</f>
        <v>Mai-Ndombe</v>
      </c>
      <c r="H279">
        <f>IFERROR(VLOOKUP(Logs_Reseau_Part56[[#This Row],[Cell_ID]],Registre_Maintenance_Part[[ID_Antenne]:[Colonne2]],3,FALSE),"")</f>
        <v>-12.192204</v>
      </c>
      <c r="I279">
        <f>IFERROR(VLOOKUP(Logs_Reseau_Part56[[#This Row],[Cell_ID]],Registre_Maintenance_Part[[ID_Antenne]:[Colonne2]],4,FALSE),"")</f>
        <v>28.468682000000001</v>
      </c>
      <c r="J279" t="str">
        <f>IFERROR(VLOOKUP(Logs_Reseau_Part56[[#This Row],[Cell_ID]],Registre_Maintenance_Part[[ID_Antenne]:[Colonne2]],5,FALSE),"")</f>
        <v>3G</v>
      </c>
      <c r="K279" t="str">
        <f>IFERROR(VLOOKUP(Logs_Reseau_Part56[[#This Row],[Cell_ID]],Registre_Maintenance_Part[[ID_Antenne]:[Colonne2]],6,FALSE),"")</f>
        <v>ZTE</v>
      </c>
    </row>
    <row r="280" spans="1:11" x14ac:dyDescent="0.3">
      <c r="A280" s="1">
        <v>45223.570138888892</v>
      </c>
      <c r="B280" s="2">
        <v>45223.570138888892</v>
      </c>
      <c r="C280" t="s">
        <v>919</v>
      </c>
      <c r="D280">
        <v>10</v>
      </c>
      <c r="E280">
        <f>Logs_Reseau_Part56[[#This Row],[Duree_Panne_Min]]/60</f>
        <v>0.16666666666666666</v>
      </c>
      <c r="F280" t="s">
        <v>737</v>
      </c>
      <c r="G280" t="str">
        <f>IFERROR(VLOOKUP(Logs_Reseau_Part56[[#This Row],[Cell_ID]],Registre_Maintenance_Part[[ID_Antenne]:[Colonne2]],2,FALSE),"")</f>
        <v>Mai-Ndombe</v>
      </c>
      <c r="H280">
        <f>IFERROR(VLOOKUP(Logs_Reseau_Part56[[#This Row],[Cell_ID]],Registre_Maintenance_Part[[ID_Antenne]:[Colonne2]],3,FALSE),"")</f>
        <v>-9.3652280000000001</v>
      </c>
      <c r="I280">
        <f>IFERROR(VLOOKUP(Logs_Reseau_Part56[[#This Row],[Cell_ID]],Registre_Maintenance_Part[[ID_Antenne]:[Colonne2]],4,FALSE),"")</f>
        <v>18.674116000000001</v>
      </c>
      <c r="J280" t="str">
        <f>IFERROR(VLOOKUP(Logs_Reseau_Part56[[#This Row],[Cell_ID]],Registre_Maintenance_Part[[ID_Antenne]:[Colonne2]],5,FALSE),"")</f>
        <v>4G</v>
      </c>
      <c r="K280" t="str">
        <f>IFERROR(VLOOKUP(Logs_Reseau_Part56[[#This Row],[Cell_ID]],Registre_Maintenance_Part[[ID_Antenne]:[Colonne2]],6,FALSE),"")</f>
        <v>Huawei</v>
      </c>
    </row>
    <row r="281" spans="1:11" x14ac:dyDescent="0.3">
      <c r="A281" s="1">
        <v>45224.568055555559</v>
      </c>
      <c r="B281" s="2">
        <v>45224.568055555559</v>
      </c>
      <c r="C281" t="s">
        <v>913</v>
      </c>
      <c r="D281">
        <v>27</v>
      </c>
      <c r="E281">
        <f>Logs_Reseau_Part56[[#This Row],[Duree_Panne_Min]]/60</f>
        <v>0.45</v>
      </c>
      <c r="F281" t="s">
        <v>734</v>
      </c>
      <c r="G281" t="str">
        <f>IFERROR(VLOOKUP(Logs_Reseau_Part56[[#This Row],[Cell_ID]],Registre_Maintenance_Part[[ID_Antenne]:[Colonne2]],2,FALSE),"")</f>
        <v>Mai-Ndombe</v>
      </c>
      <c r="H281">
        <f>IFERROR(VLOOKUP(Logs_Reseau_Part56[[#This Row],[Cell_ID]],Registre_Maintenance_Part[[ID_Antenne]:[Colonne2]],3,FALSE),"")</f>
        <v>-10.442425</v>
      </c>
      <c r="I281">
        <f>IFERROR(VLOOKUP(Logs_Reseau_Part56[[#This Row],[Cell_ID]],Registre_Maintenance_Part[[ID_Antenne]:[Colonne2]],4,FALSE),"")</f>
        <v>23.243632000000002</v>
      </c>
      <c r="J281" t="str">
        <f>IFERROR(VLOOKUP(Logs_Reseau_Part56[[#This Row],[Cell_ID]],Registre_Maintenance_Part[[ID_Antenne]:[Colonne2]],5,FALSE),"")</f>
        <v>4G</v>
      </c>
      <c r="K281" t="str">
        <f>IFERROR(VLOOKUP(Logs_Reseau_Part56[[#This Row],[Cell_ID]],Registre_Maintenance_Part[[ID_Antenne]:[Colonne2]],6,FALSE),"")</f>
        <v>Nokia</v>
      </c>
    </row>
    <row r="282" spans="1:11" x14ac:dyDescent="0.3">
      <c r="A282" s="1">
        <v>45224.98333333333</v>
      </c>
      <c r="B282" s="2">
        <v>45224.98333333333</v>
      </c>
      <c r="C282" t="s">
        <v>919</v>
      </c>
      <c r="D282">
        <v>107</v>
      </c>
      <c r="E282">
        <f>Logs_Reseau_Part56[[#This Row],[Duree_Panne_Min]]/60</f>
        <v>1.7833333333333334</v>
      </c>
      <c r="F282" t="s">
        <v>739</v>
      </c>
      <c r="G282" t="str">
        <f>IFERROR(VLOOKUP(Logs_Reseau_Part56[[#This Row],[Cell_ID]],Registre_Maintenance_Part[[ID_Antenne]:[Colonne2]],2,FALSE),"")</f>
        <v>Mai-Ndombe</v>
      </c>
      <c r="H282">
        <f>IFERROR(VLOOKUP(Logs_Reseau_Part56[[#This Row],[Cell_ID]],Registre_Maintenance_Part[[ID_Antenne]:[Colonne2]],3,FALSE),"")</f>
        <v>-9.3652280000000001</v>
      </c>
      <c r="I282">
        <f>IFERROR(VLOOKUP(Logs_Reseau_Part56[[#This Row],[Cell_ID]],Registre_Maintenance_Part[[ID_Antenne]:[Colonne2]],4,FALSE),"")</f>
        <v>18.674116000000001</v>
      </c>
      <c r="J282" t="str">
        <f>IFERROR(VLOOKUP(Logs_Reseau_Part56[[#This Row],[Cell_ID]],Registre_Maintenance_Part[[ID_Antenne]:[Colonne2]],5,FALSE),"")</f>
        <v>4G</v>
      </c>
      <c r="K282" t="str">
        <f>IFERROR(VLOOKUP(Logs_Reseau_Part56[[#This Row],[Cell_ID]],Registre_Maintenance_Part[[ID_Antenne]:[Colonne2]],6,FALSE),"")</f>
        <v>Huawei</v>
      </c>
    </row>
    <row r="283" spans="1:11" x14ac:dyDescent="0.3">
      <c r="A283" s="1">
        <v>45225.215277777781</v>
      </c>
      <c r="B283" s="2">
        <v>45225.215277777781</v>
      </c>
      <c r="C283" t="s">
        <v>970</v>
      </c>
      <c r="D283">
        <v>41</v>
      </c>
      <c r="E283">
        <f>Logs_Reseau_Part56[[#This Row],[Duree_Panne_Min]]/60</f>
        <v>0.68333333333333335</v>
      </c>
      <c r="F283" t="s">
        <v>739</v>
      </c>
      <c r="G283" t="str">
        <f>IFERROR(VLOOKUP(Logs_Reseau_Part56[[#This Row],[Cell_ID]],Registre_Maintenance_Part[[ID_Antenne]:[Colonne2]],2,FALSE),"")</f>
        <v>Mai-Ndombe</v>
      </c>
      <c r="H283">
        <f>IFERROR(VLOOKUP(Logs_Reseau_Part56[[#This Row],[Cell_ID]],Registre_Maintenance_Part[[ID_Antenne]:[Colonne2]],3,FALSE),"")</f>
        <v>-4.9552579999999997</v>
      </c>
      <c r="I283">
        <f>IFERROR(VLOOKUP(Logs_Reseau_Part56[[#This Row],[Cell_ID]],Registre_Maintenance_Part[[ID_Antenne]:[Colonne2]],4,FALSE),"")</f>
        <v>22.008103999999999</v>
      </c>
      <c r="J283" t="str">
        <f>IFERROR(VLOOKUP(Logs_Reseau_Part56[[#This Row],[Cell_ID]],Registre_Maintenance_Part[[ID_Antenne]:[Colonne2]],5,FALSE),"")</f>
        <v>4G</v>
      </c>
      <c r="K283" t="str">
        <f>IFERROR(VLOOKUP(Logs_Reseau_Part56[[#This Row],[Cell_ID]],Registre_Maintenance_Part[[ID_Antenne]:[Colonne2]],6,FALSE),"")</f>
        <v>Huawei</v>
      </c>
    </row>
    <row r="284" spans="1:11" x14ac:dyDescent="0.3">
      <c r="A284" s="1">
        <v>45225.623611111107</v>
      </c>
      <c r="B284" s="2">
        <v>45225.623611111107</v>
      </c>
      <c r="C284" t="s">
        <v>1172</v>
      </c>
      <c r="D284">
        <v>22</v>
      </c>
      <c r="E284">
        <f>Logs_Reseau_Part56[[#This Row],[Duree_Panne_Min]]/60</f>
        <v>0.36666666666666664</v>
      </c>
      <c r="F284" t="s">
        <v>734</v>
      </c>
      <c r="G284" t="str">
        <f>IFERROR(VLOOKUP(Logs_Reseau_Part56[[#This Row],[Cell_ID]],Registre_Maintenance_Part[[ID_Antenne]:[Colonne2]],2,FALSE),"")</f>
        <v>Mai-Ndombe</v>
      </c>
      <c r="H284">
        <f>IFERROR(VLOOKUP(Logs_Reseau_Part56[[#This Row],[Cell_ID]],Registre_Maintenance_Part[[ID_Antenne]:[Colonne2]],3,FALSE),"")</f>
        <v>-0.47411900000000001</v>
      </c>
      <c r="I284">
        <f>IFERROR(VLOOKUP(Logs_Reseau_Part56[[#This Row],[Cell_ID]],Registre_Maintenance_Part[[ID_Antenne]:[Colonne2]],4,FALSE),"")</f>
        <v>27.184329000000002</v>
      </c>
      <c r="J284" t="str">
        <f>IFERROR(VLOOKUP(Logs_Reseau_Part56[[#This Row],[Cell_ID]],Registre_Maintenance_Part[[ID_Antenne]:[Colonne2]],5,FALSE),"")</f>
        <v>5G</v>
      </c>
      <c r="K284" t="str">
        <f>IFERROR(VLOOKUP(Logs_Reseau_Part56[[#This Row],[Cell_ID]],Registre_Maintenance_Part[[ID_Antenne]:[Colonne2]],6,FALSE),"")</f>
        <v>ZTE</v>
      </c>
    </row>
    <row r="285" spans="1:11" x14ac:dyDescent="0.3">
      <c r="A285" s="1">
        <v>45227.77847222222</v>
      </c>
      <c r="B285" s="2">
        <v>45227.77847222222</v>
      </c>
      <c r="C285" t="s">
        <v>1172</v>
      </c>
      <c r="D285">
        <v>67</v>
      </c>
      <c r="E285">
        <f>Logs_Reseau_Part56[[#This Row],[Duree_Panne_Min]]/60</f>
        <v>1.1166666666666667</v>
      </c>
      <c r="F285" t="s">
        <v>739</v>
      </c>
      <c r="G285" t="str">
        <f>IFERROR(VLOOKUP(Logs_Reseau_Part56[[#This Row],[Cell_ID]],Registre_Maintenance_Part[[ID_Antenne]:[Colonne2]],2,FALSE),"")</f>
        <v>Mai-Ndombe</v>
      </c>
      <c r="H285">
        <f>IFERROR(VLOOKUP(Logs_Reseau_Part56[[#This Row],[Cell_ID]],Registre_Maintenance_Part[[ID_Antenne]:[Colonne2]],3,FALSE),"")</f>
        <v>-0.47411900000000001</v>
      </c>
      <c r="I285">
        <f>IFERROR(VLOOKUP(Logs_Reseau_Part56[[#This Row],[Cell_ID]],Registre_Maintenance_Part[[ID_Antenne]:[Colonne2]],4,FALSE),"")</f>
        <v>27.184329000000002</v>
      </c>
      <c r="J285" t="str">
        <f>IFERROR(VLOOKUP(Logs_Reseau_Part56[[#This Row],[Cell_ID]],Registre_Maintenance_Part[[ID_Antenne]:[Colonne2]],5,FALSE),"")</f>
        <v>5G</v>
      </c>
      <c r="K285" t="str">
        <f>IFERROR(VLOOKUP(Logs_Reseau_Part56[[#This Row],[Cell_ID]],Registre_Maintenance_Part[[ID_Antenne]:[Colonne2]],6,FALSE),"")</f>
        <v>ZTE</v>
      </c>
    </row>
    <row r="286" spans="1:11" x14ac:dyDescent="0.3">
      <c r="A286" s="1">
        <v>45202.780555555553</v>
      </c>
      <c r="B286" s="2">
        <v>45202.780555555553</v>
      </c>
      <c r="C286" t="s">
        <v>892</v>
      </c>
      <c r="D286">
        <v>53</v>
      </c>
      <c r="E286">
        <f>Logs_Reseau_Part56[[#This Row],[Duree_Panne_Min]]/60</f>
        <v>0.8833333333333333</v>
      </c>
      <c r="F286" t="s">
        <v>739</v>
      </c>
      <c r="G286" t="str">
        <f>IFERROR(VLOOKUP(Logs_Reseau_Part56[[#This Row],[Cell_ID]],Registre_Maintenance_Part[[ID_Antenne]:[Colonne2]],2,FALSE),"")</f>
        <v>Maniema</v>
      </c>
      <c r="H286">
        <f>IFERROR(VLOOKUP(Logs_Reseau_Part56[[#This Row],[Cell_ID]],Registre_Maintenance_Part[[ID_Antenne]:[Colonne2]],3,FALSE),"")</f>
        <v>-2.3743210000000001</v>
      </c>
      <c r="I286">
        <f>IFERROR(VLOOKUP(Logs_Reseau_Part56[[#This Row],[Cell_ID]],Registre_Maintenance_Part[[ID_Antenne]:[Colonne2]],4,FALSE),"")</f>
        <v>22.399491000000001</v>
      </c>
      <c r="J286" t="str">
        <f>IFERROR(VLOOKUP(Logs_Reseau_Part56[[#This Row],[Cell_ID]],Registre_Maintenance_Part[[ID_Antenne]:[Colonne2]],5,FALSE),"")</f>
        <v>5G</v>
      </c>
      <c r="K286" t="str">
        <f>IFERROR(VLOOKUP(Logs_Reseau_Part56[[#This Row],[Cell_ID]],Registre_Maintenance_Part[[ID_Antenne]:[Colonne2]],6,FALSE),"")</f>
        <v>Ericsson</v>
      </c>
    </row>
    <row r="287" spans="1:11" x14ac:dyDescent="0.3">
      <c r="A287" s="1">
        <v>45203.750694444447</v>
      </c>
      <c r="B287" s="2">
        <v>45203.750694444447</v>
      </c>
      <c r="C287" t="s">
        <v>888</v>
      </c>
      <c r="D287">
        <v>64</v>
      </c>
      <c r="E287">
        <f>Logs_Reseau_Part56[[#This Row],[Duree_Panne_Min]]/60</f>
        <v>1.0666666666666667</v>
      </c>
      <c r="F287" t="s">
        <v>739</v>
      </c>
      <c r="G287" t="str">
        <f>IFERROR(VLOOKUP(Logs_Reseau_Part56[[#This Row],[Cell_ID]],Registre_Maintenance_Part[[ID_Antenne]:[Colonne2]],2,FALSE),"")</f>
        <v>Maniema</v>
      </c>
      <c r="H287">
        <f>IFERROR(VLOOKUP(Logs_Reseau_Part56[[#This Row],[Cell_ID]],Registre_Maintenance_Part[[ID_Antenne]:[Colonne2]],3,FALSE),"")</f>
        <v>-4.6818410000000004</v>
      </c>
      <c r="I287">
        <f>IFERROR(VLOOKUP(Logs_Reseau_Part56[[#This Row],[Cell_ID]],Registre_Maintenance_Part[[ID_Antenne]:[Colonne2]],4,FALSE),"")</f>
        <v>17.541618</v>
      </c>
      <c r="J287" t="str">
        <f>IFERROR(VLOOKUP(Logs_Reseau_Part56[[#This Row],[Cell_ID]],Registre_Maintenance_Part[[ID_Antenne]:[Colonne2]],5,FALSE),"")</f>
        <v>4G</v>
      </c>
      <c r="K287" t="str">
        <f>IFERROR(VLOOKUP(Logs_Reseau_Part56[[#This Row],[Cell_ID]],Registre_Maintenance_Part[[ID_Antenne]:[Colonne2]],6,FALSE),"")</f>
        <v>Ericsson</v>
      </c>
    </row>
    <row r="288" spans="1:11" x14ac:dyDescent="0.3">
      <c r="A288" s="1">
        <v>45204.011111111111</v>
      </c>
      <c r="B288" s="2">
        <v>45204.011111111111</v>
      </c>
      <c r="C288" t="s">
        <v>1189</v>
      </c>
      <c r="D288">
        <v>12</v>
      </c>
      <c r="E288">
        <f>Logs_Reseau_Part56[[#This Row],[Duree_Panne_Min]]/60</f>
        <v>0.2</v>
      </c>
      <c r="F288" t="s">
        <v>737</v>
      </c>
      <c r="G288" t="str">
        <f>IFERROR(VLOOKUP(Logs_Reseau_Part56[[#This Row],[Cell_ID]],Registre_Maintenance_Part[[ID_Antenne]:[Colonne2]],2,FALSE),"")</f>
        <v>Maniema</v>
      </c>
      <c r="H288">
        <f>IFERROR(VLOOKUP(Logs_Reseau_Part56[[#This Row],[Cell_ID]],Registre_Maintenance_Part[[ID_Antenne]:[Colonne2]],3,FALSE),"")</f>
        <v>-1.6488929999999999</v>
      </c>
      <c r="I288">
        <f>IFERROR(VLOOKUP(Logs_Reseau_Part56[[#This Row],[Cell_ID]],Registre_Maintenance_Part[[ID_Antenne]:[Colonne2]],4,FALSE),"")</f>
        <v>27.284617000000001</v>
      </c>
      <c r="J288" t="str">
        <f>IFERROR(VLOOKUP(Logs_Reseau_Part56[[#This Row],[Cell_ID]],Registre_Maintenance_Part[[ID_Antenne]:[Colonne2]],5,FALSE),"")</f>
        <v>5G</v>
      </c>
      <c r="K288" t="str">
        <f>IFERROR(VLOOKUP(Logs_Reseau_Part56[[#This Row],[Cell_ID]],Registre_Maintenance_Part[[ID_Antenne]:[Colonne2]],6,FALSE),"")</f>
        <v>Nokia</v>
      </c>
    </row>
    <row r="289" spans="1:11" x14ac:dyDescent="0.3">
      <c r="A289" s="1">
        <v>45206.362500000003</v>
      </c>
      <c r="B289" s="2">
        <v>45206.362500000003</v>
      </c>
      <c r="C289" t="s">
        <v>921</v>
      </c>
      <c r="D289">
        <v>60</v>
      </c>
      <c r="E289">
        <f>Logs_Reseau_Part56[[#This Row],[Duree_Panne_Min]]/60</f>
        <v>1</v>
      </c>
      <c r="F289" t="s">
        <v>739</v>
      </c>
      <c r="G289" t="str">
        <f>IFERROR(VLOOKUP(Logs_Reseau_Part56[[#This Row],[Cell_ID]],Registre_Maintenance_Part[[ID_Antenne]:[Colonne2]],2,FALSE),"")</f>
        <v>Maniema</v>
      </c>
      <c r="H289">
        <f>IFERROR(VLOOKUP(Logs_Reseau_Part56[[#This Row],[Cell_ID]],Registre_Maintenance_Part[[ID_Antenne]:[Colonne2]],3,FALSE),"")</f>
        <v>-4.2645619999999997</v>
      </c>
      <c r="I289">
        <f>IFERROR(VLOOKUP(Logs_Reseau_Part56[[#This Row],[Cell_ID]],Registre_Maintenance_Part[[ID_Antenne]:[Colonne2]],4,FALSE),"")</f>
        <v>18.960726000000001</v>
      </c>
      <c r="J289" t="str">
        <f>IFERROR(VLOOKUP(Logs_Reseau_Part56[[#This Row],[Cell_ID]],Registre_Maintenance_Part[[ID_Antenne]:[Colonne2]],5,FALSE),"")</f>
        <v>4G</v>
      </c>
      <c r="K289" t="str">
        <f>IFERROR(VLOOKUP(Logs_Reseau_Part56[[#This Row],[Cell_ID]],Registre_Maintenance_Part[[ID_Antenne]:[Colonne2]],6,FALSE),"")</f>
        <v>Huawei</v>
      </c>
    </row>
    <row r="290" spans="1:11" x14ac:dyDescent="0.3">
      <c r="A290" s="1">
        <v>45209.53125</v>
      </c>
      <c r="B290" s="2">
        <v>45209.53125</v>
      </c>
      <c r="C290" t="s">
        <v>1098</v>
      </c>
      <c r="D290">
        <v>63</v>
      </c>
      <c r="E290">
        <f>Logs_Reseau_Part56[[#This Row],[Duree_Panne_Min]]/60</f>
        <v>1.05</v>
      </c>
      <c r="F290" t="s">
        <v>734</v>
      </c>
      <c r="G290" t="str">
        <f>IFERROR(VLOOKUP(Logs_Reseau_Part56[[#This Row],[Cell_ID]],Registre_Maintenance_Part[[ID_Antenne]:[Colonne2]],2,FALSE),"")</f>
        <v>Maniema</v>
      </c>
      <c r="H290">
        <f>IFERROR(VLOOKUP(Logs_Reseau_Part56[[#This Row],[Cell_ID]],Registre_Maintenance_Part[[ID_Antenne]:[Colonne2]],3,FALSE),"")</f>
        <v>1.727095</v>
      </c>
      <c r="I290">
        <f>IFERROR(VLOOKUP(Logs_Reseau_Part56[[#This Row],[Cell_ID]],Registre_Maintenance_Part[[ID_Antenne]:[Colonne2]],4,FALSE),"")</f>
        <v>22.099651999999999</v>
      </c>
      <c r="J290" t="str">
        <f>IFERROR(VLOOKUP(Logs_Reseau_Part56[[#This Row],[Cell_ID]],Registre_Maintenance_Part[[ID_Antenne]:[Colonne2]],5,FALSE),"")</f>
        <v>4G</v>
      </c>
      <c r="K290" t="str">
        <f>IFERROR(VLOOKUP(Logs_Reseau_Part56[[#This Row],[Cell_ID]],Registre_Maintenance_Part[[ID_Antenne]:[Colonne2]],6,FALSE),"")</f>
        <v>Huawei</v>
      </c>
    </row>
    <row r="291" spans="1:11" x14ac:dyDescent="0.3">
      <c r="A291" s="1">
        <v>45210.38958333333</v>
      </c>
      <c r="B291" s="2">
        <v>45210.38958333333</v>
      </c>
      <c r="C291" t="s">
        <v>921</v>
      </c>
      <c r="D291">
        <v>85</v>
      </c>
      <c r="E291">
        <f>Logs_Reseau_Part56[[#This Row],[Duree_Panne_Min]]/60</f>
        <v>1.4166666666666667</v>
      </c>
      <c r="F291" t="s">
        <v>734</v>
      </c>
      <c r="G291" t="str">
        <f>IFERROR(VLOOKUP(Logs_Reseau_Part56[[#This Row],[Cell_ID]],Registre_Maintenance_Part[[ID_Antenne]:[Colonne2]],2,FALSE),"")</f>
        <v>Maniema</v>
      </c>
      <c r="H291">
        <f>IFERROR(VLOOKUP(Logs_Reseau_Part56[[#This Row],[Cell_ID]],Registre_Maintenance_Part[[ID_Antenne]:[Colonne2]],3,FALSE),"")</f>
        <v>-4.2645619999999997</v>
      </c>
      <c r="I291">
        <f>IFERROR(VLOOKUP(Logs_Reseau_Part56[[#This Row],[Cell_ID]],Registre_Maintenance_Part[[ID_Antenne]:[Colonne2]],4,FALSE),"")</f>
        <v>18.960726000000001</v>
      </c>
      <c r="J291" t="str">
        <f>IFERROR(VLOOKUP(Logs_Reseau_Part56[[#This Row],[Cell_ID]],Registre_Maintenance_Part[[ID_Antenne]:[Colonne2]],5,FALSE),"")</f>
        <v>4G</v>
      </c>
      <c r="K291" t="str">
        <f>IFERROR(VLOOKUP(Logs_Reseau_Part56[[#This Row],[Cell_ID]],Registre_Maintenance_Part[[ID_Antenne]:[Colonne2]],6,FALSE),"")</f>
        <v>Huawei</v>
      </c>
    </row>
    <row r="292" spans="1:11" x14ac:dyDescent="0.3">
      <c r="A292" s="1">
        <v>45213.351388888892</v>
      </c>
      <c r="B292" s="2">
        <v>45213.351388888892</v>
      </c>
      <c r="C292" t="s">
        <v>1219</v>
      </c>
      <c r="D292">
        <v>86</v>
      </c>
      <c r="E292">
        <f>Logs_Reseau_Part56[[#This Row],[Duree_Panne_Min]]/60</f>
        <v>1.4333333333333333</v>
      </c>
      <c r="F292" t="s">
        <v>739</v>
      </c>
      <c r="G292" t="str">
        <f>IFERROR(VLOOKUP(Logs_Reseau_Part56[[#This Row],[Cell_ID]],Registre_Maintenance_Part[[ID_Antenne]:[Colonne2]],2,FALSE),"")</f>
        <v>Maniema</v>
      </c>
      <c r="H292">
        <f>IFERROR(VLOOKUP(Logs_Reseau_Part56[[#This Row],[Cell_ID]],Registre_Maintenance_Part[[ID_Antenne]:[Colonne2]],3,FALSE),"")</f>
        <v>4.8228650000000002</v>
      </c>
      <c r="I292">
        <f>IFERROR(VLOOKUP(Logs_Reseau_Part56[[#This Row],[Cell_ID]],Registre_Maintenance_Part[[ID_Antenne]:[Colonne2]],4,FALSE),"")</f>
        <v>30.555627000000001</v>
      </c>
      <c r="J292" t="str">
        <f>IFERROR(VLOOKUP(Logs_Reseau_Part56[[#This Row],[Cell_ID]],Registre_Maintenance_Part[[ID_Antenne]:[Colonne2]],5,FALSE),"")</f>
        <v>4G</v>
      </c>
      <c r="K292" t="str">
        <f>IFERROR(VLOOKUP(Logs_Reseau_Part56[[#This Row],[Cell_ID]],Registre_Maintenance_Part[[ID_Antenne]:[Colonne2]],6,FALSE),"")</f>
        <v>Huawei</v>
      </c>
    </row>
    <row r="293" spans="1:11" x14ac:dyDescent="0.3">
      <c r="A293" s="1">
        <v>45214.23541666667</v>
      </c>
      <c r="B293" s="2">
        <v>45214.23541666667</v>
      </c>
      <c r="C293" t="s">
        <v>1373</v>
      </c>
      <c r="D293">
        <v>33</v>
      </c>
      <c r="E293">
        <f>Logs_Reseau_Part56[[#This Row],[Duree_Panne_Min]]/60</f>
        <v>0.55000000000000004</v>
      </c>
      <c r="F293" t="s">
        <v>734</v>
      </c>
      <c r="G293" t="str">
        <f>IFERROR(VLOOKUP(Logs_Reseau_Part56[[#This Row],[Cell_ID]],Registre_Maintenance_Part[[ID_Antenne]:[Colonne2]],2,FALSE),"")</f>
        <v>Maniema</v>
      </c>
      <c r="H293">
        <f>IFERROR(VLOOKUP(Logs_Reseau_Part56[[#This Row],[Cell_ID]],Registre_Maintenance_Part[[ID_Antenne]:[Colonne2]],3,FALSE),"")</f>
        <v>-10.318835</v>
      </c>
      <c r="I293">
        <f>IFERROR(VLOOKUP(Logs_Reseau_Part56[[#This Row],[Cell_ID]],Registre_Maintenance_Part[[ID_Antenne]:[Colonne2]],4,FALSE),"")</f>
        <v>21.252382000000001</v>
      </c>
      <c r="J293" t="str">
        <f>IFERROR(VLOOKUP(Logs_Reseau_Part56[[#This Row],[Cell_ID]],Registre_Maintenance_Part[[ID_Antenne]:[Colonne2]],5,FALSE),"")</f>
        <v>4G</v>
      </c>
      <c r="K293" t="str">
        <f>IFERROR(VLOOKUP(Logs_Reseau_Part56[[#This Row],[Cell_ID]],Registre_Maintenance_Part[[ID_Antenne]:[Colonne2]],6,FALSE),"")</f>
        <v>Ericsson</v>
      </c>
    </row>
    <row r="294" spans="1:11" x14ac:dyDescent="0.3">
      <c r="A294" s="1">
        <v>45215.049305555563</v>
      </c>
      <c r="B294" s="2">
        <v>45215.049305555563</v>
      </c>
      <c r="C294" t="s">
        <v>1186</v>
      </c>
      <c r="D294">
        <v>33</v>
      </c>
      <c r="E294">
        <f>Logs_Reseau_Part56[[#This Row],[Duree_Panne_Min]]/60</f>
        <v>0.55000000000000004</v>
      </c>
      <c r="F294" t="s">
        <v>737</v>
      </c>
      <c r="G294" t="str">
        <f>IFERROR(VLOOKUP(Logs_Reseau_Part56[[#This Row],[Cell_ID]],Registre_Maintenance_Part[[ID_Antenne]:[Colonne2]],2,FALSE),"")</f>
        <v>Maniema</v>
      </c>
      <c r="H294">
        <f>IFERROR(VLOOKUP(Logs_Reseau_Part56[[#This Row],[Cell_ID]],Registre_Maintenance_Part[[ID_Antenne]:[Colonne2]],3,FALSE),"")</f>
        <v>2.5458379999999998</v>
      </c>
      <c r="I294">
        <f>IFERROR(VLOOKUP(Logs_Reseau_Part56[[#This Row],[Cell_ID]],Registre_Maintenance_Part[[ID_Antenne]:[Colonne2]],4,FALSE),"")</f>
        <v>13.308655</v>
      </c>
      <c r="J294" t="str">
        <f>IFERROR(VLOOKUP(Logs_Reseau_Part56[[#This Row],[Cell_ID]],Registre_Maintenance_Part[[ID_Antenne]:[Colonne2]],5,FALSE),"")</f>
        <v>5G</v>
      </c>
      <c r="K294" t="str">
        <f>IFERROR(VLOOKUP(Logs_Reseau_Part56[[#This Row],[Cell_ID]],Registre_Maintenance_Part[[ID_Antenne]:[Colonne2]],6,FALSE),"")</f>
        <v>ZTE</v>
      </c>
    </row>
    <row r="295" spans="1:11" x14ac:dyDescent="0.3">
      <c r="A295" s="1">
        <v>45215.587500000001</v>
      </c>
      <c r="B295" s="2">
        <v>45215.587500000001</v>
      </c>
      <c r="C295" t="s">
        <v>1186</v>
      </c>
      <c r="D295">
        <v>24</v>
      </c>
      <c r="E295">
        <f>Logs_Reseau_Part56[[#This Row],[Duree_Panne_Min]]/60</f>
        <v>0.4</v>
      </c>
      <c r="F295" t="s">
        <v>737</v>
      </c>
      <c r="G295" t="str">
        <f>IFERROR(VLOOKUP(Logs_Reseau_Part56[[#This Row],[Cell_ID]],Registre_Maintenance_Part[[ID_Antenne]:[Colonne2]],2,FALSE),"")</f>
        <v>Maniema</v>
      </c>
      <c r="H295">
        <f>IFERROR(VLOOKUP(Logs_Reseau_Part56[[#This Row],[Cell_ID]],Registre_Maintenance_Part[[ID_Antenne]:[Colonne2]],3,FALSE),"")</f>
        <v>2.5458379999999998</v>
      </c>
      <c r="I295">
        <f>IFERROR(VLOOKUP(Logs_Reseau_Part56[[#This Row],[Cell_ID]],Registre_Maintenance_Part[[ID_Antenne]:[Colonne2]],4,FALSE),"")</f>
        <v>13.308655</v>
      </c>
      <c r="J295" t="str">
        <f>IFERROR(VLOOKUP(Logs_Reseau_Part56[[#This Row],[Cell_ID]],Registre_Maintenance_Part[[ID_Antenne]:[Colonne2]],5,FALSE),"")</f>
        <v>5G</v>
      </c>
      <c r="K295" t="str">
        <f>IFERROR(VLOOKUP(Logs_Reseau_Part56[[#This Row],[Cell_ID]],Registre_Maintenance_Part[[ID_Antenne]:[Colonne2]],6,FALSE),"")</f>
        <v>ZTE</v>
      </c>
    </row>
    <row r="296" spans="1:11" x14ac:dyDescent="0.3">
      <c r="A296" s="1">
        <v>45216.26666666667</v>
      </c>
      <c r="B296" s="2">
        <v>45216.26666666667</v>
      </c>
      <c r="C296" t="s">
        <v>892</v>
      </c>
      <c r="D296">
        <v>90</v>
      </c>
      <c r="E296">
        <f>Logs_Reseau_Part56[[#This Row],[Duree_Panne_Min]]/60</f>
        <v>1.5</v>
      </c>
      <c r="F296" t="s">
        <v>739</v>
      </c>
      <c r="G296" t="str">
        <f>IFERROR(VLOOKUP(Logs_Reseau_Part56[[#This Row],[Cell_ID]],Registre_Maintenance_Part[[ID_Antenne]:[Colonne2]],2,FALSE),"")</f>
        <v>Maniema</v>
      </c>
      <c r="H296">
        <f>IFERROR(VLOOKUP(Logs_Reseau_Part56[[#This Row],[Cell_ID]],Registre_Maintenance_Part[[ID_Antenne]:[Colonne2]],3,FALSE),"")</f>
        <v>-2.3743210000000001</v>
      </c>
      <c r="I296">
        <f>IFERROR(VLOOKUP(Logs_Reseau_Part56[[#This Row],[Cell_ID]],Registre_Maintenance_Part[[ID_Antenne]:[Colonne2]],4,FALSE),"")</f>
        <v>22.399491000000001</v>
      </c>
      <c r="J296" t="str">
        <f>IFERROR(VLOOKUP(Logs_Reseau_Part56[[#This Row],[Cell_ID]],Registre_Maintenance_Part[[ID_Antenne]:[Colonne2]],5,FALSE),"")</f>
        <v>5G</v>
      </c>
      <c r="K296" t="str">
        <f>IFERROR(VLOOKUP(Logs_Reseau_Part56[[#This Row],[Cell_ID]],Registre_Maintenance_Part[[ID_Antenne]:[Colonne2]],6,FALSE),"")</f>
        <v>Ericsson</v>
      </c>
    </row>
    <row r="297" spans="1:11" x14ac:dyDescent="0.3">
      <c r="A297" s="1">
        <v>45217.775694444441</v>
      </c>
      <c r="B297" s="2">
        <v>45217.775694444441</v>
      </c>
      <c r="C297" t="s">
        <v>892</v>
      </c>
      <c r="D297">
        <v>84</v>
      </c>
      <c r="E297">
        <f>Logs_Reseau_Part56[[#This Row],[Duree_Panne_Min]]/60</f>
        <v>1.4</v>
      </c>
      <c r="F297" t="s">
        <v>734</v>
      </c>
      <c r="G297" t="str">
        <f>IFERROR(VLOOKUP(Logs_Reseau_Part56[[#This Row],[Cell_ID]],Registre_Maintenance_Part[[ID_Antenne]:[Colonne2]],2,FALSE),"")</f>
        <v>Maniema</v>
      </c>
      <c r="H297">
        <f>IFERROR(VLOOKUP(Logs_Reseau_Part56[[#This Row],[Cell_ID]],Registre_Maintenance_Part[[ID_Antenne]:[Colonne2]],3,FALSE),"")</f>
        <v>-2.3743210000000001</v>
      </c>
      <c r="I297">
        <f>IFERROR(VLOOKUP(Logs_Reseau_Part56[[#This Row],[Cell_ID]],Registre_Maintenance_Part[[ID_Antenne]:[Colonne2]],4,FALSE),"")</f>
        <v>22.399491000000001</v>
      </c>
      <c r="J297" t="str">
        <f>IFERROR(VLOOKUP(Logs_Reseau_Part56[[#This Row],[Cell_ID]],Registre_Maintenance_Part[[ID_Antenne]:[Colonne2]],5,FALSE),"")</f>
        <v>5G</v>
      </c>
      <c r="K297" t="str">
        <f>IFERROR(VLOOKUP(Logs_Reseau_Part56[[#This Row],[Cell_ID]],Registre_Maintenance_Part[[ID_Antenne]:[Colonne2]],6,FALSE),"")</f>
        <v>Ericsson</v>
      </c>
    </row>
    <row r="298" spans="1:11" x14ac:dyDescent="0.3">
      <c r="A298" s="1">
        <v>45221.376388888893</v>
      </c>
      <c r="B298" s="2">
        <v>45221.376388888893</v>
      </c>
      <c r="C298" t="s">
        <v>1024</v>
      </c>
      <c r="D298">
        <v>59</v>
      </c>
      <c r="E298">
        <f>Logs_Reseau_Part56[[#This Row],[Duree_Panne_Min]]/60</f>
        <v>0.98333333333333328</v>
      </c>
      <c r="F298" t="s">
        <v>739</v>
      </c>
      <c r="G298" t="str">
        <f>IFERROR(VLOOKUP(Logs_Reseau_Part56[[#This Row],[Cell_ID]],Registre_Maintenance_Part[[ID_Antenne]:[Colonne2]],2,FALSE),"")</f>
        <v>Maniema</v>
      </c>
      <c r="H298">
        <f>IFERROR(VLOOKUP(Logs_Reseau_Part56[[#This Row],[Cell_ID]],Registre_Maintenance_Part[[ID_Antenne]:[Colonne2]],3,FALSE),"")</f>
        <v>-8.4824669999999998</v>
      </c>
      <c r="I298">
        <f>IFERROR(VLOOKUP(Logs_Reseau_Part56[[#This Row],[Cell_ID]],Registre_Maintenance_Part[[ID_Antenne]:[Colonne2]],4,FALSE),"")</f>
        <v>21.897777999999999</v>
      </c>
      <c r="J298" t="str">
        <f>IFERROR(VLOOKUP(Logs_Reseau_Part56[[#This Row],[Cell_ID]],Registre_Maintenance_Part[[ID_Antenne]:[Colonne2]],5,FALSE),"")</f>
        <v>5G</v>
      </c>
      <c r="K298" t="str">
        <f>IFERROR(VLOOKUP(Logs_Reseau_Part56[[#This Row],[Cell_ID]],Registre_Maintenance_Part[[ID_Antenne]:[Colonne2]],6,FALSE),"")</f>
        <v>Ericsson</v>
      </c>
    </row>
    <row r="299" spans="1:11" x14ac:dyDescent="0.3">
      <c r="A299" s="1">
        <v>45224.201388888891</v>
      </c>
      <c r="B299" s="2">
        <v>45224.201388888891</v>
      </c>
      <c r="C299" t="s">
        <v>888</v>
      </c>
      <c r="D299">
        <v>43</v>
      </c>
      <c r="E299">
        <f>Logs_Reseau_Part56[[#This Row],[Duree_Panne_Min]]/60</f>
        <v>0.71666666666666667</v>
      </c>
      <c r="F299" t="s">
        <v>739</v>
      </c>
      <c r="G299" t="str">
        <f>IFERROR(VLOOKUP(Logs_Reseau_Part56[[#This Row],[Cell_ID]],Registre_Maintenance_Part[[ID_Antenne]:[Colonne2]],2,FALSE),"")</f>
        <v>Maniema</v>
      </c>
      <c r="H299">
        <f>IFERROR(VLOOKUP(Logs_Reseau_Part56[[#This Row],[Cell_ID]],Registre_Maintenance_Part[[ID_Antenne]:[Colonne2]],3,FALSE),"")</f>
        <v>-4.6818410000000004</v>
      </c>
      <c r="I299">
        <f>IFERROR(VLOOKUP(Logs_Reseau_Part56[[#This Row],[Cell_ID]],Registre_Maintenance_Part[[ID_Antenne]:[Colonne2]],4,FALSE),"")</f>
        <v>17.541618</v>
      </c>
      <c r="J299" t="str">
        <f>IFERROR(VLOOKUP(Logs_Reseau_Part56[[#This Row],[Cell_ID]],Registre_Maintenance_Part[[ID_Antenne]:[Colonne2]],5,FALSE),"")</f>
        <v>4G</v>
      </c>
      <c r="K299" t="str">
        <f>IFERROR(VLOOKUP(Logs_Reseau_Part56[[#This Row],[Cell_ID]],Registre_Maintenance_Part[[ID_Antenne]:[Colonne2]],6,FALSE),"")</f>
        <v>Ericsson</v>
      </c>
    </row>
    <row r="300" spans="1:11" x14ac:dyDescent="0.3">
      <c r="A300" s="1">
        <v>45226.530555555553</v>
      </c>
      <c r="B300" s="2">
        <v>45226.530555555553</v>
      </c>
      <c r="C300" t="s">
        <v>1367</v>
      </c>
      <c r="D300">
        <v>101</v>
      </c>
      <c r="E300">
        <f>Logs_Reseau_Part56[[#This Row],[Duree_Panne_Min]]/60</f>
        <v>1.6833333333333333</v>
      </c>
      <c r="F300" t="s">
        <v>739</v>
      </c>
      <c r="G300" t="str">
        <f>IFERROR(VLOOKUP(Logs_Reseau_Part56[[#This Row],[Cell_ID]],Registre_Maintenance_Part[[ID_Antenne]:[Colonne2]],2,FALSE),"")</f>
        <v>Maniema</v>
      </c>
      <c r="H300">
        <f>IFERROR(VLOOKUP(Logs_Reseau_Part56[[#This Row],[Cell_ID]],Registre_Maintenance_Part[[ID_Antenne]:[Colonne2]],3,FALSE),"")</f>
        <v>-10.650321</v>
      </c>
      <c r="I300">
        <f>IFERROR(VLOOKUP(Logs_Reseau_Part56[[#This Row],[Cell_ID]],Registre_Maintenance_Part[[ID_Antenne]:[Colonne2]],4,FALSE),"")</f>
        <v>15.917044000000001</v>
      </c>
      <c r="J300" t="str">
        <f>IFERROR(VLOOKUP(Logs_Reseau_Part56[[#This Row],[Cell_ID]],Registre_Maintenance_Part[[ID_Antenne]:[Colonne2]],5,FALSE),"")</f>
        <v>4G</v>
      </c>
      <c r="K300" t="str">
        <f>IFERROR(VLOOKUP(Logs_Reseau_Part56[[#This Row],[Cell_ID]],Registre_Maintenance_Part[[ID_Antenne]:[Colonne2]],6,FALSE),"")</f>
        <v>Nokia</v>
      </c>
    </row>
    <row r="301" spans="1:11" x14ac:dyDescent="0.3">
      <c r="A301" s="1">
        <v>45205.529861111107</v>
      </c>
      <c r="B301" s="2">
        <v>45205.529861111107</v>
      </c>
      <c r="C301" t="s">
        <v>816</v>
      </c>
      <c r="D301">
        <v>74</v>
      </c>
      <c r="E301">
        <f>Logs_Reseau_Part56[[#This Row],[Duree_Panne_Min]]/60</f>
        <v>1.2333333333333334</v>
      </c>
      <c r="F301" t="s">
        <v>737</v>
      </c>
      <c r="G301" t="str">
        <f>IFERROR(VLOOKUP(Logs_Reseau_Part56[[#This Row],[Cell_ID]],Registre_Maintenance_Part[[ID_Antenne]:[Colonne2]],2,FALSE),"")</f>
        <v>Mongala</v>
      </c>
      <c r="H301">
        <f>IFERROR(VLOOKUP(Logs_Reseau_Part56[[#This Row],[Cell_ID]],Registre_Maintenance_Part[[ID_Antenne]:[Colonne2]],3,FALSE),"")</f>
        <v>-11.514188000000001</v>
      </c>
      <c r="I301">
        <f>IFERROR(VLOOKUP(Logs_Reseau_Part56[[#This Row],[Cell_ID]],Registre_Maintenance_Part[[ID_Antenne]:[Colonne2]],4,FALSE),"")</f>
        <v>15.971181</v>
      </c>
      <c r="J301" t="str">
        <f>IFERROR(VLOOKUP(Logs_Reseau_Part56[[#This Row],[Cell_ID]],Registre_Maintenance_Part[[ID_Antenne]:[Colonne2]],5,FALSE),"")</f>
        <v>5G</v>
      </c>
      <c r="K301" t="str">
        <f>IFERROR(VLOOKUP(Logs_Reseau_Part56[[#This Row],[Cell_ID]],Registre_Maintenance_Part[[ID_Antenne]:[Colonne2]],6,FALSE),"")</f>
        <v>Ericsson</v>
      </c>
    </row>
    <row r="302" spans="1:11" x14ac:dyDescent="0.3">
      <c r="A302" s="1">
        <v>45210.836805555547</v>
      </c>
      <c r="B302" s="2">
        <v>45210.836805555547</v>
      </c>
      <c r="C302" t="s">
        <v>1175</v>
      </c>
      <c r="D302">
        <v>118</v>
      </c>
      <c r="E302">
        <f>Logs_Reseau_Part56[[#This Row],[Duree_Panne_Min]]/60</f>
        <v>1.9666666666666666</v>
      </c>
      <c r="F302" t="s">
        <v>734</v>
      </c>
      <c r="G302" t="str">
        <f>IFERROR(VLOOKUP(Logs_Reseau_Part56[[#This Row],[Cell_ID]],Registre_Maintenance_Part[[ID_Antenne]:[Colonne2]],2,FALSE),"")</f>
        <v>Mongala</v>
      </c>
      <c r="H302">
        <f>IFERROR(VLOOKUP(Logs_Reseau_Part56[[#This Row],[Cell_ID]],Registre_Maintenance_Part[[ID_Antenne]:[Colonne2]],3,FALSE),"")</f>
        <v>-11.407966</v>
      </c>
      <c r="I302">
        <f>IFERROR(VLOOKUP(Logs_Reseau_Part56[[#This Row],[Cell_ID]],Registre_Maintenance_Part[[ID_Antenne]:[Colonne2]],4,FALSE),"")</f>
        <v>28.378274000000001</v>
      </c>
      <c r="J302" t="str">
        <f>IFERROR(VLOOKUP(Logs_Reseau_Part56[[#This Row],[Cell_ID]],Registre_Maintenance_Part[[ID_Antenne]:[Colonne2]],5,FALSE),"")</f>
        <v>4G</v>
      </c>
      <c r="K302" t="str">
        <f>IFERROR(VLOOKUP(Logs_Reseau_Part56[[#This Row],[Cell_ID]],Registre_Maintenance_Part[[ID_Antenne]:[Colonne2]],6,FALSE),"")</f>
        <v>ZTE</v>
      </c>
    </row>
    <row r="303" spans="1:11" x14ac:dyDescent="0.3">
      <c r="A303" s="1">
        <v>45211.04583333333</v>
      </c>
      <c r="B303" s="2">
        <v>45211.04583333333</v>
      </c>
      <c r="C303" t="s">
        <v>1043</v>
      </c>
      <c r="D303">
        <v>18</v>
      </c>
      <c r="E303">
        <f>Logs_Reseau_Part56[[#This Row],[Duree_Panne_Min]]/60</f>
        <v>0.3</v>
      </c>
      <c r="F303" t="s">
        <v>739</v>
      </c>
      <c r="G303" t="str">
        <f>IFERROR(VLOOKUP(Logs_Reseau_Part56[[#This Row],[Cell_ID]],Registre_Maintenance_Part[[ID_Antenne]:[Colonne2]],2,FALSE),"")</f>
        <v>Mongala</v>
      </c>
      <c r="H303">
        <f>IFERROR(VLOOKUP(Logs_Reseau_Part56[[#This Row],[Cell_ID]],Registre_Maintenance_Part[[ID_Antenne]:[Colonne2]],3,FALSE),"")</f>
        <v>-5.3762689999999997</v>
      </c>
      <c r="I303">
        <f>IFERROR(VLOOKUP(Logs_Reseau_Part56[[#This Row],[Cell_ID]],Registre_Maintenance_Part[[ID_Antenne]:[Colonne2]],4,FALSE),"")</f>
        <v>28.189575999999999</v>
      </c>
      <c r="J303" t="str">
        <f>IFERROR(VLOOKUP(Logs_Reseau_Part56[[#This Row],[Cell_ID]],Registre_Maintenance_Part[[ID_Antenne]:[Colonne2]],5,FALSE),"")</f>
        <v>5G</v>
      </c>
      <c r="K303" t="str">
        <f>IFERROR(VLOOKUP(Logs_Reseau_Part56[[#This Row],[Cell_ID]],Registre_Maintenance_Part[[ID_Antenne]:[Colonne2]],6,FALSE),"")</f>
        <v>Huawei</v>
      </c>
    </row>
    <row r="304" spans="1:11" x14ac:dyDescent="0.3">
      <c r="A304" s="1">
        <v>45214.160416666673</v>
      </c>
      <c r="B304" s="2">
        <v>45214.160416666673</v>
      </c>
      <c r="C304" t="s">
        <v>1175</v>
      </c>
      <c r="D304">
        <v>108</v>
      </c>
      <c r="E304">
        <f>Logs_Reseau_Part56[[#This Row],[Duree_Panne_Min]]/60</f>
        <v>1.8</v>
      </c>
      <c r="F304" t="s">
        <v>739</v>
      </c>
      <c r="G304" t="str">
        <f>IFERROR(VLOOKUP(Logs_Reseau_Part56[[#This Row],[Cell_ID]],Registre_Maintenance_Part[[ID_Antenne]:[Colonne2]],2,FALSE),"")</f>
        <v>Mongala</v>
      </c>
      <c r="H304">
        <f>IFERROR(VLOOKUP(Logs_Reseau_Part56[[#This Row],[Cell_ID]],Registre_Maintenance_Part[[ID_Antenne]:[Colonne2]],3,FALSE),"")</f>
        <v>-11.407966</v>
      </c>
      <c r="I304">
        <f>IFERROR(VLOOKUP(Logs_Reseau_Part56[[#This Row],[Cell_ID]],Registre_Maintenance_Part[[ID_Antenne]:[Colonne2]],4,FALSE),"")</f>
        <v>28.378274000000001</v>
      </c>
      <c r="J304" t="str">
        <f>IFERROR(VLOOKUP(Logs_Reseau_Part56[[#This Row],[Cell_ID]],Registre_Maintenance_Part[[ID_Antenne]:[Colonne2]],5,FALSE),"")</f>
        <v>4G</v>
      </c>
      <c r="K304" t="str">
        <f>IFERROR(VLOOKUP(Logs_Reseau_Part56[[#This Row],[Cell_ID]],Registre_Maintenance_Part[[ID_Antenne]:[Colonne2]],6,FALSE),"")</f>
        <v>ZTE</v>
      </c>
    </row>
    <row r="305" spans="1:11" x14ac:dyDescent="0.3">
      <c r="A305" s="1">
        <v>45215.093055555553</v>
      </c>
      <c r="B305" s="2">
        <v>45215.093055555553</v>
      </c>
      <c r="C305" t="s">
        <v>1260</v>
      </c>
      <c r="D305">
        <v>87</v>
      </c>
      <c r="E305">
        <f>Logs_Reseau_Part56[[#This Row],[Duree_Panne_Min]]/60</f>
        <v>1.45</v>
      </c>
      <c r="F305" t="s">
        <v>734</v>
      </c>
      <c r="G305" t="str">
        <f>IFERROR(VLOOKUP(Logs_Reseau_Part56[[#This Row],[Cell_ID]],Registre_Maintenance_Part[[ID_Antenne]:[Colonne2]],2,FALSE),"")</f>
        <v>Mongala</v>
      </c>
      <c r="H305">
        <f>IFERROR(VLOOKUP(Logs_Reseau_Part56[[#This Row],[Cell_ID]],Registre_Maintenance_Part[[ID_Antenne]:[Colonne2]],3,FALSE),"")</f>
        <v>-7.6951369999999999</v>
      </c>
      <c r="I305">
        <f>IFERROR(VLOOKUP(Logs_Reseau_Part56[[#This Row],[Cell_ID]],Registre_Maintenance_Part[[ID_Antenne]:[Colonne2]],4,FALSE),"")</f>
        <v>13.346605</v>
      </c>
      <c r="J305" t="str">
        <f>IFERROR(VLOOKUP(Logs_Reseau_Part56[[#This Row],[Cell_ID]],Registre_Maintenance_Part[[ID_Antenne]:[Colonne2]],5,FALSE),"")</f>
        <v>4G</v>
      </c>
      <c r="K305" t="str">
        <f>IFERROR(VLOOKUP(Logs_Reseau_Part56[[#This Row],[Cell_ID]],Registre_Maintenance_Part[[ID_Antenne]:[Colonne2]],6,FALSE),"")</f>
        <v>Ericsson</v>
      </c>
    </row>
    <row r="306" spans="1:11" x14ac:dyDescent="0.3">
      <c r="A306" s="1">
        <v>45216.137499999997</v>
      </c>
      <c r="B306" s="2">
        <v>45216.137499999997</v>
      </c>
      <c r="C306" t="s">
        <v>1412</v>
      </c>
      <c r="D306">
        <v>120</v>
      </c>
      <c r="E306">
        <f>Logs_Reseau_Part56[[#This Row],[Duree_Panne_Min]]/60</f>
        <v>2</v>
      </c>
      <c r="F306" t="s">
        <v>737</v>
      </c>
      <c r="G306" t="str">
        <f>IFERROR(VLOOKUP(Logs_Reseau_Part56[[#This Row],[Cell_ID]],Registre_Maintenance_Part[[ID_Antenne]:[Colonne2]],2,FALSE),"")</f>
        <v>Mongala</v>
      </c>
      <c r="H306">
        <f>IFERROR(VLOOKUP(Logs_Reseau_Part56[[#This Row],[Cell_ID]],Registre_Maintenance_Part[[ID_Antenne]:[Colonne2]],3,FALSE),"")</f>
        <v>-7.2267089999999996</v>
      </c>
      <c r="I306">
        <f>IFERROR(VLOOKUP(Logs_Reseau_Part56[[#This Row],[Cell_ID]],Registre_Maintenance_Part[[ID_Antenne]:[Colonne2]],4,FALSE),"")</f>
        <v>28.421362999999999</v>
      </c>
      <c r="J306" t="str">
        <f>IFERROR(VLOOKUP(Logs_Reseau_Part56[[#This Row],[Cell_ID]],Registre_Maintenance_Part[[ID_Antenne]:[Colonne2]],5,FALSE),"")</f>
        <v>5G</v>
      </c>
      <c r="K306" t="str">
        <f>IFERROR(VLOOKUP(Logs_Reseau_Part56[[#This Row],[Cell_ID]],Registre_Maintenance_Part[[ID_Antenne]:[Colonne2]],6,FALSE),"")</f>
        <v>Ericsson</v>
      </c>
    </row>
    <row r="307" spans="1:11" x14ac:dyDescent="0.3">
      <c r="A307" s="1">
        <v>45217.89166666667</v>
      </c>
      <c r="B307" s="2">
        <v>45217.89166666667</v>
      </c>
      <c r="C307" t="s">
        <v>1043</v>
      </c>
      <c r="D307">
        <v>108</v>
      </c>
      <c r="E307">
        <f>Logs_Reseau_Part56[[#This Row],[Duree_Panne_Min]]/60</f>
        <v>1.8</v>
      </c>
      <c r="F307" t="s">
        <v>739</v>
      </c>
      <c r="G307" t="str">
        <f>IFERROR(VLOOKUP(Logs_Reseau_Part56[[#This Row],[Cell_ID]],Registre_Maintenance_Part[[ID_Antenne]:[Colonne2]],2,FALSE),"")</f>
        <v>Mongala</v>
      </c>
      <c r="H307">
        <f>IFERROR(VLOOKUP(Logs_Reseau_Part56[[#This Row],[Cell_ID]],Registre_Maintenance_Part[[ID_Antenne]:[Colonne2]],3,FALSE),"")</f>
        <v>-5.3762689999999997</v>
      </c>
      <c r="I307">
        <f>IFERROR(VLOOKUP(Logs_Reseau_Part56[[#This Row],[Cell_ID]],Registre_Maintenance_Part[[ID_Antenne]:[Colonne2]],4,FALSE),"")</f>
        <v>28.189575999999999</v>
      </c>
      <c r="J307" t="str">
        <f>IFERROR(VLOOKUP(Logs_Reseau_Part56[[#This Row],[Cell_ID]],Registre_Maintenance_Part[[ID_Antenne]:[Colonne2]],5,FALSE),"")</f>
        <v>5G</v>
      </c>
      <c r="K307" t="str">
        <f>IFERROR(VLOOKUP(Logs_Reseau_Part56[[#This Row],[Cell_ID]],Registre_Maintenance_Part[[ID_Antenne]:[Colonne2]],6,FALSE),"")</f>
        <v>Huawei</v>
      </c>
    </row>
    <row r="308" spans="1:11" x14ac:dyDescent="0.3">
      <c r="A308" s="1">
        <v>45221.505555555559</v>
      </c>
      <c r="B308" s="2">
        <v>45221.505555555559</v>
      </c>
      <c r="C308" t="s">
        <v>1048</v>
      </c>
      <c r="D308">
        <v>51</v>
      </c>
      <c r="E308">
        <f>Logs_Reseau_Part56[[#This Row],[Duree_Panne_Min]]/60</f>
        <v>0.85</v>
      </c>
      <c r="F308" t="s">
        <v>734</v>
      </c>
      <c r="G308" t="str">
        <f>IFERROR(VLOOKUP(Logs_Reseau_Part56[[#This Row],[Cell_ID]],Registre_Maintenance_Part[[ID_Antenne]:[Colonne2]],2,FALSE),"")</f>
        <v>Mongala</v>
      </c>
      <c r="H308">
        <f>IFERROR(VLOOKUP(Logs_Reseau_Part56[[#This Row],[Cell_ID]],Registre_Maintenance_Part[[ID_Antenne]:[Colonne2]],3,FALSE),"")</f>
        <v>-1.231033</v>
      </c>
      <c r="I308">
        <f>IFERROR(VLOOKUP(Logs_Reseau_Part56[[#This Row],[Cell_ID]],Registre_Maintenance_Part[[ID_Antenne]:[Colonne2]],4,FALSE),"")</f>
        <v>28.851388</v>
      </c>
      <c r="J308" t="str">
        <f>IFERROR(VLOOKUP(Logs_Reseau_Part56[[#This Row],[Cell_ID]],Registre_Maintenance_Part[[ID_Antenne]:[Colonne2]],5,FALSE),"")</f>
        <v>3G</v>
      </c>
      <c r="K308" t="str">
        <f>IFERROR(VLOOKUP(Logs_Reseau_Part56[[#This Row],[Cell_ID]],Registre_Maintenance_Part[[ID_Antenne]:[Colonne2]],6,FALSE),"")</f>
        <v>Ericsson</v>
      </c>
    </row>
    <row r="309" spans="1:11" x14ac:dyDescent="0.3">
      <c r="A309" s="1">
        <v>45221.775000000001</v>
      </c>
      <c r="B309" s="2">
        <v>45221.775000000001</v>
      </c>
      <c r="C309" t="s">
        <v>816</v>
      </c>
      <c r="D309">
        <v>24</v>
      </c>
      <c r="E309">
        <f>Logs_Reseau_Part56[[#This Row],[Duree_Panne_Min]]/60</f>
        <v>0.4</v>
      </c>
      <c r="F309" t="s">
        <v>734</v>
      </c>
      <c r="G309" t="str">
        <f>IFERROR(VLOOKUP(Logs_Reseau_Part56[[#This Row],[Cell_ID]],Registre_Maintenance_Part[[ID_Antenne]:[Colonne2]],2,FALSE),"")</f>
        <v>Mongala</v>
      </c>
      <c r="H309">
        <f>IFERROR(VLOOKUP(Logs_Reseau_Part56[[#This Row],[Cell_ID]],Registre_Maintenance_Part[[ID_Antenne]:[Colonne2]],3,FALSE),"")</f>
        <v>-11.514188000000001</v>
      </c>
      <c r="I309">
        <f>IFERROR(VLOOKUP(Logs_Reseau_Part56[[#This Row],[Cell_ID]],Registre_Maintenance_Part[[ID_Antenne]:[Colonne2]],4,FALSE),"")</f>
        <v>15.971181</v>
      </c>
      <c r="J309" t="str">
        <f>IFERROR(VLOOKUP(Logs_Reseau_Part56[[#This Row],[Cell_ID]],Registre_Maintenance_Part[[ID_Antenne]:[Colonne2]],5,FALSE),"")</f>
        <v>5G</v>
      </c>
      <c r="K309" t="str">
        <f>IFERROR(VLOOKUP(Logs_Reseau_Part56[[#This Row],[Cell_ID]],Registre_Maintenance_Part[[ID_Antenne]:[Colonne2]],6,FALSE),"")</f>
        <v>Ericsson</v>
      </c>
    </row>
    <row r="310" spans="1:11" x14ac:dyDescent="0.3">
      <c r="A310" s="1">
        <v>45222.188888888893</v>
      </c>
      <c r="B310" s="2">
        <v>45222.188888888893</v>
      </c>
      <c r="C310" t="s">
        <v>1043</v>
      </c>
      <c r="D310">
        <v>33</v>
      </c>
      <c r="E310">
        <f>Logs_Reseau_Part56[[#This Row],[Duree_Panne_Min]]/60</f>
        <v>0.55000000000000004</v>
      </c>
      <c r="F310" t="s">
        <v>734</v>
      </c>
      <c r="G310" t="str">
        <f>IFERROR(VLOOKUP(Logs_Reseau_Part56[[#This Row],[Cell_ID]],Registre_Maintenance_Part[[ID_Antenne]:[Colonne2]],2,FALSE),"")</f>
        <v>Mongala</v>
      </c>
      <c r="H310">
        <f>IFERROR(VLOOKUP(Logs_Reseau_Part56[[#This Row],[Cell_ID]],Registre_Maintenance_Part[[ID_Antenne]:[Colonne2]],3,FALSE),"")</f>
        <v>-5.3762689999999997</v>
      </c>
      <c r="I310">
        <f>IFERROR(VLOOKUP(Logs_Reseau_Part56[[#This Row],[Cell_ID]],Registre_Maintenance_Part[[ID_Antenne]:[Colonne2]],4,FALSE),"")</f>
        <v>28.189575999999999</v>
      </c>
      <c r="J310" t="str">
        <f>IFERROR(VLOOKUP(Logs_Reseau_Part56[[#This Row],[Cell_ID]],Registre_Maintenance_Part[[ID_Antenne]:[Colonne2]],5,FALSE),"")</f>
        <v>5G</v>
      </c>
      <c r="K310" t="str">
        <f>IFERROR(VLOOKUP(Logs_Reseau_Part56[[#This Row],[Cell_ID]],Registre_Maintenance_Part[[ID_Antenne]:[Colonne2]],6,FALSE),"")</f>
        <v>Huawei</v>
      </c>
    </row>
    <row r="311" spans="1:11" x14ac:dyDescent="0.3">
      <c r="A311" s="1">
        <v>45223.400694444441</v>
      </c>
      <c r="B311" s="2">
        <v>45223.400694444441</v>
      </c>
      <c r="C311" t="s">
        <v>1048</v>
      </c>
      <c r="D311">
        <v>41</v>
      </c>
      <c r="E311">
        <f>Logs_Reseau_Part56[[#This Row],[Duree_Panne_Min]]/60</f>
        <v>0.68333333333333335</v>
      </c>
      <c r="F311" t="s">
        <v>739</v>
      </c>
      <c r="G311" t="str">
        <f>IFERROR(VLOOKUP(Logs_Reseau_Part56[[#This Row],[Cell_ID]],Registre_Maintenance_Part[[ID_Antenne]:[Colonne2]],2,FALSE),"")</f>
        <v>Mongala</v>
      </c>
      <c r="H311">
        <f>IFERROR(VLOOKUP(Logs_Reseau_Part56[[#This Row],[Cell_ID]],Registre_Maintenance_Part[[ID_Antenne]:[Colonne2]],3,FALSE),"")</f>
        <v>-1.231033</v>
      </c>
      <c r="I311">
        <f>IFERROR(VLOOKUP(Logs_Reseau_Part56[[#This Row],[Cell_ID]],Registre_Maintenance_Part[[ID_Antenne]:[Colonne2]],4,FALSE),"")</f>
        <v>28.851388</v>
      </c>
      <c r="J311" t="str">
        <f>IFERROR(VLOOKUP(Logs_Reseau_Part56[[#This Row],[Cell_ID]],Registre_Maintenance_Part[[ID_Antenne]:[Colonne2]],5,FALSE),"")</f>
        <v>3G</v>
      </c>
      <c r="K311" t="str">
        <f>IFERROR(VLOOKUP(Logs_Reseau_Part56[[#This Row],[Cell_ID]],Registre_Maintenance_Part[[ID_Antenne]:[Colonne2]],6,FALSE),"")</f>
        <v>Ericsson</v>
      </c>
    </row>
    <row r="312" spans="1:11" x14ac:dyDescent="0.3">
      <c r="A312" s="1">
        <v>45223.759722222218</v>
      </c>
      <c r="B312" s="2">
        <v>45223.759722222218</v>
      </c>
      <c r="C312" t="s">
        <v>1043</v>
      </c>
      <c r="D312">
        <v>78</v>
      </c>
      <c r="E312">
        <f>Logs_Reseau_Part56[[#This Row],[Duree_Panne_Min]]/60</f>
        <v>1.3</v>
      </c>
      <c r="F312" t="s">
        <v>737</v>
      </c>
      <c r="G312" t="str">
        <f>IFERROR(VLOOKUP(Logs_Reseau_Part56[[#This Row],[Cell_ID]],Registre_Maintenance_Part[[ID_Antenne]:[Colonne2]],2,FALSE),"")</f>
        <v>Mongala</v>
      </c>
      <c r="H312">
        <f>IFERROR(VLOOKUP(Logs_Reseau_Part56[[#This Row],[Cell_ID]],Registre_Maintenance_Part[[ID_Antenne]:[Colonne2]],3,FALSE),"")</f>
        <v>-5.3762689999999997</v>
      </c>
      <c r="I312">
        <f>IFERROR(VLOOKUP(Logs_Reseau_Part56[[#This Row],[Cell_ID]],Registre_Maintenance_Part[[ID_Antenne]:[Colonne2]],4,FALSE),"")</f>
        <v>28.189575999999999</v>
      </c>
      <c r="J312" t="str">
        <f>IFERROR(VLOOKUP(Logs_Reseau_Part56[[#This Row],[Cell_ID]],Registre_Maintenance_Part[[ID_Antenne]:[Colonne2]],5,FALSE),"")</f>
        <v>5G</v>
      </c>
      <c r="K312" t="str">
        <f>IFERROR(VLOOKUP(Logs_Reseau_Part56[[#This Row],[Cell_ID]],Registre_Maintenance_Part[[ID_Antenne]:[Colonne2]],6,FALSE),"")</f>
        <v>Huawei</v>
      </c>
    </row>
    <row r="313" spans="1:11" x14ac:dyDescent="0.3">
      <c r="A313" s="1">
        <v>45226.37777777778</v>
      </c>
      <c r="B313" s="2">
        <v>45226.37777777778</v>
      </c>
      <c r="C313" t="s">
        <v>1028</v>
      </c>
      <c r="D313">
        <v>74</v>
      </c>
      <c r="E313">
        <f>Logs_Reseau_Part56[[#This Row],[Duree_Panne_Min]]/60</f>
        <v>1.2333333333333334</v>
      </c>
      <c r="F313" t="s">
        <v>739</v>
      </c>
      <c r="G313" t="str">
        <f>IFERROR(VLOOKUP(Logs_Reseau_Part56[[#This Row],[Cell_ID]],Registre_Maintenance_Part[[ID_Antenne]:[Colonne2]],2,FALSE),"")</f>
        <v>Mongala</v>
      </c>
      <c r="H313">
        <f>IFERROR(VLOOKUP(Logs_Reseau_Part56[[#This Row],[Cell_ID]],Registre_Maintenance_Part[[ID_Antenne]:[Colonne2]],3,FALSE),"")</f>
        <v>4.6809229999999999</v>
      </c>
      <c r="I313">
        <f>IFERROR(VLOOKUP(Logs_Reseau_Part56[[#This Row],[Cell_ID]],Registre_Maintenance_Part[[ID_Antenne]:[Colonne2]],4,FALSE),"")</f>
        <v>28.934242000000001</v>
      </c>
      <c r="J313" t="str">
        <f>IFERROR(VLOOKUP(Logs_Reseau_Part56[[#This Row],[Cell_ID]],Registre_Maintenance_Part[[ID_Antenne]:[Colonne2]],5,FALSE),"")</f>
        <v>5G</v>
      </c>
      <c r="K313" t="str">
        <f>IFERROR(VLOOKUP(Logs_Reseau_Part56[[#This Row],[Cell_ID]],Registre_Maintenance_Part[[ID_Antenne]:[Colonne2]],6,FALSE),"")</f>
        <v>Nokia</v>
      </c>
    </row>
    <row r="314" spans="1:11" x14ac:dyDescent="0.3">
      <c r="A314" s="1">
        <v>45230.26458333333</v>
      </c>
      <c r="B314" s="2">
        <v>45230.26458333333</v>
      </c>
      <c r="C314" t="s">
        <v>1056</v>
      </c>
      <c r="D314">
        <v>62</v>
      </c>
      <c r="E314">
        <f>Logs_Reseau_Part56[[#This Row],[Duree_Panne_Min]]/60</f>
        <v>1.0333333333333334</v>
      </c>
      <c r="F314" t="s">
        <v>734</v>
      </c>
      <c r="G314" t="str">
        <f>IFERROR(VLOOKUP(Logs_Reseau_Part56[[#This Row],[Cell_ID]],Registre_Maintenance_Part[[ID_Antenne]:[Colonne2]],2,FALSE),"")</f>
        <v>Mongala</v>
      </c>
      <c r="H314">
        <f>IFERROR(VLOOKUP(Logs_Reseau_Part56[[#This Row],[Cell_ID]],Registre_Maintenance_Part[[ID_Antenne]:[Colonne2]],3,FALSE),"")</f>
        <v>3.6344850000000002</v>
      </c>
      <c r="I314">
        <f>IFERROR(VLOOKUP(Logs_Reseau_Part56[[#This Row],[Cell_ID]],Registre_Maintenance_Part[[ID_Antenne]:[Colonne2]],4,FALSE),"")</f>
        <v>12.158348999999999</v>
      </c>
      <c r="J314" t="str">
        <f>IFERROR(VLOOKUP(Logs_Reseau_Part56[[#This Row],[Cell_ID]],Registre_Maintenance_Part[[ID_Antenne]:[Colonne2]],5,FALSE),"")</f>
        <v>5G</v>
      </c>
      <c r="K314" t="str">
        <f>IFERROR(VLOOKUP(Logs_Reseau_Part56[[#This Row],[Cell_ID]],Registre_Maintenance_Part[[ID_Antenne]:[Colonne2]],6,FALSE),"")</f>
        <v>Ericsson</v>
      </c>
    </row>
    <row r="315" spans="1:11" x14ac:dyDescent="0.3">
      <c r="A315" s="1">
        <v>45201.086111111108</v>
      </c>
      <c r="B315" s="2">
        <v>45201.086111111108</v>
      </c>
      <c r="C315" t="s">
        <v>929</v>
      </c>
      <c r="D315">
        <v>55</v>
      </c>
      <c r="E315">
        <f>Logs_Reseau_Part56[[#This Row],[Duree_Panne_Min]]/60</f>
        <v>0.91666666666666663</v>
      </c>
      <c r="F315" t="s">
        <v>734</v>
      </c>
      <c r="G315" t="str">
        <f>IFERROR(VLOOKUP(Logs_Reseau_Part56[[#This Row],[Cell_ID]],Registre_Maintenance_Part[[ID_Antenne]:[Colonne2]],2,FALSE),"")</f>
        <v>Nord-Kivu</v>
      </c>
      <c r="H315">
        <f>IFERROR(VLOOKUP(Logs_Reseau_Part56[[#This Row],[Cell_ID]],Registre_Maintenance_Part[[ID_Antenne]:[Colonne2]],3,FALSE),"")</f>
        <v>-1.8555980000000001</v>
      </c>
      <c r="I315">
        <f>IFERROR(VLOOKUP(Logs_Reseau_Part56[[#This Row],[Cell_ID]],Registre_Maintenance_Part[[ID_Antenne]:[Colonne2]],4,FALSE),"")</f>
        <v>30.421918000000002</v>
      </c>
      <c r="J315" t="str">
        <f>IFERROR(VLOOKUP(Logs_Reseau_Part56[[#This Row],[Cell_ID]],Registre_Maintenance_Part[[ID_Antenne]:[Colonne2]],5,FALSE),"")</f>
        <v>3G</v>
      </c>
      <c r="K315" t="str">
        <f>IFERROR(VLOOKUP(Logs_Reseau_Part56[[#This Row],[Cell_ID]],Registre_Maintenance_Part[[ID_Antenne]:[Colonne2]],6,FALSE),"")</f>
        <v>ZTE</v>
      </c>
    </row>
    <row r="316" spans="1:11" x14ac:dyDescent="0.3">
      <c r="A316" s="1">
        <v>45201.212500000001</v>
      </c>
      <c r="B316" s="2">
        <v>45201.212500000001</v>
      </c>
      <c r="C316" t="s">
        <v>799</v>
      </c>
      <c r="D316">
        <v>40</v>
      </c>
      <c r="E316">
        <f>Logs_Reseau_Part56[[#This Row],[Duree_Panne_Min]]/60</f>
        <v>0.66666666666666663</v>
      </c>
      <c r="F316" t="s">
        <v>737</v>
      </c>
      <c r="G316" t="str">
        <f>IFERROR(VLOOKUP(Logs_Reseau_Part56[[#This Row],[Cell_ID]],Registre_Maintenance_Part[[ID_Antenne]:[Colonne2]],2,FALSE),"")</f>
        <v>Nord-Kivu</v>
      </c>
      <c r="H316">
        <f>IFERROR(VLOOKUP(Logs_Reseau_Part56[[#This Row],[Cell_ID]],Registre_Maintenance_Part[[ID_Antenne]:[Colonne2]],3,FALSE),"")</f>
        <v>0.82868600000000003</v>
      </c>
      <c r="I316">
        <f>IFERROR(VLOOKUP(Logs_Reseau_Part56[[#This Row],[Cell_ID]],Registre_Maintenance_Part[[ID_Antenne]:[Colonne2]],4,FALSE),"")</f>
        <v>26.958843999999999</v>
      </c>
      <c r="J316" t="str">
        <f>IFERROR(VLOOKUP(Logs_Reseau_Part56[[#This Row],[Cell_ID]],Registre_Maintenance_Part[[ID_Antenne]:[Colonne2]],5,FALSE),"")</f>
        <v>5G</v>
      </c>
      <c r="K316" t="str">
        <f>IFERROR(VLOOKUP(Logs_Reseau_Part56[[#This Row],[Cell_ID]],Registre_Maintenance_Part[[ID_Antenne]:[Colonne2]],6,FALSE),"")</f>
        <v>ZTE</v>
      </c>
    </row>
    <row r="317" spans="1:11" x14ac:dyDescent="0.3">
      <c r="A317" s="1">
        <v>45201.224999999999</v>
      </c>
      <c r="B317" s="2">
        <v>45201.224999999999</v>
      </c>
      <c r="C317" t="s">
        <v>799</v>
      </c>
      <c r="D317">
        <v>83</v>
      </c>
      <c r="E317">
        <f>Logs_Reseau_Part56[[#This Row],[Duree_Panne_Min]]/60</f>
        <v>1.3833333333333333</v>
      </c>
      <c r="F317" t="s">
        <v>737</v>
      </c>
      <c r="G317" t="str">
        <f>IFERROR(VLOOKUP(Logs_Reseau_Part56[[#This Row],[Cell_ID]],Registre_Maintenance_Part[[ID_Antenne]:[Colonne2]],2,FALSE),"")</f>
        <v>Nord-Kivu</v>
      </c>
      <c r="H317">
        <f>IFERROR(VLOOKUP(Logs_Reseau_Part56[[#This Row],[Cell_ID]],Registre_Maintenance_Part[[ID_Antenne]:[Colonne2]],3,FALSE),"")</f>
        <v>0.82868600000000003</v>
      </c>
      <c r="I317">
        <f>IFERROR(VLOOKUP(Logs_Reseau_Part56[[#This Row],[Cell_ID]],Registre_Maintenance_Part[[ID_Antenne]:[Colonne2]],4,FALSE),"")</f>
        <v>26.958843999999999</v>
      </c>
      <c r="J317" t="str">
        <f>IFERROR(VLOOKUP(Logs_Reseau_Part56[[#This Row],[Cell_ID]],Registre_Maintenance_Part[[ID_Antenne]:[Colonne2]],5,FALSE),"")</f>
        <v>5G</v>
      </c>
      <c r="K317" t="str">
        <f>IFERROR(VLOOKUP(Logs_Reseau_Part56[[#This Row],[Cell_ID]],Registre_Maintenance_Part[[ID_Antenne]:[Colonne2]],6,FALSE),"")</f>
        <v>ZTE</v>
      </c>
    </row>
    <row r="318" spans="1:11" x14ac:dyDescent="0.3">
      <c r="A318" s="1">
        <v>45201.877083333333</v>
      </c>
      <c r="B318" s="2">
        <v>45201.877083333333</v>
      </c>
      <c r="C318" t="s">
        <v>902</v>
      </c>
      <c r="D318">
        <v>82</v>
      </c>
      <c r="E318">
        <f>Logs_Reseau_Part56[[#This Row],[Duree_Panne_Min]]/60</f>
        <v>1.3666666666666667</v>
      </c>
      <c r="F318" t="s">
        <v>739</v>
      </c>
      <c r="G318" t="str">
        <f>IFERROR(VLOOKUP(Logs_Reseau_Part56[[#This Row],[Cell_ID]],Registre_Maintenance_Part[[ID_Antenne]:[Colonne2]],2,FALSE),"")</f>
        <v>Nord-Kivu</v>
      </c>
      <c r="H318">
        <f>IFERROR(VLOOKUP(Logs_Reseau_Part56[[#This Row],[Cell_ID]],Registre_Maintenance_Part[[ID_Antenne]:[Colonne2]],3,FALSE),"")</f>
        <v>-12.336202</v>
      </c>
      <c r="I318">
        <f>IFERROR(VLOOKUP(Logs_Reseau_Part56[[#This Row],[Cell_ID]],Registre_Maintenance_Part[[ID_Antenne]:[Colonne2]],4,FALSE),"")</f>
        <v>13.693683999999999</v>
      </c>
      <c r="J318" t="str">
        <f>IFERROR(VLOOKUP(Logs_Reseau_Part56[[#This Row],[Cell_ID]],Registre_Maintenance_Part[[ID_Antenne]:[Colonne2]],5,FALSE),"")</f>
        <v>5G</v>
      </c>
      <c r="K318" t="str">
        <f>IFERROR(VLOOKUP(Logs_Reseau_Part56[[#This Row],[Cell_ID]],Registre_Maintenance_Part[[ID_Antenne]:[Colonne2]],6,FALSE),"")</f>
        <v>Huawei</v>
      </c>
    </row>
    <row r="319" spans="1:11" x14ac:dyDescent="0.3">
      <c r="A319" s="1">
        <v>45201.884722222218</v>
      </c>
      <c r="B319" s="2">
        <v>45201.884722222218</v>
      </c>
      <c r="C319" t="s">
        <v>760</v>
      </c>
      <c r="D319">
        <v>54</v>
      </c>
      <c r="E319">
        <f>Logs_Reseau_Part56[[#This Row],[Duree_Panne_Min]]/60</f>
        <v>0.9</v>
      </c>
      <c r="F319" t="s">
        <v>739</v>
      </c>
      <c r="G319" t="str">
        <f>IFERROR(VLOOKUP(Logs_Reseau_Part56[[#This Row],[Cell_ID]],Registre_Maintenance_Part[[ID_Antenne]:[Colonne2]],2,FALSE),"")</f>
        <v>Nord-Kivu</v>
      </c>
      <c r="H319">
        <f>IFERROR(VLOOKUP(Logs_Reseau_Part56[[#This Row],[Cell_ID]],Registre_Maintenance_Part[[ID_Antenne]:[Colonne2]],3,FALSE),"")</f>
        <v>4.6287159999999998</v>
      </c>
      <c r="I319">
        <f>IFERROR(VLOOKUP(Logs_Reseau_Part56[[#This Row],[Cell_ID]],Registre_Maintenance_Part[[ID_Antenne]:[Colonne2]],4,FALSE),"")</f>
        <v>19.407077999999998</v>
      </c>
      <c r="J319" t="str">
        <f>IFERROR(VLOOKUP(Logs_Reseau_Part56[[#This Row],[Cell_ID]],Registre_Maintenance_Part[[ID_Antenne]:[Colonne2]],5,FALSE),"")</f>
        <v>4G</v>
      </c>
      <c r="K319" t="str">
        <f>IFERROR(VLOOKUP(Logs_Reseau_Part56[[#This Row],[Cell_ID]],Registre_Maintenance_Part[[ID_Antenne]:[Colonne2]],6,FALSE),"")</f>
        <v>Ericsson</v>
      </c>
    </row>
    <row r="320" spans="1:11" x14ac:dyDescent="0.3">
      <c r="A320" s="1">
        <v>45202.161805555559</v>
      </c>
      <c r="B320" s="2">
        <v>45202.161805555559</v>
      </c>
      <c r="C320" t="s">
        <v>1064</v>
      </c>
      <c r="D320">
        <v>61</v>
      </c>
      <c r="E320">
        <f>Logs_Reseau_Part56[[#This Row],[Duree_Panne_Min]]/60</f>
        <v>1.0166666666666666</v>
      </c>
      <c r="F320" t="s">
        <v>737</v>
      </c>
      <c r="G320" t="str">
        <f>IFERROR(VLOOKUP(Logs_Reseau_Part56[[#This Row],[Cell_ID]],Registre_Maintenance_Part[[ID_Antenne]:[Colonne2]],2,FALSE),"")</f>
        <v>Nord-Kivu</v>
      </c>
      <c r="H320">
        <f>IFERROR(VLOOKUP(Logs_Reseau_Part56[[#This Row],[Cell_ID]],Registre_Maintenance_Part[[ID_Antenne]:[Colonne2]],3,FALSE),"")</f>
        <v>-6.5529849999999996</v>
      </c>
      <c r="I320">
        <f>IFERROR(VLOOKUP(Logs_Reseau_Part56[[#This Row],[Cell_ID]],Registre_Maintenance_Part[[ID_Antenne]:[Colonne2]],4,FALSE),"")</f>
        <v>21.990606</v>
      </c>
      <c r="J320" t="str">
        <f>IFERROR(VLOOKUP(Logs_Reseau_Part56[[#This Row],[Cell_ID]],Registre_Maintenance_Part[[ID_Antenne]:[Colonne2]],5,FALSE),"")</f>
        <v>3G</v>
      </c>
      <c r="K320" t="str">
        <f>IFERROR(VLOOKUP(Logs_Reseau_Part56[[#This Row],[Cell_ID]],Registre_Maintenance_Part[[ID_Antenne]:[Colonne2]],6,FALSE),"")</f>
        <v>Huawei</v>
      </c>
    </row>
    <row r="321" spans="1:11" x14ac:dyDescent="0.3">
      <c r="A321" s="1">
        <v>45203.997916666667</v>
      </c>
      <c r="B321" s="2">
        <v>45203.997916666667</v>
      </c>
      <c r="C321" t="s">
        <v>841</v>
      </c>
      <c r="D321">
        <v>101</v>
      </c>
      <c r="E321">
        <f>Logs_Reseau_Part56[[#This Row],[Duree_Panne_Min]]/60</f>
        <v>1.6833333333333333</v>
      </c>
      <c r="F321" t="s">
        <v>739</v>
      </c>
      <c r="G321" t="str">
        <f>IFERROR(VLOOKUP(Logs_Reseau_Part56[[#This Row],[Cell_ID]],Registre_Maintenance_Part[[ID_Antenne]:[Colonne2]],2,FALSE),"")</f>
        <v>Nord-Kivu</v>
      </c>
      <c r="H321">
        <f>IFERROR(VLOOKUP(Logs_Reseau_Part56[[#This Row],[Cell_ID]],Registre_Maintenance_Part[[ID_Antenne]:[Colonne2]],3,FALSE),"")</f>
        <v>-6.3148239999999998</v>
      </c>
      <c r="I321">
        <f>IFERROR(VLOOKUP(Logs_Reseau_Part56[[#This Row],[Cell_ID]],Registre_Maintenance_Part[[ID_Antenne]:[Colonne2]],4,FALSE),"")</f>
        <v>24.507498999999999</v>
      </c>
      <c r="J321" t="str">
        <f>IFERROR(VLOOKUP(Logs_Reseau_Part56[[#This Row],[Cell_ID]],Registre_Maintenance_Part[[ID_Antenne]:[Colonne2]],5,FALSE),"")</f>
        <v>3G</v>
      </c>
      <c r="K321" t="str">
        <f>IFERROR(VLOOKUP(Logs_Reseau_Part56[[#This Row],[Cell_ID]],Registre_Maintenance_Part[[ID_Antenne]:[Colonne2]],6,FALSE),"")</f>
        <v>ZTE</v>
      </c>
    </row>
    <row r="322" spans="1:11" x14ac:dyDescent="0.3">
      <c r="A322" s="1">
        <v>45204.47152777778</v>
      </c>
      <c r="B322" s="2">
        <v>45204.47152777778</v>
      </c>
      <c r="C322" t="s">
        <v>1046</v>
      </c>
      <c r="D322">
        <v>10</v>
      </c>
      <c r="E322">
        <f>Logs_Reseau_Part56[[#This Row],[Duree_Panne_Min]]/60</f>
        <v>0.16666666666666666</v>
      </c>
      <c r="F322" t="s">
        <v>734</v>
      </c>
      <c r="G322" t="str">
        <f>IFERROR(VLOOKUP(Logs_Reseau_Part56[[#This Row],[Cell_ID]],Registre_Maintenance_Part[[ID_Antenne]:[Colonne2]],2,FALSE),"")</f>
        <v>Nord-Kivu</v>
      </c>
      <c r="H322">
        <f>IFERROR(VLOOKUP(Logs_Reseau_Part56[[#This Row],[Cell_ID]],Registre_Maintenance_Part[[ID_Antenne]:[Colonne2]],3,FALSE),"")</f>
        <v>4.9455159999999996</v>
      </c>
      <c r="I322">
        <f>IFERROR(VLOOKUP(Logs_Reseau_Part56[[#This Row],[Cell_ID]],Registre_Maintenance_Part[[ID_Antenne]:[Colonne2]],4,FALSE),"")</f>
        <v>23.647746000000001</v>
      </c>
      <c r="J322" t="str">
        <f>IFERROR(VLOOKUP(Logs_Reseau_Part56[[#This Row],[Cell_ID]],Registre_Maintenance_Part[[ID_Antenne]:[Colonne2]],5,FALSE),"")</f>
        <v>5G</v>
      </c>
      <c r="K322" t="str">
        <f>IFERROR(VLOOKUP(Logs_Reseau_Part56[[#This Row],[Cell_ID]],Registre_Maintenance_Part[[ID_Antenne]:[Colonne2]],6,FALSE),"")</f>
        <v>Huawei</v>
      </c>
    </row>
    <row r="323" spans="1:11" x14ac:dyDescent="0.3">
      <c r="A323" s="1">
        <v>45204.53125</v>
      </c>
      <c r="B323" s="2">
        <v>45204.53125</v>
      </c>
      <c r="C323" t="s">
        <v>902</v>
      </c>
      <c r="D323">
        <v>47</v>
      </c>
      <c r="E323">
        <f>Logs_Reseau_Part56[[#This Row],[Duree_Panne_Min]]/60</f>
        <v>0.78333333333333333</v>
      </c>
      <c r="F323" t="s">
        <v>734</v>
      </c>
      <c r="G323" t="str">
        <f>IFERROR(VLOOKUP(Logs_Reseau_Part56[[#This Row],[Cell_ID]],Registre_Maintenance_Part[[ID_Antenne]:[Colonne2]],2,FALSE),"")</f>
        <v>Nord-Kivu</v>
      </c>
      <c r="H323">
        <f>IFERROR(VLOOKUP(Logs_Reseau_Part56[[#This Row],[Cell_ID]],Registre_Maintenance_Part[[ID_Antenne]:[Colonne2]],3,FALSE),"")</f>
        <v>-12.336202</v>
      </c>
      <c r="I323">
        <f>IFERROR(VLOOKUP(Logs_Reseau_Part56[[#This Row],[Cell_ID]],Registre_Maintenance_Part[[ID_Antenne]:[Colonne2]],4,FALSE),"")</f>
        <v>13.693683999999999</v>
      </c>
      <c r="J323" t="str">
        <f>IFERROR(VLOOKUP(Logs_Reseau_Part56[[#This Row],[Cell_ID]],Registre_Maintenance_Part[[ID_Antenne]:[Colonne2]],5,FALSE),"")</f>
        <v>5G</v>
      </c>
      <c r="K323" t="str">
        <f>IFERROR(VLOOKUP(Logs_Reseau_Part56[[#This Row],[Cell_ID]],Registre_Maintenance_Part[[ID_Antenne]:[Colonne2]],6,FALSE),"")</f>
        <v>Huawei</v>
      </c>
    </row>
    <row r="324" spans="1:11" x14ac:dyDescent="0.3">
      <c r="A324" s="1">
        <v>45205.463888888888</v>
      </c>
      <c r="B324" s="2">
        <v>45205.463888888888</v>
      </c>
      <c r="C324" t="s">
        <v>1269</v>
      </c>
      <c r="D324">
        <v>103</v>
      </c>
      <c r="E324">
        <f>Logs_Reseau_Part56[[#This Row],[Duree_Panne_Min]]/60</f>
        <v>1.7166666666666666</v>
      </c>
      <c r="F324" t="s">
        <v>734</v>
      </c>
      <c r="G324" t="str">
        <f>IFERROR(VLOOKUP(Logs_Reseau_Part56[[#This Row],[Cell_ID]],Registre_Maintenance_Part[[ID_Antenne]:[Colonne2]],2,FALSE),"")</f>
        <v>Nord-Kivu</v>
      </c>
      <c r="H324">
        <f>IFERROR(VLOOKUP(Logs_Reseau_Part56[[#This Row],[Cell_ID]],Registre_Maintenance_Part[[ID_Antenne]:[Colonne2]],3,FALSE),"")</f>
        <v>-0.17258100000000001</v>
      </c>
      <c r="I324">
        <f>IFERROR(VLOOKUP(Logs_Reseau_Part56[[#This Row],[Cell_ID]],Registre_Maintenance_Part[[ID_Antenne]:[Colonne2]],4,FALSE),"")</f>
        <v>23.775555000000001</v>
      </c>
      <c r="J324" t="str">
        <f>IFERROR(VLOOKUP(Logs_Reseau_Part56[[#This Row],[Cell_ID]],Registre_Maintenance_Part[[ID_Antenne]:[Colonne2]],5,FALSE),"")</f>
        <v>5G</v>
      </c>
      <c r="K324" t="str">
        <f>IFERROR(VLOOKUP(Logs_Reseau_Part56[[#This Row],[Cell_ID]],Registre_Maintenance_Part[[ID_Antenne]:[Colonne2]],6,FALSE),"")</f>
        <v>Nokia</v>
      </c>
    </row>
    <row r="325" spans="1:11" x14ac:dyDescent="0.3">
      <c r="A325" s="1">
        <v>45207.960416666669</v>
      </c>
      <c r="B325" s="2">
        <v>45207.960416666669</v>
      </c>
      <c r="C325" t="s">
        <v>902</v>
      </c>
      <c r="D325">
        <v>23</v>
      </c>
      <c r="E325">
        <f>Logs_Reseau_Part56[[#This Row],[Duree_Panne_Min]]/60</f>
        <v>0.38333333333333336</v>
      </c>
      <c r="F325" t="s">
        <v>739</v>
      </c>
      <c r="G325" t="str">
        <f>IFERROR(VLOOKUP(Logs_Reseau_Part56[[#This Row],[Cell_ID]],Registre_Maintenance_Part[[ID_Antenne]:[Colonne2]],2,FALSE),"")</f>
        <v>Nord-Kivu</v>
      </c>
      <c r="H325">
        <f>IFERROR(VLOOKUP(Logs_Reseau_Part56[[#This Row],[Cell_ID]],Registre_Maintenance_Part[[ID_Antenne]:[Colonne2]],3,FALSE),"")</f>
        <v>-12.336202</v>
      </c>
      <c r="I325">
        <f>IFERROR(VLOOKUP(Logs_Reseau_Part56[[#This Row],[Cell_ID]],Registre_Maintenance_Part[[ID_Antenne]:[Colonne2]],4,FALSE),"")</f>
        <v>13.693683999999999</v>
      </c>
      <c r="J325" t="str">
        <f>IFERROR(VLOOKUP(Logs_Reseau_Part56[[#This Row],[Cell_ID]],Registre_Maintenance_Part[[ID_Antenne]:[Colonne2]],5,FALSE),"")</f>
        <v>5G</v>
      </c>
      <c r="K325" t="str">
        <f>IFERROR(VLOOKUP(Logs_Reseau_Part56[[#This Row],[Cell_ID]],Registre_Maintenance_Part[[ID_Antenne]:[Colonne2]],6,FALSE),"")</f>
        <v>Huawei</v>
      </c>
    </row>
    <row r="326" spans="1:11" x14ac:dyDescent="0.3">
      <c r="A326" s="1">
        <v>45207.982638888891</v>
      </c>
      <c r="B326" s="2">
        <v>45207.982638888891</v>
      </c>
      <c r="C326" t="s">
        <v>780</v>
      </c>
      <c r="D326">
        <v>25</v>
      </c>
      <c r="E326">
        <f>Logs_Reseau_Part56[[#This Row],[Duree_Panne_Min]]/60</f>
        <v>0.41666666666666669</v>
      </c>
      <c r="F326" t="s">
        <v>739</v>
      </c>
      <c r="G326" t="str">
        <f>IFERROR(VLOOKUP(Logs_Reseau_Part56[[#This Row],[Cell_ID]],Registre_Maintenance_Part[[ID_Antenne]:[Colonne2]],2,FALSE),"")</f>
        <v>Nord-Kivu</v>
      </c>
      <c r="H326">
        <f>IFERROR(VLOOKUP(Logs_Reseau_Part56[[#This Row],[Cell_ID]],Registre_Maintenance_Part[[ID_Antenne]:[Colonne2]],3,FALSE),"")</f>
        <v>-11.866133</v>
      </c>
      <c r="I326">
        <f>IFERROR(VLOOKUP(Logs_Reseau_Part56[[#This Row],[Cell_ID]],Registre_Maintenance_Part[[ID_Antenne]:[Colonne2]],4,FALSE),"")</f>
        <v>27.068932</v>
      </c>
      <c r="J326" t="str">
        <f>IFERROR(VLOOKUP(Logs_Reseau_Part56[[#This Row],[Cell_ID]],Registre_Maintenance_Part[[ID_Antenne]:[Colonne2]],5,FALSE),"")</f>
        <v>3G</v>
      </c>
      <c r="K326" t="str">
        <f>IFERROR(VLOOKUP(Logs_Reseau_Part56[[#This Row],[Cell_ID]],Registre_Maintenance_Part[[ID_Antenne]:[Colonne2]],6,FALSE),"")</f>
        <v>Huawei</v>
      </c>
    </row>
    <row r="327" spans="1:11" x14ac:dyDescent="0.3">
      <c r="A327" s="1">
        <v>45208.072916666657</v>
      </c>
      <c r="B327" s="2">
        <v>45208.072916666657</v>
      </c>
      <c r="C327" t="s">
        <v>834</v>
      </c>
      <c r="D327">
        <v>68</v>
      </c>
      <c r="E327">
        <f>Logs_Reseau_Part56[[#This Row],[Duree_Panne_Min]]/60</f>
        <v>1.1333333333333333</v>
      </c>
      <c r="F327" t="s">
        <v>734</v>
      </c>
      <c r="G327" t="str">
        <f>IFERROR(VLOOKUP(Logs_Reseau_Part56[[#This Row],[Cell_ID]],Registre_Maintenance_Part[[ID_Antenne]:[Colonne2]],2,FALSE),"")</f>
        <v>Nord-Kivu</v>
      </c>
      <c r="H327">
        <f>IFERROR(VLOOKUP(Logs_Reseau_Part56[[#This Row],[Cell_ID]],Registre_Maintenance_Part[[ID_Antenne]:[Colonne2]],3,FALSE),"")</f>
        <v>1.017161</v>
      </c>
      <c r="I327">
        <f>IFERROR(VLOOKUP(Logs_Reseau_Part56[[#This Row],[Cell_ID]],Registre_Maintenance_Part[[ID_Antenne]:[Colonne2]],4,FALSE),"")</f>
        <v>16.519689</v>
      </c>
      <c r="J327" t="str">
        <f>IFERROR(VLOOKUP(Logs_Reseau_Part56[[#This Row],[Cell_ID]],Registre_Maintenance_Part[[ID_Antenne]:[Colonne2]],5,FALSE),"")</f>
        <v>3G</v>
      </c>
      <c r="K327" t="str">
        <f>IFERROR(VLOOKUP(Logs_Reseau_Part56[[#This Row],[Cell_ID]],Registre_Maintenance_Part[[ID_Antenne]:[Colonne2]],6,FALSE),"")</f>
        <v>Nokia</v>
      </c>
    </row>
    <row r="328" spans="1:11" x14ac:dyDescent="0.3">
      <c r="A328" s="1">
        <v>45208.959027777782</v>
      </c>
      <c r="B328" s="2">
        <v>45208.959027777782</v>
      </c>
      <c r="C328" t="s">
        <v>799</v>
      </c>
      <c r="D328">
        <v>98</v>
      </c>
      <c r="E328">
        <f>Logs_Reseau_Part56[[#This Row],[Duree_Panne_Min]]/60</f>
        <v>1.6333333333333333</v>
      </c>
      <c r="F328" t="s">
        <v>739</v>
      </c>
      <c r="G328" t="str">
        <f>IFERROR(VLOOKUP(Logs_Reseau_Part56[[#This Row],[Cell_ID]],Registre_Maintenance_Part[[ID_Antenne]:[Colonne2]],2,FALSE),"")</f>
        <v>Nord-Kivu</v>
      </c>
      <c r="H328">
        <f>IFERROR(VLOOKUP(Logs_Reseau_Part56[[#This Row],[Cell_ID]],Registre_Maintenance_Part[[ID_Antenne]:[Colonne2]],3,FALSE),"")</f>
        <v>0.82868600000000003</v>
      </c>
      <c r="I328">
        <f>IFERROR(VLOOKUP(Logs_Reseau_Part56[[#This Row],[Cell_ID]],Registre_Maintenance_Part[[ID_Antenne]:[Colonne2]],4,FALSE),"")</f>
        <v>26.958843999999999</v>
      </c>
      <c r="J328" t="str">
        <f>IFERROR(VLOOKUP(Logs_Reseau_Part56[[#This Row],[Cell_ID]],Registre_Maintenance_Part[[ID_Antenne]:[Colonne2]],5,FALSE),"")</f>
        <v>5G</v>
      </c>
      <c r="K328" t="str">
        <f>IFERROR(VLOOKUP(Logs_Reseau_Part56[[#This Row],[Cell_ID]],Registre_Maintenance_Part[[ID_Antenne]:[Colonne2]],6,FALSE),"")</f>
        <v>ZTE</v>
      </c>
    </row>
    <row r="329" spans="1:11" x14ac:dyDescent="0.3">
      <c r="A329" s="1">
        <v>45210.39166666667</v>
      </c>
      <c r="B329" s="2">
        <v>45210.39166666667</v>
      </c>
      <c r="C329" t="s">
        <v>834</v>
      </c>
      <c r="D329">
        <v>85</v>
      </c>
      <c r="E329">
        <f>Logs_Reseau_Part56[[#This Row],[Duree_Panne_Min]]/60</f>
        <v>1.4166666666666667</v>
      </c>
      <c r="F329" t="s">
        <v>737</v>
      </c>
      <c r="G329" t="str">
        <f>IFERROR(VLOOKUP(Logs_Reseau_Part56[[#This Row],[Cell_ID]],Registre_Maintenance_Part[[ID_Antenne]:[Colonne2]],2,FALSE),"")</f>
        <v>Nord-Kivu</v>
      </c>
      <c r="H329">
        <f>IFERROR(VLOOKUP(Logs_Reseau_Part56[[#This Row],[Cell_ID]],Registre_Maintenance_Part[[ID_Antenne]:[Colonne2]],3,FALSE),"")</f>
        <v>1.017161</v>
      </c>
      <c r="I329">
        <f>IFERROR(VLOOKUP(Logs_Reseau_Part56[[#This Row],[Cell_ID]],Registre_Maintenance_Part[[ID_Antenne]:[Colonne2]],4,FALSE),"")</f>
        <v>16.519689</v>
      </c>
      <c r="J329" t="str">
        <f>IFERROR(VLOOKUP(Logs_Reseau_Part56[[#This Row],[Cell_ID]],Registre_Maintenance_Part[[ID_Antenne]:[Colonne2]],5,FALSE),"")</f>
        <v>3G</v>
      </c>
      <c r="K329" t="str">
        <f>IFERROR(VLOOKUP(Logs_Reseau_Part56[[#This Row],[Cell_ID]],Registre_Maintenance_Part[[ID_Antenne]:[Colonne2]],6,FALSE),"")</f>
        <v>Nokia</v>
      </c>
    </row>
    <row r="330" spans="1:11" x14ac:dyDescent="0.3">
      <c r="A330" s="1">
        <v>45211.234722222223</v>
      </c>
      <c r="B330" s="2">
        <v>45211.234722222223</v>
      </c>
      <c r="C330" t="s">
        <v>885</v>
      </c>
      <c r="D330">
        <v>62</v>
      </c>
      <c r="E330">
        <f>Logs_Reseau_Part56[[#This Row],[Duree_Panne_Min]]/60</f>
        <v>1.0333333333333334</v>
      </c>
      <c r="F330" t="s">
        <v>739</v>
      </c>
      <c r="G330" t="str">
        <f>IFERROR(VLOOKUP(Logs_Reseau_Part56[[#This Row],[Cell_ID]],Registre_Maintenance_Part[[ID_Antenne]:[Colonne2]],2,FALSE),"")</f>
        <v>Nord-Kivu</v>
      </c>
      <c r="H330">
        <f>IFERROR(VLOOKUP(Logs_Reseau_Part56[[#This Row],[Cell_ID]],Registre_Maintenance_Part[[ID_Antenne]:[Colonne2]],3,FALSE),"")</f>
        <v>-2.3102109999999998</v>
      </c>
      <c r="I330">
        <f>IFERROR(VLOOKUP(Logs_Reseau_Part56[[#This Row],[Cell_ID]],Registre_Maintenance_Part[[ID_Antenne]:[Colonne2]],4,FALSE),"")</f>
        <v>12.362488000000001</v>
      </c>
      <c r="J330" t="str">
        <f>IFERROR(VLOOKUP(Logs_Reseau_Part56[[#This Row],[Cell_ID]],Registre_Maintenance_Part[[ID_Antenne]:[Colonne2]],5,FALSE),"")</f>
        <v>5G</v>
      </c>
      <c r="K330" t="str">
        <f>IFERROR(VLOOKUP(Logs_Reseau_Part56[[#This Row],[Cell_ID]],Registre_Maintenance_Part[[ID_Antenne]:[Colonne2]],6,FALSE),"")</f>
        <v>Nokia</v>
      </c>
    </row>
    <row r="331" spans="1:11" x14ac:dyDescent="0.3">
      <c r="A331" s="1">
        <v>45211.424305555563</v>
      </c>
      <c r="B331" s="2">
        <v>45211.424305555563</v>
      </c>
      <c r="C331" t="s">
        <v>929</v>
      </c>
      <c r="D331">
        <v>116</v>
      </c>
      <c r="E331">
        <f>Logs_Reseau_Part56[[#This Row],[Duree_Panne_Min]]/60</f>
        <v>1.9333333333333333</v>
      </c>
      <c r="F331" t="s">
        <v>737</v>
      </c>
      <c r="G331" t="str">
        <f>IFERROR(VLOOKUP(Logs_Reseau_Part56[[#This Row],[Cell_ID]],Registre_Maintenance_Part[[ID_Antenne]:[Colonne2]],2,FALSE),"")</f>
        <v>Nord-Kivu</v>
      </c>
      <c r="H331">
        <f>IFERROR(VLOOKUP(Logs_Reseau_Part56[[#This Row],[Cell_ID]],Registre_Maintenance_Part[[ID_Antenne]:[Colonne2]],3,FALSE),"")</f>
        <v>-1.8555980000000001</v>
      </c>
      <c r="I331">
        <f>IFERROR(VLOOKUP(Logs_Reseau_Part56[[#This Row],[Cell_ID]],Registre_Maintenance_Part[[ID_Antenne]:[Colonne2]],4,FALSE),"")</f>
        <v>30.421918000000002</v>
      </c>
      <c r="J331" t="str">
        <f>IFERROR(VLOOKUP(Logs_Reseau_Part56[[#This Row],[Cell_ID]],Registre_Maintenance_Part[[ID_Antenne]:[Colonne2]],5,FALSE),"")</f>
        <v>3G</v>
      </c>
      <c r="K331" t="str">
        <f>IFERROR(VLOOKUP(Logs_Reseau_Part56[[#This Row],[Cell_ID]],Registre_Maintenance_Part[[ID_Antenne]:[Colonne2]],6,FALSE),"")</f>
        <v>ZTE</v>
      </c>
    </row>
    <row r="332" spans="1:11" x14ac:dyDescent="0.3">
      <c r="A332" s="1">
        <v>45211.477083333331</v>
      </c>
      <c r="B332" s="2">
        <v>45211.477083333331</v>
      </c>
      <c r="C332" t="s">
        <v>760</v>
      </c>
      <c r="D332">
        <v>111</v>
      </c>
      <c r="E332">
        <f>Logs_Reseau_Part56[[#This Row],[Duree_Panne_Min]]/60</f>
        <v>1.85</v>
      </c>
      <c r="F332" t="s">
        <v>734</v>
      </c>
      <c r="G332" t="str">
        <f>IFERROR(VLOOKUP(Logs_Reseau_Part56[[#This Row],[Cell_ID]],Registre_Maintenance_Part[[ID_Antenne]:[Colonne2]],2,FALSE),"")</f>
        <v>Nord-Kivu</v>
      </c>
      <c r="H332">
        <f>IFERROR(VLOOKUP(Logs_Reseau_Part56[[#This Row],[Cell_ID]],Registre_Maintenance_Part[[ID_Antenne]:[Colonne2]],3,FALSE),"")</f>
        <v>4.6287159999999998</v>
      </c>
      <c r="I332">
        <f>IFERROR(VLOOKUP(Logs_Reseau_Part56[[#This Row],[Cell_ID]],Registre_Maintenance_Part[[ID_Antenne]:[Colonne2]],4,FALSE),"")</f>
        <v>19.407077999999998</v>
      </c>
      <c r="J332" t="str">
        <f>IFERROR(VLOOKUP(Logs_Reseau_Part56[[#This Row],[Cell_ID]],Registre_Maintenance_Part[[ID_Antenne]:[Colonne2]],5,FALSE),"")</f>
        <v>4G</v>
      </c>
      <c r="K332" t="str">
        <f>IFERROR(VLOOKUP(Logs_Reseau_Part56[[#This Row],[Cell_ID]],Registre_Maintenance_Part[[ID_Antenne]:[Colonne2]],6,FALSE),"")</f>
        <v>Ericsson</v>
      </c>
    </row>
    <row r="333" spans="1:11" x14ac:dyDescent="0.3">
      <c r="A333" s="1">
        <v>45213.907638888893</v>
      </c>
      <c r="B333" s="2">
        <v>45213.907638888893</v>
      </c>
      <c r="C333" t="s">
        <v>1357</v>
      </c>
      <c r="D333">
        <v>52</v>
      </c>
      <c r="E333">
        <f>Logs_Reseau_Part56[[#This Row],[Duree_Panne_Min]]/60</f>
        <v>0.8666666666666667</v>
      </c>
      <c r="F333" t="s">
        <v>734</v>
      </c>
      <c r="G333" t="str">
        <f>IFERROR(VLOOKUP(Logs_Reseau_Part56[[#This Row],[Cell_ID]],Registre_Maintenance_Part[[ID_Antenne]:[Colonne2]],2,FALSE),"")</f>
        <v>Nord-Kivu</v>
      </c>
      <c r="H333">
        <f>IFERROR(VLOOKUP(Logs_Reseau_Part56[[#This Row],[Cell_ID]],Registre_Maintenance_Part[[ID_Antenne]:[Colonne2]],3,FALSE),"")</f>
        <v>-10.298385</v>
      </c>
      <c r="I333">
        <f>IFERROR(VLOOKUP(Logs_Reseau_Part56[[#This Row],[Cell_ID]],Registre_Maintenance_Part[[ID_Antenne]:[Colonne2]],4,FALSE),"")</f>
        <v>29.698117</v>
      </c>
      <c r="J333" t="str">
        <f>IFERROR(VLOOKUP(Logs_Reseau_Part56[[#This Row],[Cell_ID]],Registre_Maintenance_Part[[ID_Antenne]:[Colonne2]],5,FALSE),"")</f>
        <v>5G</v>
      </c>
      <c r="K333" t="str">
        <f>IFERROR(VLOOKUP(Logs_Reseau_Part56[[#This Row],[Cell_ID]],Registre_Maintenance_Part[[ID_Antenne]:[Colonne2]],6,FALSE),"")</f>
        <v>Nokia</v>
      </c>
    </row>
    <row r="334" spans="1:11" x14ac:dyDescent="0.3">
      <c r="A334" s="1">
        <v>45214.740972222222</v>
      </c>
      <c r="B334" s="2">
        <v>45214.740972222222</v>
      </c>
      <c r="C334" t="s">
        <v>979</v>
      </c>
      <c r="D334">
        <v>8</v>
      </c>
      <c r="E334">
        <f>Logs_Reseau_Part56[[#This Row],[Duree_Panne_Min]]/60</f>
        <v>0.13333333333333333</v>
      </c>
      <c r="F334" t="s">
        <v>734</v>
      </c>
      <c r="G334" t="str">
        <f>IFERROR(VLOOKUP(Logs_Reseau_Part56[[#This Row],[Cell_ID]],Registre_Maintenance_Part[[ID_Antenne]:[Colonne2]],2,FALSE),"")</f>
        <v>Nord-Kivu</v>
      </c>
      <c r="H334">
        <f>IFERROR(VLOOKUP(Logs_Reseau_Part56[[#This Row],[Cell_ID]],Registre_Maintenance_Part[[ID_Antenne]:[Colonne2]],3,FALSE),"")</f>
        <v>-10.846306999999999</v>
      </c>
      <c r="I334">
        <f>IFERROR(VLOOKUP(Logs_Reseau_Part56[[#This Row],[Cell_ID]],Registre_Maintenance_Part[[ID_Antenne]:[Colonne2]],4,FALSE),"")</f>
        <v>19.201827999999999</v>
      </c>
      <c r="J334" t="str">
        <f>IFERROR(VLOOKUP(Logs_Reseau_Part56[[#This Row],[Cell_ID]],Registre_Maintenance_Part[[ID_Antenne]:[Colonne2]],5,FALSE),"")</f>
        <v>4G</v>
      </c>
      <c r="K334" t="str">
        <f>IFERROR(VLOOKUP(Logs_Reseau_Part56[[#This Row],[Cell_ID]],Registre_Maintenance_Part[[ID_Antenne]:[Colonne2]],6,FALSE),"")</f>
        <v>Ericsson</v>
      </c>
    </row>
    <row r="335" spans="1:11" x14ac:dyDescent="0.3">
      <c r="A335" s="1">
        <v>45215.67291666667</v>
      </c>
      <c r="B335" s="2">
        <v>45215.67291666667</v>
      </c>
      <c r="C335" t="s">
        <v>780</v>
      </c>
      <c r="D335">
        <v>117</v>
      </c>
      <c r="E335">
        <f>Logs_Reseau_Part56[[#This Row],[Duree_Panne_Min]]/60</f>
        <v>1.95</v>
      </c>
      <c r="F335" t="s">
        <v>739</v>
      </c>
      <c r="G335" t="str">
        <f>IFERROR(VLOOKUP(Logs_Reseau_Part56[[#This Row],[Cell_ID]],Registre_Maintenance_Part[[ID_Antenne]:[Colonne2]],2,FALSE),"")</f>
        <v>Nord-Kivu</v>
      </c>
      <c r="H335">
        <f>IFERROR(VLOOKUP(Logs_Reseau_Part56[[#This Row],[Cell_ID]],Registre_Maintenance_Part[[ID_Antenne]:[Colonne2]],3,FALSE),"")</f>
        <v>-11.866133</v>
      </c>
      <c r="I335">
        <f>IFERROR(VLOOKUP(Logs_Reseau_Part56[[#This Row],[Cell_ID]],Registre_Maintenance_Part[[ID_Antenne]:[Colonne2]],4,FALSE),"")</f>
        <v>27.068932</v>
      </c>
      <c r="J335" t="str">
        <f>IFERROR(VLOOKUP(Logs_Reseau_Part56[[#This Row],[Cell_ID]],Registre_Maintenance_Part[[ID_Antenne]:[Colonne2]],5,FALSE),"")</f>
        <v>3G</v>
      </c>
      <c r="K335" t="str">
        <f>IFERROR(VLOOKUP(Logs_Reseau_Part56[[#This Row],[Cell_ID]],Registre_Maintenance_Part[[ID_Antenne]:[Colonne2]],6,FALSE),"")</f>
        <v>Huawei</v>
      </c>
    </row>
    <row r="336" spans="1:11" x14ac:dyDescent="0.3">
      <c r="A336" s="1">
        <v>45216.14166666667</v>
      </c>
      <c r="B336" s="2">
        <v>45216.14166666667</v>
      </c>
      <c r="C336" t="s">
        <v>832</v>
      </c>
      <c r="D336">
        <v>94</v>
      </c>
      <c r="E336">
        <f>Logs_Reseau_Part56[[#This Row],[Duree_Panne_Min]]/60</f>
        <v>1.5666666666666667</v>
      </c>
      <c r="F336" t="s">
        <v>734</v>
      </c>
      <c r="G336" t="str">
        <f>IFERROR(VLOOKUP(Logs_Reseau_Part56[[#This Row],[Cell_ID]],Registre_Maintenance_Part[[ID_Antenne]:[Colonne2]],2,FALSE),"")</f>
        <v>Nord-Kivu</v>
      </c>
      <c r="H336">
        <f>IFERROR(VLOOKUP(Logs_Reseau_Part56[[#This Row],[Cell_ID]],Registre_Maintenance_Part[[ID_Antenne]:[Colonne2]],3,FALSE),"")</f>
        <v>1.8103860000000001</v>
      </c>
      <c r="I336">
        <f>IFERROR(VLOOKUP(Logs_Reseau_Part56[[#This Row],[Cell_ID]],Registre_Maintenance_Part[[ID_Antenne]:[Colonne2]],4,FALSE),"")</f>
        <v>15.175582</v>
      </c>
      <c r="J336" t="str">
        <f>IFERROR(VLOOKUP(Logs_Reseau_Part56[[#This Row],[Cell_ID]],Registre_Maintenance_Part[[ID_Antenne]:[Colonne2]],5,FALSE),"")</f>
        <v>3G</v>
      </c>
      <c r="K336" t="str">
        <f>IFERROR(VLOOKUP(Logs_Reseau_Part56[[#This Row],[Cell_ID]],Registre_Maintenance_Part[[ID_Antenne]:[Colonne2]],6,FALSE),"")</f>
        <v>Huawei</v>
      </c>
    </row>
    <row r="337" spans="1:11" x14ac:dyDescent="0.3">
      <c r="A337" s="1">
        <v>45216.460416666669</v>
      </c>
      <c r="B337" s="2">
        <v>45216.460416666669</v>
      </c>
      <c r="C337" t="s">
        <v>1275</v>
      </c>
      <c r="D337">
        <v>36</v>
      </c>
      <c r="E337">
        <f>Logs_Reseau_Part56[[#This Row],[Duree_Panne_Min]]/60</f>
        <v>0.6</v>
      </c>
      <c r="F337" t="s">
        <v>739</v>
      </c>
      <c r="G337" t="str">
        <f>IFERROR(VLOOKUP(Logs_Reseau_Part56[[#This Row],[Cell_ID]],Registre_Maintenance_Part[[ID_Antenne]:[Colonne2]],2,FALSE),"")</f>
        <v>Nord-Kivu</v>
      </c>
      <c r="H337">
        <f>IFERROR(VLOOKUP(Logs_Reseau_Part56[[#This Row],[Cell_ID]],Registre_Maintenance_Part[[ID_Antenne]:[Colonne2]],3,FALSE),"")</f>
        <v>-11.231472</v>
      </c>
      <c r="I337">
        <f>IFERROR(VLOOKUP(Logs_Reseau_Part56[[#This Row],[Cell_ID]],Registre_Maintenance_Part[[ID_Antenne]:[Colonne2]],4,FALSE),"")</f>
        <v>25.388874000000001</v>
      </c>
      <c r="J337" t="str">
        <f>IFERROR(VLOOKUP(Logs_Reseau_Part56[[#This Row],[Cell_ID]],Registre_Maintenance_Part[[ID_Antenne]:[Colonne2]],5,FALSE),"")</f>
        <v>4G</v>
      </c>
      <c r="K337" t="str">
        <f>IFERROR(VLOOKUP(Logs_Reseau_Part56[[#This Row],[Cell_ID]],Registre_Maintenance_Part[[ID_Antenne]:[Colonne2]],6,FALSE),"")</f>
        <v>Huawei</v>
      </c>
    </row>
    <row r="338" spans="1:11" x14ac:dyDescent="0.3">
      <c r="A338" s="1">
        <v>45217.368750000001</v>
      </c>
      <c r="B338" s="2">
        <v>45217.368750000001</v>
      </c>
      <c r="C338" t="s">
        <v>997</v>
      </c>
      <c r="D338">
        <v>8</v>
      </c>
      <c r="E338">
        <f>Logs_Reseau_Part56[[#This Row],[Duree_Panne_Min]]/60</f>
        <v>0.13333333333333333</v>
      </c>
      <c r="F338" t="s">
        <v>734</v>
      </c>
      <c r="G338" t="str">
        <f>IFERROR(VLOOKUP(Logs_Reseau_Part56[[#This Row],[Cell_ID]],Registre_Maintenance_Part[[ID_Antenne]:[Colonne2]],2,FALSE),"")</f>
        <v>Nord-Kivu</v>
      </c>
      <c r="H338">
        <f>IFERROR(VLOOKUP(Logs_Reseau_Part56[[#This Row],[Cell_ID]],Registre_Maintenance_Part[[ID_Antenne]:[Colonne2]],3,FALSE),"")</f>
        <v>-4.1754939999999996</v>
      </c>
      <c r="I338">
        <f>IFERROR(VLOOKUP(Logs_Reseau_Part56[[#This Row],[Cell_ID]],Registre_Maintenance_Part[[ID_Antenne]:[Colonne2]],4,FALSE),"")</f>
        <v>16.704664999999999</v>
      </c>
      <c r="J338" t="str">
        <f>IFERROR(VLOOKUP(Logs_Reseau_Part56[[#This Row],[Cell_ID]],Registre_Maintenance_Part[[ID_Antenne]:[Colonne2]],5,FALSE),"")</f>
        <v>3G</v>
      </c>
      <c r="K338" t="str">
        <f>IFERROR(VLOOKUP(Logs_Reseau_Part56[[#This Row],[Cell_ID]],Registre_Maintenance_Part[[ID_Antenne]:[Colonne2]],6,FALSE),"")</f>
        <v>Ericsson</v>
      </c>
    </row>
    <row r="339" spans="1:11" x14ac:dyDescent="0.3">
      <c r="A339" s="1">
        <v>45218.331944444442</v>
      </c>
      <c r="B339" s="2">
        <v>45218.331944444442</v>
      </c>
      <c r="C339" t="s">
        <v>929</v>
      </c>
      <c r="D339">
        <v>15</v>
      </c>
      <c r="E339">
        <f>Logs_Reseau_Part56[[#This Row],[Duree_Panne_Min]]/60</f>
        <v>0.25</v>
      </c>
      <c r="F339" t="s">
        <v>739</v>
      </c>
      <c r="G339" t="str">
        <f>IFERROR(VLOOKUP(Logs_Reseau_Part56[[#This Row],[Cell_ID]],Registre_Maintenance_Part[[ID_Antenne]:[Colonne2]],2,FALSE),"")</f>
        <v>Nord-Kivu</v>
      </c>
      <c r="H339">
        <f>IFERROR(VLOOKUP(Logs_Reseau_Part56[[#This Row],[Cell_ID]],Registre_Maintenance_Part[[ID_Antenne]:[Colonne2]],3,FALSE),"")</f>
        <v>-1.8555980000000001</v>
      </c>
      <c r="I339">
        <f>IFERROR(VLOOKUP(Logs_Reseau_Part56[[#This Row],[Cell_ID]],Registre_Maintenance_Part[[ID_Antenne]:[Colonne2]],4,FALSE),"")</f>
        <v>30.421918000000002</v>
      </c>
      <c r="J339" t="str">
        <f>IFERROR(VLOOKUP(Logs_Reseau_Part56[[#This Row],[Cell_ID]],Registre_Maintenance_Part[[ID_Antenne]:[Colonne2]],5,FALSE),"")</f>
        <v>3G</v>
      </c>
      <c r="K339" t="str">
        <f>IFERROR(VLOOKUP(Logs_Reseau_Part56[[#This Row],[Cell_ID]],Registre_Maintenance_Part[[ID_Antenne]:[Colonne2]],6,FALSE),"")</f>
        <v>ZTE</v>
      </c>
    </row>
    <row r="340" spans="1:11" x14ac:dyDescent="0.3">
      <c r="A340" s="1">
        <v>45219.181250000001</v>
      </c>
      <c r="B340" s="2">
        <v>45219.181250000001</v>
      </c>
      <c r="C340" t="s">
        <v>997</v>
      </c>
      <c r="D340">
        <v>97</v>
      </c>
      <c r="E340">
        <f>Logs_Reseau_Part56[[#This Row],[Duree_Panne_Min]]/60</f>
        <v>1.6166666666666667</v>
      </c>
      <c r="F340" t="s">
        <v>737</v>
      </c>
      <c r="G340" t="str">
        <f>IFERROR(VLOOKUP(Logs_Reseau_Part56[[#This Row],[Cell_ID]],Registre_Maintenance_Part[[ID_Antenne]:[Colonne2]],2,FALSE),"")</f>
        <v>Nord-Kivu</v>
      </c>
      <c r="H340">
        <f>IFERROR(VLOOKUP(Logs_Reseau_Part56[[#This Row],[Cell_ID]],Registre_Maintenance_Part[[ID_Antenne]:[Colonne2]],3,FALSE),"")</f>
        <v>-4.1754939999999996</v>
      </c>
      <c r="I340">
        <f>IFERROR(VLOOKUP(Logs_Reseau_Part56[[#This Row],[Cell_ID]],Registre_Maintenance_Part[[ID_Antenne]:[Colonne2]],4,FALSE),"")</f>
        <v>16.704664999999999</v>
      </c>
      <c r="J340" t="str">
        <f>IFERROR(VLOOKUP(Logs_Reseau_Part56[[#This Row],[Cell_ID]],Registre_Maintenance_Part[[ID_Antenne]:[Colonne2]],5,FALSE),"")</f>
        <v>3G</v>
      </c>
      <c r="K340" t="str">
        <f>IFERROR(VLOOKUP(Logs_Reseau_Part56[[#This Row],[Cell_ID]],Registre_Maintenance_Part[[ID_Antenne]:[Colonne2]],6,FALSE),"")</f>
        <v>Ericsson</v>
      </c>
    </row>
    <row r="341" spans="1:11" x14ac:dyDescent="0.3">
      <c r="A341" s="1">
        <v>45221.268750000003</v>
      </c>
      <c r="B341" s="2">
        <v>45221.268750000003</v>
      </c>
      <c r="C341" t="s">
        <v>929</v>
      </c>
      <c r="D341">
        <v>18</v>
      </c>
      <c r="E341">
        <f>Logs_Reseau_Part56[[#This Row],[Duree_Panne_Min]]/60</f>
        <v>0.3</v>
      </c>
      <c r="F341" t="s">
        <v>737</v>
      </c>
      <c r="G341" t="str">
        <f>IFERROR(VLOOKUP(Logs_Reseau_Part56[[#This Row],[Cell_ID]],Registre_Maintenance_Part[[ID_Antenne]:[Colonne2]],2,FALSE),"")</f>
        <v>Nord-Kivu</v>
      </c>
      <c r="H341">
        <f>IFERROR(VLOOKUP(Logs_Reseau_Part56[[#This Row],[Cell_ID]],Registre_Maintenance_Part[[ID_Antenne]:[Colonne2]],3,FALSE),"")</f>
        <v>-1.8555980000000001</v>
      </c>
      <c r="I341">
        <f>IFERROR(VLOOKUP(Logs_Reseau_Part56[[#This Row],[Cell_ID]],Registre_Maintenance_Part[[ID_Antenne]:[Colonne2]],4,FALSE),"")</f>
        <v>30.421918000000002</v>
      </c>
      <c r="J341" t="str">
        <f>IFERROR(VLOOKUP(Logs_Reseau_Part56[[#This Row],[Cell_ID]],Registre_Maintenance_Part[[ID_Antenne]:[Colonne2]],5,FALSE),"")</f>
        <v>3G</v>
      </c>
      <c r="K341" t="str">
        <f>IFERROR(VLOOKUP(Logs_Reseau_Part56[[#This Row],[Cell_ID]],Registre_Maintenance_Part[[ID_Antenne]:[Colonne2]],6,FALSE),"")</f>
        <v>ZTE</v>
      </c>
    </row>
    <row r="342" spans="1:11" x14ac:dyDescent="0.3">
      <c r="A342" s="1">
        <v>45222.353472222218</v>
      </c>
      <c r="B342" s="2">
        <v>45222.353472222218</v>
      </c>
      <c r="C342" t="s">
        <v>979</v>
      </c>
      <c r="D342">
        <v>101</v>
      </c>
      <c r="E342">
        <f>Logs_Reseau_Part56[[#This Row],[Duree_Panne_Min]]/60</f>
        <v>1.6833333333333333</v>
      </c>
      <c r="F342" t="s">
        <v>737</v>
      </c>
      <c r="G342" t="str">
        <f>IFERROR(VLOOKUP(Logs_Reseau_Part56[[#This Row],[Cell_ID]],Registre_Maintenance_Part[[ID_Antenne]:[Colonne2]],2,FALSE),"")</f>
        <v>Nord-Kivu</v>
      </c>
      <c r="H342">
        <f>IFERROR(VLOOKUP(Logs_Reseau_Part56[[#This Row],[Cell_ID]],Registre_Maintenance_Part[[ID_Antenne]:[Colonne2]],3,FALSE),"")</f>
        <v>-10.846306999999999</v>
      </c>
      <c r="I342">
        <f>IFERROR(VLOOKUP(Logs_Reseau_Part56[[#This Row],[Cell_ID]],Registre_Maintenance_Part[[ID_Antenne]:[Colonne2]],4,FALSE),"")</f>
        <v>19.201827999999999</v>
      </c>
      <c r="J342" t="str">
        <f>IFERROR(VLOOKUP(Logs_Reseau_Part56[[#This Row],[Cell_ID]],Registre_Maintenance_Part[[ID_Antenne]:[Colonne2]],5,FALSE),"")</f>
        <v>4G</v>
      </c>
      <c r="K342" t="str">
        <f>IFERROR(VLOOKUP(Logs_Reseau_Part56[[#This Row],[Cell_ID]],Registre_Maintenance_Part[[ID_Antenne]:[Colonne2]],6,FALSE),"")</f>
        <v>Ericsson</v>
      </c>
    </row>
    <row r="343" spans="1:11" x14ac:dyDescent="0.3">
      <c r="A343" s="1">
        <v>45222.597222222219</v>
      </c>
      <c r="B343" s="2">
        <v>45222.597222222219</v>
      </c>
      <c r="C343" t="s">
        <v>929</v>
      </c>
      <c r="D343">
        <v>22</v>
      </c>
      <c r="E343">
        <f>Logs_Reseau_Part56[[#This Row],[Duree_Panne_Min]]/60</f>
        <v>0.36666666666666664</v>
      </c>
      <c r="F343" t="s">
        <v>737</v>
      </c>
      <c r="G343" t="str">
        <f>IFERROR(VLOOKUP(Logs_Reseau_Part56[[#This Row],[Cell_ID]],Registre_Maintenance_Part[[ID_Antenne]:[Colonne2]],2,FALSE),"")</f>
        <v>Nord-Kivu</v>
      </c>
      <c r="H343">
        <f>IFERROR(VLOOKUP(Logs_Reseau_Part56[[#This Row],[Cell_ID]],Registre_Maintenance_Part[[ID_Antenne]:[Colonne2]],3,FALSE),"")</f>
        <v>-1.8555980000000001</v>
      </c>
      <c r="I343">
        <f>IFERROR(VLOOKUP(Logs_Reseau_Part56[[#This Row],[Cell_ID]],Registre_Maintenance_Part[[ID_Antenne]:[Colonne2]],4,FALSE),"")</f>
        <v>30.421918000000002</v>
      </c>
      <c r="J343" t="str">
        <f>IFERROR(VLOOKUP(Logs_Reseau_Part56[[#This Row],[Cell_ID]],Registre_Maintenance_Part[[ID_Antenne]:[Colonne2]],5,FALSE),"")</f>
        <v>3G</v>
      </c>
      <c r="K343" t="str">
        <f>IFERROR(VLOOKUP(Logs_Reseau_Part56[[#This Row],[Cell_ID]],Registre_Maintenance_Part[[ID_Antenne]:[Colonne2]],6,FALSE),"")</f>
        <v>ZTE</v>
      </c>
    </row>
    <row r="344" spans="1:11" x14ac:dyDescent="0.3">
      <c r="A344" s="1">
        <v>45223.252083333333</v>
      </c>
      <c r="B344" s="2">
        <v>45223.252083333333</v>
      </c>
      <c r="C344" t="s">
        <v>979</v>
      </c>
      <c r="D344">
        <v>12</v>
      </c>
      <c r="E344">
        <f>Logs_Reseau_Part56[[#This Row],[Duree_Panne_Min]]/60</f>
        <v>0.2</v>
      </c>
      <c r="F344" t="s">
        <v>737</v>
      </c>
      <c r="G344" t="str">
        <f>IFERROR(VLOOKUP(Logs_Reseau_Part56[[#This Row],[Cell_ID]],Registre_Maintenance_Part[[ID_Antenne]:[Colonne2]],2,FALSE),"")</f>
        <v>Nord-Kivu</v>
      </c>
      <c r="H344">
        <f>IFERROR(VLOOKUP(Logs_Reseau_Part56[[#This Row],[Cell_ID]],Registre_Maintenance_Part[[ID_Antenne]:[Colonne2]],3,FALSE),"")</f>
        <v>-10.846306999999999</v>
      </c>
      <c r="I344">
        <f>IFERROR(VLOOKUP(Logs_Reseau_Part56[[#This Row],[Cell_ID]],Registre_Maintenance_Part[[ID_Antenne]:[Colonne2]],4,FALSE),"")</f>
        <v>19.201827999999999</v>
      </c>
      <c r="J344" t="str">
        <f>IFERROR(VLOOKUP(Logs_Reseau_Part56[[#This Row],[Cell_ID]],Registre_Maintenance_Part[[ID_Antenne]:[Colonne2]],5,FALSE),"")</f>
        <v>4G</v>
      </c>
      <c r="K344" t="str">
        <f>IFERROR(VLOOKUP(Logs_Reseau_Part56[[#This Row],[Cell_ID]],Registre_Maintenance_Part[[ID_Antenne]:[Colonne2]],6,FALSE),"")</f>
        <v>Ericsson</v>
      </c>
    </row>
    <row r="345" spans="1:11" x14ac:dyDescent="0.3">
      <c r="A345" s="1">
        <v>45224.229861111111</v>
      </c>
      <c r="B345" s="2">
        <v>45224.229861111111</v>
      </c>
      <c r="C345" t="s">
        <v>1357</v>
      </c>
      <c r="D345">
        <v>20</v>
      </c>
      <c r="E345">
        <f>Logs_Reseau_Part56[[#This Row],[Duree_Panne_Min]]/60</f>
        <v>0.33333333333333331</v>
      </c>
      <c r="F345" t="s">
        <v>734</v>
      </c>
      <c r="G345" t="str">
        <f>IFERROR(VLOOKUP(Logs_Reseau_Part56[[#This Row],[Cell_ID]],Registre_Maintenance_Part[[ID_Antenne]:[Colonne2]],2,FALSE),"")</f>
        <v>Nord-Kivu</v>
      </c>
      <c r="H345">
        <f>IFERROR(VLOOKUP(Logs_Reseau_Part56[[#This Row],[Cell_ID]],Registre_Maintenance_Part[[ID_Antenne]:[Colonne2]],3,FALSE),"")</f>
        <v>-10.298385</v>
      </c>
      <c r="I345">
        <f>IFERROR(VLOOKUP(Logs_Reseau_Part56[[#This Row],[Cell_ID]],Registre_Maintenance_Part[[ID_Antenne]:[Colonne2]],4,FALSE),"")</f>
        <v>29.698117</v>
      </c>
      <c r="J345" t="str">
        <f>IFERROR(VLOOKUP(Logs_Reseau_Part56[[#This Row],[Cell_ID]],Registre_Maintenance_Part[[ID_Antenne]:[Colonne2]],5,FALSE),"")</f>
        <v>5G</v>
      </c>
      <c r="K345" t="str">
        <f>IFERROR(VLOOKUP(Logs_Reseau_Part56[[#This Row],[Cell_ID]],Registre_Maintenance_Part[[ID_Antenne]:[Colonne2]],6,FALSE),"")</f>
        <v>Nokia</v>
      </c>
    </row>
    <row r="346" spans="1:11" x14ac:dyDescent="0.3">
      <c r="A346" s="1">
        <v>45225.776388888888</v>
      </c>
      <c r="B346" s="2">
        <v>45225.776388888888</v>
      </c>
      <c r="C346" t="s">
        <v>799</v>
      </c>
      <c r="D346">
        <v>71</v>
      </c>
      <c r="E346">
        <f>Logs_Reseau_Part56[[#This Row],[Duree_Panne_Min]]/60</f>
        <v>1.1833333333333333</v>
      </c>
      <c r="F346" t="s">
        <v>734</v>
      </c>
      <c r="G346" t="str">
        <f>IFERROR(VLOOKUP(Logs_Reseau_Part56[[#This Row],[Cell_ID]],Registre_Maintenance_Part[[ID_Antenne]:[Colonne2]],2,FALSE),"")</f>
        <v>Nord-Kivu</v>
      </c>
      <c r="H346">
        <f>IFERROR(VLOOKUP(Logs_Reseau_Part56[[#This Row],[Cell_ID]],Registre_Maintenance_Part[[ID_Antenne]:[Colonne2]],3,FALSE),"")</f>
        <v>0.82868600000000003</v>
      </c>
      <c r="I346">
        <f>IFERROR(VLOOKUP(Logs_Reseau_Part56[[#This Row],[Cell_ID]],Registre_Maintenance_Part[[ID_Antenne]:[Colonne2]],4,FALSE),"")</f>
        <v>26.958843999999999</v>
      </c>
      <c r="J346" t="str">
        <f>IFERROR(VLOOKUP(Logs_Reseau_Part56[[#This Row],[Cell_ID]],Registre_Maintenance_Part[[ID_Antenne]:[Colonne2]],5,FALSE),"")</f>
        <v>5G</v>
      </c>
      <c r="K346" t="str">
        <f>IFERROR(VLOOKUP(Logs_Reseau_Part56[[#This Row],[Cell_ID]],Registre_Maintenance_Part[[ID_Antenne]:[Colonne2]],6,FALSE),"")</f>
        <v>ZTE</v>
      </c>
    </row>
    <row r="347" spans="1:11" x14ac:dyDescent="0.3">
      <c r="A347" s="1">
        <v>45229.065972222219</v>
      </c>
      <c r="B347" s="2">
        <v>45229.065972222219</v>
      </c>
      <c r="C347" t="s">
        <v>799</v>
      </c>
      <c r="D347">
        <v>93</v>
      </c>
      <c r="E347">
        <f>Logs_Reseau_Part56[[#This Row],[Duree_Panne_Min]]/60</f>
        <v>1.55</v>
      </c>
      <c r="F347" t="s">
        <v>734</v>
      </c>
      <c r="G347" t="str">
        <f>IFERROR(VLOOKUP(Logs_Reseau_Part56[[#This Row],[Cell_ID]],Registre_Maintenance_Part[[ID_Antenne]:[Colonne2]],2,FALSE),"")</f>
        <v>Nord-Kivu</v>
      </c>
      <c r="H347">
        <f>IFERROR(VLOOKUP(Logs_Reseau_Part56[[#This Row],[Cell_ID]],Registre_Maintenance_Part[[ID_Antenne]:[Colonne2]],3,FALSE),"")</f>
        <v>0.82868600000000003</v>
      </c>
      <c r="I347">
        <f>IFERROR(VLOOKUP(Logs_Reseau_Part56[[#This Row],[Cell_ID]],Registre_Maintenance_Part[[ID_Antenne]:[Colonne2]],4,FALSE),"")</f>
        <v>26.958843999999999</v>
      </c>
      <c r="J347" t="str">
        <f>IFERROR(VLOOKUP(Logs_Reseau_Part56[[#This Row],[Cell_ID]],Registre_Maintenance_Part[[ID_Antenne]:[Colonne2]],5,FALSE),"")</f>
        <v>5G</v>
      </c>
      <c r="K347" t="str">
        <f>IFERROR(VLOOKUP(Logs_Reseau_Part56[[#This Row],[Cell_ID]],Registre_Maintenance_Part[[ID_Antenne]:[Colonne2]],6,FALSE),"")</f>
        <v>ZTE</v>
      </c>
    </row>
    <row r="348" spans="1:11" x14ac:dyDescent="0.3">
      <c r="A348" s="1">
        <v>45230.486111111109</v>
      </c>
      <c r="B348" s="2">
        <v>45230.486111111109</v>
      </c>
      <c r="C348" t="s">
        <v>902</v>
      </c>
      <c r="D348">
        <v>38</v>
      </c>
      <c r="E348">
        <f>Logs_Reseau_Part56[[#This Row],[Duree_Panne_Min]]/60</f>
        <v>0.6333333333333333</v>
      </c>
      <c r="F348" t="s">
        <v>734</v>
      </c>
      <c r="G348" t="str">
        <f>IFERROR(VLOOKUP(Logs_Reseau_Part56[[#This Row],[Cell_ID]],Registre_Maintenance_Part[[ID_Antenne]:[Colonne2]],2,FALSE),"")</f>
        <v>Nord-Kivu</v>
      </c>
      <c r="H348">
        <f>IFERROR(VLOOKUP(Logs_Reseau_Part56[[#This Row],[Cell_ID]],Registre_Maintenance_Part[[ID_Antenne]:[Colonne2]],3,FALSE),"")</f>
        <v>-12.336202</v>
      </c>
      <c r="I348">
        <f>IFERROR(VLOOKUP(Logs_Reseau_Part56[[#This Row],[Cell_ID]],Registre_Maintenance_Part[[ID_Antenne]:[Colonne2]],4,FALSE),"")</f>
        <v>13.693683999999999</v>
      </c>
      <c r="J348" t="str">
        <f>IFERROR(VLOOKUP(Logs_Reseau_Part56[[#This Row],[Cell_ID]],Registre_Maintenance_Part[[ID_Antenne]:[Colonne2]],5,FALSE),"")</f>
        <v>5G</v>
      </c>
      <c r="K348" t="str">
        <f>IFERROR(VLOOKUP(Logs_Reseau_Part56[[#This Row],[Cell_ID]],Registre_Maintenance_Part[[ID_Antenne]:[Colonne2]],6,FALSE),"")</f>
        <v>Huawei</v>
      </c>
    </row>
    <row r="349" spans="1:11" x14ac:dyDescent="0.3">
      <c r="A349" s="1">
        <v>45201.009027777778</v>
      </c>
      <c r="B349" s="2">
        <v>45201.009027777778</v>
      </c>
      <c r="C349" t="s">
        <v>992</v>
      </c>
      <c r="D349">
        <v>56</v>
      </c>
      <c r="E349">
        <f>Logs_Reseau_Part56[[#This Row],[Duree_Panne_Min]]/60</f>
        <v>0.93333333333333335</v>
      </c>
      <c r="F349" t="s">
        <v>737</v>
      </c>
      <c r="G349" t="str">
        <f>IFERROR(VLOOKUP(Logs_Reseau_Part56[[#This Row],[Cell_ID]],Registre_Maintenance_Part[[ID_Antenne]:[Colonne2]],2,FALSE),"")</f>
        <v>Nord-Ubangi</v>
      </c>
      <c r="H349">
        <f>IFERROR(VLOOKUP(Logs_Reseau_Part56[[#This Row],[Cell_ID]],Registre_Maintenance_Part[[ID_Antenne]:[Colonne2]],3,FALSE),"")</f>
        <v>-7.7839049999999999</v>
      </c>
      <c r="I349">
        <f>IFERROR(VLOOKUP(Logs_Reseau_Part56[[#This Row],[Cell_ID]],Registre_Maintenance_Part[[ID_Antenne]:[Colonne2]],4,FALSE),"")</f>
        <v>14.114281999999999</v>
      </c>
      <c r="J349" t="str">
        <f>IFERROR(VLOOKUP(Logs_Reseau_Part56[[#This Row],[Cell_ID]],Registre_Maintenance_Part[[ID_Antenne]:[Colonne2]],5,FALSE),"")</f>
        <v>3G</v>
      </c>
      <c r="K349" t="str">
        <f>IFERROR(VLOOKUP(Logs_Reseau_Part56[[#This Row],[Cell_ID]],Registre_Maintenance_Part[[ID_Antenne]:[Colonne2]],6,FALSE),"")</f>
        <v>ZTE</v>
      </c>
    </row>
    <row r="350" spans="1:11" x14ac:dyDescent="0.3">
      <c r="A350" s="1">
        <v>45203.517361111109</v>
      </c>
      <c r="B350" s="2">
        <v>45203.517361111109</v>
      </c>
      <c r="C350" t="s">
        <v>765</v>
      </c>
      <c r="D350">
        <v>26</v>
      </c>
      <c r="E350">
        <f>Logs_Reseau_Part56[[#This Row],[Duree_Panne_Min]]/60</f>
        <v>0.43333333333333335</v>
      </c>
      <c r="F350" t="s">
        <v>734</v>
      </c>
      <c r="G350" t="str">
        <f>IFERROR(VLOOKUP(Logs_Reseau_Part56[[#This Row],[Cell_ID]],Registre_Maintenance_Part[[ID_Antenne]:[Colonne2]],2,FALSE),"")</f>
        <v>Nord-Ubangi</v>
      </c>
      <c r="H350">
        <f>IFERROR(VLOOKUP(Logs_Reseau_Part56[[#This Row],[Cell_ID]],Registre_Maintenance_Part[[ID_Antenne]:[Colonne2]],3,FALSE),"")</f>
        <v>-8.1437910000000002</v>
      </c>
      <c r="I350">
        <f>IFERROR(VLOOKUP(Logs_Reseau_Part56[[#This Row],[Cell_ID]],Registre_Maintenance_Part[[ID_Antenne]:[Colonne2]],4,FALSE),"")</f>
        <v>28.946161</v>
      </c>
      <c r="J350" t="str">
        <f>IFERROR(VLOOKUP(Logs_Reseau_Part56[[#This Row],[Cell_ID]],Registre_Maintenance_Part[[ID_Antenne]:[Colonne2]],5,FALSE),"")</f>
        <v>4G</v>
      </c>
      <c r="K350" t="str">
        <f>IFERROR(VLOOKUP(Logs_Reseau_Part56[[#This Row],[Cell_ID]],Registre_Maintenance_Part[[ID_Antenne]:[Colonne2]],6,FALSE),"")</f>
        <v>ZTE</v>
      </c>
    </row>
    <row r="351" spans="1:11" x14ac:dyDescent="0.3">
      <c r="A351" s="1">
        <v>45203.760416666657</v>
      </c>
      <c r="B351" s="2">
        <v>45203.760416666657</v>
      </c>
      <c r="C351" t="s">
        <v>813</v>
      </c>
      <c r="D351">
        <v>18</v>
      </c>
      <c r="E351">
        <f>Logs_Reseau_Part56[[#This Row],[Duree_Panne_Min]]/60</f>
        <v>0.3</v>
      </c>
      <c r="F351" t="s">
        <v>739</v>
      </c>
      <c r="G351" t="str">
        <f>IFERROR(VLOOKUP(Logs_Reseau_Part56[[#This Row],[Cell_ID]],Registre_Maintenance_Part[[ID_Antenne]:[Colonne2]],2,FALSE),"")</f>
        <v>Nord-Ubangi</v>
      </c>
      <c r="H351">
        <f>IFERROR(VLOOKUP(Logs_Reseau_Part56[[#This Row],[Cell_ID]],Registre_Maintenance_Part[[ID_Antenne]:[Colonne2]],3,FALSE),"")</f>
        <v>0.94539899999999999</v>
      </c>
      <c r="I351">
        <f>IFERROR(VLOOKUP(Logs_Reseau_Part56[[#This Row],[Cell_ID]],Registre_Maintenance_Part[[ID_Antenne]:[Colonne2]],4,FALSE),"")</f>
        <v>14.401821999999999</v>
      </c>
      <c r="J351" t="str">
        <f>IFERROR(VLOOKUP(Logs_Reseau_Part56[[#This Row],[Cell_ID]],Registre_Maintenance_Part[[ID_Antenne]:[Colonne2]],5,FALSE),"")</f>
        <v>5G</v>
      </c>
      <c r="K351" t="str">
        <f>IFERROR(VLOOKUP(Logs_Reseau_Part56[[#This Row],[Cell_ID]],Registre_Maintenance_Part[[ID_Antenne]:[Colonne2]],6,FALSE),"")</f>
        <v>Nokia</v>
      </c>
    </row>
    <row r="352" spans="1:11" x14ac:dyDescent="0.3">
      <c r="A352" s="1">
        <v>45204.297222222223</v>
      </c>
      <c r="B352" s="2">
        <v>45204.297222222223</v>
      </c>
      <c r="C352" t="s">
        <v>881</v>
      </c>
      <c r="D352">
        <v>111</v>
      </c>
      <c r="E352">
        <f>Logs_Reseau_Part56[[#This Row],[Duree_Panne_Min]]/60</f>
        <v>1.85</v>
      </c>
      <c r="F352" t="s">
        <v>737</v>
      </c>
      <c r="G352" t="str">
        <f>IFERROR(VLOOKUP(Logs_Reseau_Part56[[#This Row],[Cell_ID]],Registre_Maintenance_Part[[ID_Antenne]:[Colonne2]],2,FALSE),"")</f>
        <v>Nord-Ubangi</v>
      </c>
      <c r="H352">
        <f>IFERROR(VLOOKUP(Logs_Reseau_Part56[[#This Row],[Cell_ID]],Registre_Maintenance_Part[[ID_Antenne]:[Colonne2]],3,FALSE),"")</f>
        <v>-1.342476</v>
      </c>
      <c r="I352">
        <f>IFERROR(VLOOKUP(Logs_Reseau_Part56[[#This Row],[Cell_ID]],Registre_Maintenance_Part[[ID_Antenne]:[Colonne2]],4,FALSE),"")</f>
        <v>15.986086</v>
      </c>
      <c r="J352" t="str">
        <f>IFERROR(VLOOKUP(Logs_Reseau_Part56[[#This Row],[Cell_ID]],Registre_Maintenance_Part[[ID_Antenne]:[Colonne2]],5,FALSE),"")</f>
        <v>4G</v>
      </c>
      <c r="K352" t="str">
        <f>IFERROR(VLOOKUP(Logs_Reseau_Part56[[#This Row],[Cell_ID]],Registre_Maintenance_Part[[ID_Antenne]:[Colonne2]],6,FALSE),"")</f>
        <v>Ericsson</v>
      </c>
    </row>
    <row r="353" spans="1:11" x14ac:dyDescent="0.3">
      <c r="A353" s="1">
        <v>45205.013888888891</v>
      </c>
      <c r="B353" s="2">
        <v>45205.013888888891</v>
      </c>
      <c r="C353" t="s">
        <v>765</v>
      </c>
      <c r="D353">
        <v>35</v>
      </c>
      <c r="E353">
        <f>Logs_Reseau_Part56[[#This Row],[Duree_Panne_Min]]/60</f>
        <v>0.58333333333333337</v>
      </c>
      <c r="F353" t="s">
        <v>737</v>
      </c>
      <c r="G353" t="str">
        <f>IFERROR(VLOOKUP(Logs_Reseau_Part56[[#This Row],[Cell_ID]],Registre_Maintenance_Part[[ID_Antenne]:[Colonne2]],2,FALSE),"")</f>
        <v>Nord-Ubangi</v>
      </c>
      <c r="H353">
        <f>IFERROR(VLOOKUP(Logs_Reseau_Part56[[#This Row],[Cell_ID]],Registre_Maintenance_Part[[ID_Antenne]:[Colonne2]],3,FALSE),"")</f>
        <v>-8.1437910000000002</v>
      </c>
      <c r="I353">
        <f>IFERROR(VLOOKUP(Logs_Reseau_Part56[[#This Row],[Cell_ID]],Registre_Maintenance_Part[[ID_Antenne]:[Colonne2]],4,FALSE),"")</f>
        <v>28.946161</v>
      </c>
      <c r="J353" t="str">
        <f>IFERROR(VLOOKUP(Logs_Reseau_Part56[[#This Row],[Cell_ID]],Registre_Maintenance_Part[[ID_Antenne]:[Colonne2]],5,FALSE),"")</f>
        <v>4G</v>
      </c>
      <c r="K353" t="str">
        <f>IFERROR(VLOOKUP(Logs_Reseau_Part56[[#This Row],[Cell_ID]],Registre_Maintenance_Part[[ID_Antenne]:[Colonne2]],6,FALSE),"")</f>
        <v>ZTE</v>
      </c>
    </row>
    <row r="354" spans="1:11" x14ac:dyDescent="0.3">
      <c r="A354" s="1">
        <v>45208.279166666667</v>
      </c>
      <c r="B354" s="2">
        <v>45208.279166666667</v>
      </c>
      <c r="C354" t="s">
        <v>818</v>
      </c>
      <c r="D354">
        <v>41</v>
      </c>
      <c r="E354">
        <f>Logs_Reseau_Part56[[#This Row],[Duree_Panne_Min]]/60</f>
        <v>0.68333333333333335</v>
      </c>
      <c r="F354" t="s">
        <v>737</v>
      </c>
      <c r="G354" t="str">
        <f>IFERROR(VLOOKUP(Logs_Reseau_Part56[[#This Row],[Cell_ID]],Registre_Maintenance_Part[[ID_Antenne]:[Colonne2]],2,FALSE),"")</f>
        <v>Nord-Ubangi</v>
      </c>
      <c r="H354">
        <f>IFERROR(VLOOKUP(Logs_Reseau_Part56[[#This Row],[Cell_ID]],Registre_Maintenance_Part[[ID_Antenne]:[Colonne2]],3,FALSE),"")</f>
        <v>-9.3066320000000005</v>
      </c>
      <c r="I354">
        <f>IFERROR(VLOOKUP(Logs_Reseau_Part56[[#This Row],[Cell_ID]],Registre_Maintenance_Part[[ID_Antenne]:[Colonne2]],4,FALSE),"")</f>
        <v>20.470889</v>
      </c>
      <c r="J354" t="str">
        <f>IFERROR(VLOOKUP(Logs_Reseau_Part56[[#This Row],[Cell_ID]],Registre_Maintenance_Part[[ID_Antenne]:[Colonne2]],5,FALSE),"")</f>
        <v>5G</v>
      </c>
      <c r="K354" t="str">
        <f>IFERROR(VLOOKUP(Logs_Reseau_Part56[[#This Row],[Cell_ID]],Registre_Maintenance_Part[[ID_Antenne]:[Colonne2]],6,FALSE),"")</f>
        <v>ZTE</v>
      </c>
    </row>
    <row r="355" spans="1:11" x14ac:dyDescent="0.3">
      <c r="A355" s="1">
        <v>45209.659722222219</v>
      </c>
      <c r="B355" s="2">
        <v>45209.659722222219</v>
      </c>
      <c r="C355" t="s">
        <v>992</v>
      </c>
      <c r="D355">
        <v>67</v>
      </c>
      <c r="E355">
        <f>Logs_Reseau_Part56[[#This Row],[Duree_Panne_Min]]/60</f>
        <v>1.1166666666666667</v>
      </c>
      <c r="F355" t="s">
        <v>739</v>
      </c>
      <c r="G355" t="str">
        <f>IFERROR(VLOOKUP(Logs_Reseau_Part56[[#This Row],[Cell_ID]],Registre_Maintenance_Part[[ID_Antenne]:[Colonne2]],2,FALSE),"")</f>
        <v>Nord-Ubangi</v>
      </c>
      <c r="H355">
        <f>IFERROR(VLOOKUP(Logs_Reseau_Part56[[#This Row],[Cell_ID]],Registre_Maintenance_Part[[ID_Antenne]:[Colonne2]],3,FALSE),"")</f>
        <v>-7.7839049999999999</v>
      </c>
      <c r="I355">
        <f>IFERROR(VLOOKUP(Logs_Reseau_Part56[[#This Row],[Cell_ID]],Registre_Maintenance_Part[[ID_Antenne]:[Colonne2]],4,FALSE),"")</f>
        <v>14.114281999999999</v>
      </c>
      <c r="J355" t="str">
        <f>IFERROR(VLOOKUP(Logs_Reseau_Part56[[#This Row],[Cell_ID]],Registre_Maintenance_Part[[ID_Antenne]:[Colonne2]],5,FALSE),"")</f>
        <v>3G</v>
      </c>
      <c r="K355" t="str">
        <f>IFERROR(VLOOKUP(Logs_Reseau_Part56[[#This Row],[Cell_ID]],Registre_Maintenance_Part[[ID_Antenne]:[Colonne2]],6,FALSE),"")</f>
        <v>ZTE</v>
      </c>
    </row>
    <row r="356" spans="1:11" x14ac:dyDescent="0.3">
      <c r="A356" s="1">
        <v>45210.686111111107</v>
      </c>
      <c r="B356" s="2">
        <v>45210.686111111107</v>
      </c>
      <c r="C356" t="s">
        <v>1159</v>
      </c>
      <c r="D356">
        <v>62</v>
      </c>
      <c r="E356">
        <f>Logs_Reseau_Part56[[#This Row],[Duree_Panne_Min]]/60</f>
        <v>1.0333333333333334</v>
      </c>
      <c r="F356" t="s">
        <v>737</v>
      </c>
      <c r="G356" t="str">
        <f>IFERROR(VLOOKUP(Logs_Reseau_Part56[[#This Row],[Cell_ID]],Registre_Maintenance_Part[[ID_Antenne]:[Colonne2]],2,FALSE),"")</f>
        <v>Nord-Ubangi</v>
      </c>
      <c r="H356">
        <f>IFERROR(VLOOKUP(Logs_Reseau_Part56[[#This Row],[Cell_ID]],Registre_Maintenance_Part[[ID_Antenne]:[Colonne2]],3,FALSE),"")</f>
        <v>8.5490999999999998E-2</v>
      </c>
      <c r="I356">
        <f>IFERROR(VLOOKUP(Logs_Reseau_Part56[[#This Row],[Cell_ID]],Registre_Maintenance_Part[[ID_Antenne]:[Colonne2]],4,FALSE),"")</f>
        <v>26.296129000000001</v>
      </c>
      <c r="J356" t="str">
        <f>IFERROR(VLOOKUP(Logs_Reseau_Part56[[#This Row],[Cell_ID]],Registre_Maintenance_Part[[ID_Antenne]:[Colonne2]],5,FALSE),"")</f>
        <v>3G</v>
      </c>
      <c r="K356" t="str">
        <f>IFERROR(VLOOKUP(Logs_Reseau_Part56[[#This Row],[Cell_ID]],Registre_Maintenance_Part[[ID_Antenne]:[Colonne2]],6,FALSE),"")</f>
        <v>ZTE</v>
      </c>
    </row>
    <row r="357" spans="1:11" x14ac:dyDescent="0.3">
      <c r="A357" s="1">
        <v>45210.908333333333</v>
      </c>
      <c r="B357" s="2">
        <v>45210.908333333333</v>
      </c>
      <c r="C357" t="s">
        <v>1159</v>
      </c>
      <c r="D357">
        <v>57</v>
      </c>
      <c r="E357">
        <f>Logs_Reseau_Part56[[#This Row],[Duree_Panne_Min]]/60</f>
        <v>0.95</v>
      </c>
      <c r="F357" t="s">
        <v>739</v>
      </c>
      <c r="G357" t="str">
        <f>IFERROR(VLOOKUP(Logs_Reseau_Part56[[#This Row],[Cell_ID]],Registre_Maintenance_Part[[ID_Antenne]:[Colonne2]],2,FALSE),"")</f>
        <v>Nord-Ubangi</v>
      </c>
      <c r="H357">
        <f>IFERROR(VLOOKUP(Logs_Reseau_Part56[[#This Row],[Cell_ID]],Registre_Maintenance_Part[[ID_Antenne]:[Colonne2]],3,FALSE),"")</f>
        <v>8.5490999999999998E-2</v>
      </c>
      <c r="I357">
        <f>IFERROR(VLOOKUP(Logs_Reseau_Part56[[#This Row],[Cell_ID]],Registre_Maintenance_Part[[ID_Antenne]:[Colonne2]],4,FALSE),"")</f>
        <v>26.296129000000001</v>
      </c>
      <c r="J357" t="str">
        <f>IFERROR(VLOOKUP(Logs_Reseau_Part56[[#This Row],[Cell_ID]],Registre_Maintenance_Part[[ID_Antenne]:[Colonne2]],5,FALSE),"")</f>
        <v>3G</v>
      </c>
      <c r="K357" t="str">
        <f>IFERROR(VLOOKUP(Logs_Reseau_Part56[[#This Row],[Cell_ID]],Registre_Maintenance_Part[[ID_Antenne]:[Colonne2]],6,FALSE),"")</f>
        <v>ZTE</v>
      </c>
    </row>
    <row r="358" spans="1:11" x14ac:dyDescent="0.3">
      <c r="A358" s="1">
        <v>45211.279166666667</v>
      </c>
      <c r="B358" s="2">
        <v>45211.279166666667</v>
      </c>
      <c r="C358" t="s">
        <v>765</v>
      </c>
      <c r="D358">
        <v>75</v>
      </c>
      <c r="E358">
        <f>Logs_Reseau_Part56[[#This Row],[Duree_Panne_Min]]/60</f>
        <v>1.25</v>
      </c>
      <c r="F358" t="s">
        <v>734</v>
      </c>
      <c r="G358" t="str">
        <f>IFERROR(VLOOKUP(Logs_Reseau_Part56[[#This Row],[Cell_ID]],Registre_Maintenance_Part[[ID_Antenne]:[Colonne2]],2,FALSE),"")</f>
        <v>Nord-Ubangi</v>
      </c>
      <c r="H358">
        <f>IFERROR(VLOOKUP(Logs_Reseau_Part56[[#This Row],[Cell_ID]],Registre_Maintenance_Part[[ID_Antenne]:[Colonne2]],3,FALSE),"")</f>
        <v>-8.1437910000000002</v>
      </c>
      <c r="I358">
        <f>IFERROR(VLOOKUP(Logs_Reseau_Part56[[#This Row],[Cell_ID]],Registre_Maintenance_Part[[ID_Antenne]:[Colonne2]],4,FALSE),"")</f>
        <v>28.946161</v>
      </c>
      <c r="J358" t="str">
        <f>IFERROR(VLOOKUP(Logs_Reseau_Part56[[#This Row],[Cell_ID]],Registre_Maintenance_Part[[ID_Antenne]:[Colonne2]],5,FALSE),"")</f>
        <v>4G</v>
      </c>
      <c r="K358" t="str">
        <f>IFERROR(VLOOKUP(Logs_Reseau_Part56[[#This Row],[Cell_ID]],Registre_Maintenance_Part[[ID_Antenne]:[Colonne2]],6,FALSE),"")</f>
        <v>ZTE</v>
      </c>
    </row>
    <row r="359" spans="1:11" x14ac:dyDescent="0.3">
      <c r="A359" s="1">
        <v>45213.238194444442</v>
      </c>
      <c r="B359" s="2">
        <v>45213.238194444442</v>
      </c>
      <c r="C359" t="s">
        <v>1203</v>
      </c>
      <c r="D359">
        <v>53</v>
      </c>
      <c r="E359">
        <f>Logs_Reseau_Part56[[#This Row],[Duree_Panne_Min]]/60</f>
        <v>0.8833333333333333</v>
      </c>
      <c r="F359" t="s">
        <v>737</v>
      </c>
      <c r="G359" t="str">
        <f>IFERROR(VLOOKUP(Logs_Reseau_Part56[[#This Row],[Cell_ID]],Registre_Maintenance_Part[[ID_Antenne]:[Colonne2]],2,FALSE),"")</f>
        <v>Nord-Ubangi</v>
      </c>
      <c r="H359">
        <f>IFERROR(VLOOKUP(Logs_Reseau_Part56[[#This Row],[Cell_ID]],Registre_Maintenance_Part[[ID_Antenne]:[Colonne2]],3,FALSE),"")</f>
        <v>-8.4985189999999999</v>
      </c>
      <c r="I359">
        <f>IFERROR(VLOOKUP(Logs_Reseau_Part56[[#This Row],[Cell_ID]],Registre_Maintenance_Part[[ID_Antenne]:[Colonne2]],4,FALSE),"")</f>
        <v>12.929456999999999</v>
      </c>
      <c r="J359" t="str">
        <f>IFERROR(VLOOKUP(Logs_Reseau_Part56[[#This Row],[Cell_ID]],Registre_Maintenance_Part[[ID_Antenne]:[Colonne2]],5,FALSE),"")</f>
        <v>4G</v>
      </c>
      <c r="K359" t="str">
        <f>IFERROR(VLOOKUP(Logs_Reseau_Part56[[#This Row],[Cell_ID]],Registre_Maintenance_Part[[ID_Antenne]:[Colonne2]],6,FALSE),"")</f>
        <v>Ericsson</v>
      </c>
    </row>
    <row r="360" spans="1:11" x14ac:dyDescent="0.3">
      <c r="A360" s="1">
        <v>45214.018750000003</v>
      </c>
      <c r="B360" s="2">
        <v>45214.018750000003</v>
      </c>
      <c r="C360" t="s">
        <v>881</v>
      </c>
      <c r="D360">
        <v>115</v>
      </c>
      <c r="E360">
        <f>Logs_Reseau_Part56[[#This Row],[Duree_Panne_Min]]/60</f>
        <v>1.9166666666666667</v>
      </c>
      <c r="F360" t="s">
        <v>737</v>
      </c>
      <c r="G360" t="str">
        <f>IFERROR(VLOOKUP(Logs_Reseau_Part56[[#This Row],[Cell_ID]],Registre_Maintenance_Part[[ID_Antenne]:[Colonne2]],2,FALSE),"")</f>
        <v>Nord-Ubangi</v>
      </c>
      <c r="H360">
        <f>IFERROR(VLOOKUP(Logs_Reseau_Part56[[#This Row],[Cell_ID]],Registre_Maintenance_Part[[ID_Antenne]:[Colonne2]],3,FALSE),"")</f>
        <v>-1.342476</v>
      </c>
      <c r="I360">
        <f>IFERROR(VLOOKUP(Logs_Reseau_Part56[[#This Row],[Cell_ID]],Registre_Maintenance_Part[[ID_Antenne]:[Colonne2]],4,FALSE),"")</f>
        <v>15.986086</v>
      </c>
      <c r="J360" t="str">
        <f>IFERROR(VLOOKUP(Logs_Reseau_Part56[[#This Row],[Cell_ID]],Registre_Maintenance_Part[[ID_Antenne]:[Colonne2]],5,FALSE),"")</f>
        <v>4G</v>
      </c>
      <c r="K360" t="str">
        <f>IFERROR(VLOOKUP(Logs_Reseau_Part56[[#This Row],[Cell_ID]],Registre_Maintenance_Part[[ID_Antenne]:[Colonne2]],6,FALSE),"")</f>
        <v>Ericsson</v>
      </c>
    </row>
    <row r="361" spans="1:11" x14ac:dyDescent="0.3">
      <c r="A361" s="1">
        <v>45220.584027777782</v>
      </c>
      <c r="B361" s="2">
        <v>45220.584027777782</v>
      </c>
      <c r="C361" t="s">
        <v>1251</v>
      </c>
      <c r="D361">
        <v>92</v>
      </c>
      <c r="E361">
        <f>Logs_Reseau_Part56[[#This Row],[Duree_Panne_Min]]/60</f>
        <v>1.5333333333333334</v>
      </c>
      <c r="F361" t="s">
        <v>739</v>
      </c>
      <c r="G361" t="str">
        <f>IFERROR(VLOOKUP(Logs_Reseau_Part56[[#This Row],[Cell_ID]],Registre_Maintenance_Part[[ID_Antenne]:[Colonne2]],2,FALSE),"")</f>
        <v>Nord-Ubangi</v>
      </c>
      <c r="H361">
        <f>IFERROR(VLOOKUP(Logs_Reseau_Part56[[#This Row],[Cell_ID]],Registre_Maintenance_Part[[ID_Antenne]:[Colonne2]],3,FALSE),"")</f>
        <v>-11.588665000000001</v>
      </c>
      <c r="I361">
        <f>IFERROR(VLOOKUP(Logs_Reseau_Part56[[#This Row],[Cell_ID]],Registre_Maintenance_Part[[ID_Antenne]:[Colonne2]],4,FALSE),"")</f>
        <v>15.241552</v>
      </c>
      <c r="J361" t="str">
        <f>IFERROR(VLOOKUP(Logs_Reseau_Part56[[#This Row],[Cell_ID]],Registre_Maintenance_Part[[ID_Antenne]:[Colonne2]],5,FALSE),"")</f>
        <v>4G</v>
      </c>
      <c r="K361" t="str">
        <f>IFERROR(VLOOKUP(Logs_Reseau_Part56[[#This Row],[Cell_ID]],Registre_Maintenance_Part[[ID_Antenne]:[Colonne2]],6,FALSE),"")</f>
        <v>Nokia</v>
      </c>
    </row>
    <row r="362" spans="1:11" x14ac:dyDescent="0.3">
      <c r="A362" s="1">
        <v>45222.415277777778</v>
      </c>
      <c r="B362" s="2">
        <v>45222.415277777778</v>
      </c>
      <c r="C362" t="s">
        <v>1011</v>
      </c>
      <c r="D362">
        <v>73</v>
      </c>
      <c r="E362">
        <f>Logs_Reseau_Part56[[#This Row],[Duree_Panne_Min]]/60</f>
        <v>1.2166666666666666</v>
      </c>
      <c r="F362" t="s">
        <v>734</v>
      </c>
      <c r="G362" t="str">
        <f>IFERROR(VLOOKUP(Logs_Reseau_Part56[[#This Row],[Cell_ID]],Registre_Maintenance_Part[[ID_Antenne]:[Colonne2]],2,FALSE),"")</f>
        <v>Nord-Ubangi</v>
      </c>
      <c r="H362">
        <f>IFERROR(VLOOKUP(Logs_Reseau_Part56[[#This Row],[Cell_ID]],Registre_Maintenance_Part[[ID_Antenne]:[Colonne2]],3,FALSE),"")</f>
        <v>-4.8128659999999996</v>
      </c>
      <c r="I362">
        <f>IFERROR(VLOOKUP(Logs_Reseau_Part56[[#This Row],[Cell_ID]],Registre_Maintenance_Part[[ID_Antenne]:[Colonne2]],4,FALSE),"")</f>
        <v>18.559304999999998</v>
      </c>
      <c r="J362" t="str">
        <f>IFERROR(VLOOKUP(Logs_Reseau_Part56[[#This Row],[Cell_ID]],Registre_Maintenance_Part[[ID_Antenne]:[Colonne2]],5,FALSE),"")</f>
        <v>5G</v>
      </c>
      <c r="K362" t="str">
        <f>IFERROR(VLOOKUP(Logs_Reseau_Part56[[#This Row],[Cell_ID]],Registre_Maintenance_Part[[ID_Antenne]:[Colonne2]],6,FALSE),"")</f>
        <v>ZTE</v>
      </c>
    </row>
    <row r="363" spans="1:11" x14ac:dyDescent="0.3">
      <c r="A363" s="1">
        <v>45225.317361111112</v>
      </c>
      <c r="B363" s="2">
        <v>45225.317361111112</v>
      </c>
      <c r="C363" t="s">
        <v>867</v>
      </c>
      <c r="D363">
        <v>56</v>
      </c>
      <c r="E363">
        <f>Logs_Reseau_Part56[[#This Row],[Duree_Panne_Min]]/60</f>
        <v>0.93333333333333335</v>
      </c>
      <c r="F363" t="s">
        <v>737</v>
      </c>
      <c r="G363" t="str">
        <f>IFERROR(VLOOKUP(Logs_Reseau_Part56[[#This Row],[Cell_ID]],Registre_Maintenance_Part[[ID_Antenne]:[Colonne2]],2,FALSE),"")</f>
        <v>Nord-Ubangi</v>
      </c>
      <c r="H363">
        <f>IFERROR(VLOOKUP(Logs_Reseau_Part56[[#This Row],[Cell_ID]],Registre_Maintenance_Part[[ID_Antenne]:[Colonne2]],3,FALSE),"")</f>
        <v>-7.9987219999999999</v>
      </c>
      <c r="I363">
        <f>IFERROR(VLOOKUP(Logs_Reseau_Part56[[#This Row],[Cell_ID]],Registre_Maintenance_Part[[ID_Antenne]:[Colonne2]],4,FALSE),"")</f>
        <v>12.779335</v>
      </c>
      <c r="J363" t="str">
        <f>IFERROR(VLOOKUP(Logs_Reseau_Part56[[#This Row],[Cell_ID]],Registre_Maintenance_Part[[ID_Antenne]:[Colonne2]],5,FALSE),"")</f>
        <v>5G</v>
      </c>
      <c r="K363" t="str">
        <f>IFERROR(VLOOKUP(Logs_Reseau_Part56[[#This Row],[Cell_ID]],Registre_Maintenance_Part[[ID_Antenne]:[Colonne2]],6,FALSE),"")</f>
        <v>Nokia</v>
      </c>
    </row>
    <row r="364" spans="1:11" x14ac:dyDescent="0.3">
      <c r="A364" s="1">
        <v>45226.209027777782</v>
      </c>
      <c r="B364" s="2">
        <v>45226.209027777782</v>
      </c>
      <c r="C364" t="s">
        <v>1203</v>
      </c>
      <c r="D364">
        <v>81</v>
      </c>
      <c r="E364">
        <f>Logs_Reseau_Part56[[#This Row],[Duree_Panne_Min]]/60</f>
        <v>1.35</v>
      </c>
      <c r="F364" t="s">
        <v>739</v>
      </c>
      <c r="G364" t="str">
        <f>IFERROR(VLOOKUP(Logs_Reseau_Part56[[#This Row],[Cell_ID]],Registre_Maintenance_Part[[ID_Antenne]:[Colonne2]],2,FALSE),"")</f>
        <v>Nord-Ubangi</v>
      </c>
      <c r="H364">
        <f>IFERROR(VLOOKUP(Logs_Reseau_Part56[[#This Row],[Cell_ID]],Registre_Maintenance_Part[[ID_Antenne]:[Colonne2]],3,FALSE),"")</f>
        <v>-8.4985189999999999</v>
      </c>
      <c r="I364">
        <f>IFERROR(VLOOKUP(Logs_Reseau_Part56[[#This Row],[Cell_ID]],Registre_Maintenance_Part[[ID_Antenne]:[Colonne2]],4,FALSE),"")</f>
        <v>12.929456999999999</v>
      </c>
      <c r="J364" t="str">
        <f>IFERROR(VLOOKUP(Logs_Reseau_Part56[[#This Row],[Cell_ID]],Registre_Maintenance_Part[[ID_Antenne]:[Colonne2]],5,FALSE),"")</f>
        <v>4G</v>
      </c>
      <c r="K364" t="str">
        <f>IFERROR(VLOOKUP(Logs_Reseau_Part56[[#This Row],[Cell_ID]],Registre_Maintenance_Part[[ID_Antenne]:[Colonne2]],6,FALSE),"")</f>
        <v>Ericsson</v>
      </c>
    </row>
    <row r="365" spans="1:11" x14ac:dyDescent="0.3">
      <c r="A365" s="1">
        <v>45226.586805555547</v>
      </c>
      <c r="B365" s="2">
        <v>45226.586805555547</v>
      </c>
      <c r="C365" t="s">
        <v>992</v>
      </c>
      <c r="D365">
        <v>33</v>
      </c>
      <c r="E365">
        <f>Logs_Reseau_Part56[[#This Row],[Duree_Panne_Min]]/60</f>
        <v>0.55000000000000004</v>
      </c>
      <c r="F365" t="s">
        <v>739</v>
      </c>
      <c r="G365" t="str">
        <f>IFERROR(VLOOKUP(Logs_Reseau_Part56[[#This Row],[Cell_ID]],Registre_Maintenance_Part[[ID_Antenne]:[Colonne2]],2,FALSE),"")</f>
        <v>Nord-Ubangi</v>
      </c>
      <c r="H365">
        <f>IFERROR(VLOOKUP(Logs_Reseau_Part56[[#This Row],[Cell_ID]],Registre_Maintenance_Part[[ID_Antenne]:[Colonne2]],3,FALSE),"")</f>
        <v>-7.7839049999999999</v>
      </c>
      <c r="I365">
        <f>IFERROR(VLOOKUP(Logs_Reseau_Part56[[#This Row],[Cell_ID]],Registre_Maintenance_Part[[ID_Antenne]:[Colonne2]],4,FALSE),"")</f>
        <v>14.114281999999999</v>
      </c>
      <c r="J365" t="str">
        <f>IFERROR(VLOOKUP(Logs_Reseau_Part56[[#This Row],[Cell_ID]],Registre_Maintenance_Part[[ID_Antenne]:[Colonne2]],5,FALSE),"")</f>
        <v>3G</v>
      </c>
      <c r="K365" t="str">
        <f>IFERROR(VLOOKUP(Logs_Reseau_Part56[[#This Row],[Cell_ID]],Registre_Maintenance_Part[[ID_Antenne]:[Colonne2]],6,FALSE),"")</f>
        <v>ZTE</v>
      </c>
    </row>
    <row r="366" spans="1:11" x14ac:dyDescent="0.3">
      <c r="A366" s="1">
        <v>45226.623611111107</v>
      </c>
      <c r="B366" s="2">
        <v>45226.623611111107</v>
      </c>
      <c r="C366" t="s">
        <v>867</v>
      </c>
      <c r="D366">
        <v>98</v>
      </c>
      <c r="E366">
        <f>Logs_Reseau_Part56[[#This Row],[Duree_Panne_Min]]/60</f>
        <v>1.6333333333333333</v>
      </c>
      <c r="F366" t="s">
        <v>739</v>
      </c>
      <c r="G366" t="str">
        <f>IFERROR(VLOOKUP(Logs_Reseau_Part56[[#This Row],[Cell_ID]],Registre_Maintenance_Part[[ID_Antenne]:[Colonne2]],2,FALSE),"")</f>
        <v>Nord-Ubangi</v>
      </c>
      <c r="H366">
        <f>IFERROR(VLOOKUP(Logs_Reseau_Part56[[#This Row],[Cell_ID]],Registre_Maintenance_Part[[ID_Antenne]:[Colonne2]],3,FALSE),"")</f>
        <v>-7.9987219999999999</v>
      </c>
      <c r="I366">
        <f>IFERROR(VLOOKUP(Logs_Reseau_Part56[[#This Row],[Cell_ID]],Registre_Maintenance_Part[[ID_Antenne]:[Colonne2]],4,FALSE),"")</f>
        <v>12.779335</v>
      </c>
      <c r="J366" t="str">
        <f>IFERROR(VLOOKUP(Logs_Reseau_Part56[[#This Row],[Cell_ID]],Registre_Maintenance_Part[[ID_Antenne]:[Colonne2]],5,FALSE),"")</f>
        <v>5G</v>
      </c>
      <c r="K366" t="str">
        <f>IFERROR(VLOOKUP(Logs_Reseau_Part56[[#This Row],[Cell_ID]],Registre_Maintenance_Part[[ID_Antenne]:[Colonne2]],6,FALSE),"")</f>
        <v>Nokia</v>
      </c>
    </row>
    <row r="367" spans="1:11" x14ac:dyDescent="0.3">
      <c r="A367" s="1">
        <v>45226.997916666667</v>
      </c>
      <c r="B367" s="2">
        <v>45226.997916666667</v>
      </c>
      <c r="C367" t="s">
        <v>1376</v>
      </c>
      <c r="D367">
        <v>53</v>
      </c>
      <c r="E367">
        <f>Logs_Reseau_Part56[[#This Row],[Duree_Panne_Min]]/60</f>
        <v>0.8833333333333333</v>
      </c>
      <c r="F367" t="s">
        <v>739</v>
      </c>
      <c r="G367" t="str">
        <f>IFERROR(VLOOKUP(Logs_Reseau_Part56[[#This Row],[Cell_ID]],Registre_Maintenance_Part[[ID_Antenne]:[Colonne2]],2,FALSE),"")</f>
        <v>Nord-Ubangi</v>
      </c>
      <c r="H367">
        <f>IFERROR(VLOOKUP(Logs_Reseau_Part56[[#This Row],[Cell_ID]],Registre_Maintenance_Part[[ID_Antenne]:[Colonne2]],3,FALSE),"")</f>
        <v>-7.8373179999999998</v>
      </c>
      <c r="I367">
        <f>IFERROR(VLOOKUP(Logs_Reseau_Part56[[#This Row],[Cell_ID]],Registre_Maintenance_Part[[ID_Antenne]:[Colonne2]],4,FALSE),"")</f>
        <v>20.527591999999999</v>
      </c>
      <c r="J367" t="str">
        <f>IFERROR(VLOOKUP(Logs_Reseau_Part56[[#This Row],[Cell_ID]],Registre_Maintenance_Part[[ID_Antenne]:[Colonne2]],5,FALSE),"")</f>
        <v>4G</v>
      </c>
      <c r="K367" t="str">
        <f>IFERROR(VLOOKUP(Logs_Reseau_Part56[[#This Row],[Cell_ID]],Registre_Maintenance_Part[[ID_Antenne]:[Colonne2]],6,FALSE),"")</f>
        <v>Ericsson</v>
      </c>
    </row>
    <row r="368" spans="1:11" x14ac:dyDescent="0.3">
      <c r="A368" s="1">
        <v>45227.033333333333</v>
      </c>
      <c r="B368" s="2">
        <v>45227.033333333333</v>
      </c>
      <c r="C368" t="s">
        <v>748</v>
      </c>
      <c r="D368">
        <v>68</v>
      </c>
      <c r="E368">
        <f>Logs_Reseau_Part56[[#This Row],[Duree_Panne_Min]]/60</f>
        <v>1.1333333333333333</v>
      </c>
      <c r="F368" t="s">
        <v>739</v>
      </c>
      <c r="G368" t="str">
        <f>IFERROR(VLOOKUP(Logs_Reseau_Part56[[#This Row],[Cell_ID]],Registre_Maintenance_Part[[ID_Antenne]:[Colonne2]],2,FALSE),"")</f>
        <v>Nord-Ubangi</v>
      </c>
      <c r="H368">
        <f>IFERROR(VLOOKUP(Logs_Reseau_Part56[[#This Row],[Cell_ID]],Registre_Maintenance_Part[[ID_Antenne]:[Colonne2]],3,FALSE),"")</f>
        <v>-10.375266999999999</v>
      </c>
      <c r="I368">
        <f>IFERROR(VLOOKUP(Logs_Reseau_Part56[[#This Row],[Cell_ID]],Registre_Maintenance_Part[[ID_Antenne]:[Colonne2]],4,FALSE),"")</f>
        <v>17.993663000000002</v>
      </c>
      <c r="J368" t="str">
        <f>IFERROR(VLOOKUP(Logs_Reseau_Part56[[#This Row],[Cell_ID]],Registre_Maintenance_Part[[ID_Antenne]:[Colonne2]],5,FALSE),"")</f>
        <v>5G</v>
      </c>
      <c r="K368" t="str">
        <f>IFERROR(VLOOKUP(Logs_Reseau_Part56[[#This Row],[Cell_ID]],Registre_Maintenance_Part[[ID_Antenne]:[Colonne2]],6,FALSE),"")</f>
        <v>ZTE</v>
      </c>
    </row>
    <row r="369" spans="1:11" x14ac:dyDescent="0.3">
      <c r="A369" s="1">
        <v>45227.587500000001</v>
      </c>
      <c r="B369" s="2">
        <v>45227.587500000001</v>
      </c>
      <c r="C369" t="s">
        <v>881</v>
      </c>
      <c r="D369">
        <v>50</v>
      </c>
      <c r="E369">
        <f>Logs_Reseau_Part56[[#This Row],[Duree_Panne_Min]]/60</f>
        <v>0.83333333333333337</v>
      </c>
      <c r="F369" t="s">
        <v>737</v>
      </c>
      <c r="G369" t="str">
        <f>IFERROR(VLOOKUP(Logs_Reseau_Part56[[#This Row],[Cell_ID]],Registre_Maintenance_Part[[ID_Antenne]:[Colonne2]],2,FALSE),"")</f>
        <v>Nord-Ubangi</v>
      </c>
      <c r="H369">
        <f>IFERROR(VLOOKUP(Logs_Reseau_Part56[[#This Row],[Cell_ID]],Registre_Maintenance_Part[[ID_Antenne]:[Colonne2]],3,FALSE),"")</f>
        <v>-1.342476</v>
      </c>
      <c r="I369">
        <f>IFERROR(VLOOKUP(Logs_Reseau_Part56[[#This Row],[Cell_ID]],Registre_Maintenance_Part[[ID_Antenne]:[Colonne2]],4,FALSE),"")</f>
        <v>15.986086</v>
      </c>
      <c r="J369" t="str">
        <f>IFERROR(VLOOKUP(Logs_Reseau_Part56[[#This Row],[Cell_ID]],Registre_Maintenance_Part[[ID_Antenne]:[Colonne2]],5,FALSE),"")</f>
        <v>4G</v>
      </c>
      <c r="K369" t="str">
        <f>IFERROR(VLOOKUP(Logs_Reseau_Part56[[#This Row],[Cell_ID]],Registre_Maintenance_Part[[ID_Antenne]:[Colonne2]],6,FALSE),"")</f>
        <v>Ericsson</v>
      </c>
    </row>
    <row r="370" spans="1:11" x14ac:dyDescent="0.3">
      <c r="A370" s="1">
        <v>45229.722916666673</v>
      </c>
      <c r="B370" s="2">
        <v>45229.722916666673</v>
      </c>
      <c r="C370" t="s">
        <v>881</v>
      </c>
      <c r="D370">
        <v>76</v>
      </c>
      <c r="E370">
        <f>Logs_Reseau_Part56[[#This Row],[Duree_Panne_Min]]/60</f>
        <v>1.2666666666666666</v>
      </c>
      <c r="F370" t="s">
        <v>737</v>
      </c>
      <c r="G370" t="str">
        <f>IFERROR(VLOOKUP(Logs_Reseau_Part56[[#This Row],[Cell_ID]],Registre_Maintenance_Part[[ID_Antenne]:[Colonne2]],2,FALSE),"")</f>
        <v>Nord-Ubangi</v>
      </c>
      <c r="H370">
        <f>IFERROR(VLOOKUP(Logs_Reseau_Part56[[#This Row],[Cell_ID]],Registre_Maintenance_Part[[ID_Antenne]:[Colonne2]],3,FALSE),"")</f>
        <v>-1.342476</v>
      </c>
      <c r="I370">
        <f>IFERROR(VLOOKUP(Logs_Reseau_Part56[[#This Row],[Cell_ID]],Registre_Maintenance_Part[[ID_Antenne]:[Colonne2]],4,FALSE),"")</f>
        <v>15.986086</v>
      </c>
      <c r="J370" t="str">
        <f>IFERROR(VLOOKUP(Logs_Reseau_Part56[[#This Row],[Cell_ID]],Registre_Maintenance_Part[[ID_Antenne]:[Colonne2]],5,FALSE),"")</f>
        <v>4G</v>
      </c>
      <c r="K370" t="str">
        <f>IFERROR(VLOOKUP(Logs_Reseau_Part56[[#This Row],[Cell_ID]],Registre_Maintenance_Part[[ID_Antenne]:[Colonne2]],6,FALSE),"")</f>
        <v>Ericsson</v>
      </c>
    </row>
    <row r="371" spans="1:11" x14ac:dyDescent="0.3">
      <c r="A371" s="1">
        <v>45229.972222222219</v>
      </c>
      <c r="B371" s="2">
        <v>45229.972222222219</v>
      </c>
      <c r="C371" t="s">
        <v>1203</v>
      </c>
      <c r="D371">
        <v>5</v>
      </c>
      <c r="E371">
        <f>Logs_Reseau_Part56[[#This Row],[Duree_Panne_Min]]/60</f>
        <v>8.3333333333333329E-2</v>
      </c>
      <c r="F371" t="s">
        <v>739</v>
      </c>
      <c r="G371" t="str">
        <f>IFERROR(VLOOKUP(Logs_Reseau_Part56[[#This Row],[Cell_ID]],Registre_Maintenance_Part[[ID_Antenne]:[Colonne2]],2,FALSE),"")</f>
        <v>Nord-Ubangi</v>
      </c>
      <c r="H371">
        <f>IFERROR(VLOOKUP(Logs_Reseau_Part56[[#This Row],[Cell_ID]],Registre_Maintenance_Part[[ID_Antenne]:[Colonne2]],3,FALSE),"")</f>
        <v>-8.4985189999999999</v>
      </c>
      <c r="I371">
        <f>IFERROR(VLOOKUP(Logs_Reseau_Part56[[#This Row],[Cell_ID]],Registre_Maintenance_Part[[ID_Antenne]:[Colonne2]],4,FALSE),"")</f>
        <v>12.929456999999999</v>
      </c>
      <c r="J371" t="str">
        <f>IFERROR(VLOOKUP(Logs_Reseau_Part56[[#This Row],[Cell_ID]],Registre_Maintenance_Part[[ID_Antenne]:[Colonne2]],5,FALSE),"")</f>
        <v>4G</v>
      </c>
      <c r="K371" t="str">
        <f>IFERROR(VLOOKUP(Logs_Reseau_Part56[[#This Row],[Cell_ID]],Registre_Maintenance_Part[[ID_Antenne]:[Colonne2]],6,FALSE),"")</f>
        <v>Ericsson</v>
      </c>
    </row>
    <row r="372" spans="1:11" x14ac:dyDescent="0.3">
      <c r="A372" s="1">
        <v>45230.009027777778</v>
      </c>
      <c r="B372" s="2">
        <v>45230.009027777778</v>
      </c>
      <c r="C372" t="s">
        <v>813</v>
      </c>
      <c r="D372">
        <v>11</v>
      </c>
      <c r="E372">
        <f>Logs_Reseau_Part56[[#This Row],[Duree_Panne_Min]]/60</f>
        <v>0.18333333333333332</v>
      </c>
      <c r="F372" t="s">
        <v>737</v>
      </c>
      <c r="G372" t="str">
        <f>IFERROR(VLOOKUP(Logs_Reseau_Part56[[#This Row],[Cell_ID]],Registre_Maintenance_Part[[ID_Antenne]:[Colonne2]],2,FALSE),"")</f>
        <v>Nord-Ubangi</v>
      </c>
      <c r="H372">
        <f>IFERROR(VLOOKUP(Logs_Reseau_Part56[[#This Row],[Cell_ID]],Registre_Maintenance_Part[[ID_Antenne]:[Colonne2]],3,FALSE),"")</f>
        <v>0.94539899999999999</v>
      </c>
      <c r="I372">
        <f>IFERROR(VLOOKUP(Logs_Reseau_Part56[[#This Row],[Cell_ID]],Registre_Maintenance_Part[[ID_Antenne]:[Colonne2]],4,FALSE),"")</f>
        <v>14.401821999999999</v>
      </c>
      <c r="J372" t="str">
        <f>IFERROR(VLOOKUP(Logs_Reseau_Part56[[#This Row],[Cell_ID]],Registre_Maintenance_Part[[ID_Antenne]:[Colonne2]],5,FALSE),"")</f>
        <v>5G</v>
      </c>
      <c r="K372" t="str">
        <f>IFERROR(VLOOKUP(Logs_Reseau_Part56[[#This Row],[Cell_ID]],Registre_Maintenance_Part[[ID_Antenne]:[Colonne2]],6,FALSE),"")</f>
        <v>Nokia</v>
      </c>
    </row>
    <row r="373" spans="1:11" x14ac:dyDescent="0.3">
      <c r="A373" s="1">
        <v>45230.64166666667</v>
      </c>
      <c r="B373" s="2">
        <v>45230.64166666667</v>
      </c>
      <c r="C373" t="s">
        <v>1359</v>
      </c>
      <c r="D373">
        <v>106</v>
      </c>
      <c r="E373">
        <f>Logs_Reseau_Part56[[#This Row],[Duree_Panne_Min]]/60</f>
        <v>1.7666666666666666</v>
      </c>
      <c r="F373" t="s">
        <v>734</v>
      </c>
      <c r="G373" t="str">
        <f>IFERROR(VLOOKUP(Logs_Reseau_Part56[[#This Row],[Cell_ID]],Registre_Maintenance_Part[[ID_Antenne]:[Colonne2]],2,FALSE),"")</f>
        <v>Nord-Ubangi</v>
      </c>
      <c r="H373">
        <f>IFERROR(VLOOKUP(Logs_Reseau_Part56[[#This Row],[Cell_ID]],Registre_Maintenance_Part[[ID_Antenne]:[Colonne2]],3,FALSE),"")</f>
        <v>-6.8149179999999996</v>
      </c>
      <c r="I373">
        <f>IFERROR(VLOOKUP(Logs_Reseau_Part56[[#This Row],[Cell_ID]],Registre_Maintenance_Part[[ID_Antenne]:[Colonne2]],4,FALSE),"")</f>
        <v>23.258102000000001</v>
      </c>
      <c r="J373" t="str">
        <f>IFERROR(VLOOKUP(Logs_Reseau_Part56[[#This Row],[Cell_ID]],Registre_Maintenance_Part[[ID_Antenne]:[Colonne2]],5,FALSE),"")</f>
        <v>5G</v>
      </c>
      <c r="K373" t="str">
        <f>IFERROR(VLOOKUP(Logs_Reseau_Part56[[#This Row],[Cell_ID]],Registre_Maintenance_Part[[ID_Antenne]:[Colonne2]],6,FALSE),"")</f>
        <v>Huawei</v>
      </c>
    </row>
    <row r="374" spans="1:11" x14ac:dyDescent="0.3">
      <c r="A374" s="1">
        <v>45200.913888888892</v>
      </c>
      <c r="B374" s="2">
        <v>45200.913888888892</v>
      </c>
      <c r="C374" t="s">
        <v>1375</v>
      </c>
      <c r="D374">
        <v>87</v>
      </c>
      <c r="E374">
        <f>Logs_Reseau_Part56[[#This Row],[Duree_Panne_Min]]/60</f>
        <v>1.45</v>
      </c>
      <c r="F374" t="s">
        <v>734</v>
      </c>
      <c r="G374" t="str">
        <f>IFERROR(VLOOKUP(Logs_Reseau_Part56[[#This Row],[Cell_ID]],Registre_Maintenance_Part[[ID_Antenne]:[Colonne2]],2,FALSE),"")</f>
        <v>Sankuru</v>
      </c>
      <c r="H374">
        <f>IFERROR(VLOOKUP(Logs_Reseau_Part56[[#This Row],[Cell_ID]],Registre_Maintenance_Part[[ID_Antenne]:[Colonne2]],3,FALSE),"")</f>
        <v>3.175935</v>
      </c>
      <c r="I374">
        <f>IFERROR(VLOOKUP(Logs_Reseau_Part56[[#This Row],[Cell_ID]],Registre_Maintenance_Part[[ID_Antenne]:[Colonne2]],4,FALSE),"")</f>
        <v>16.862832000000001</v>
      </c>
      <c r="J374" t="str">
        <f>IFERROR(VLOOKUP(Logs_Reseau_Part56[[#This Row],[Cell_ID]],Registre_Maintenance_Part[[ID_Antenne]:[Colonne2]],5,FALSE),"")</f>
        <v>5G</v>
      </c>
      <c r="K374" t="str">
        <f>IFERROR(VLOOKUP(Logs_Reseau_Part56[[#This Row],[Cell_ID]],Registre_Maintenance_Part[[ID_Antenne]:[Colonne2]],6,FALSE),"")</f>
        <v>Ericsson</v>
      </c>
    </row>
    <row r="375" spans="1:11" x14ac:dyDescent="0.3">
      <c r="A375" s="1">
        <v>45205.191666666673</v>
      </c>
      <c r="B375" s="2">
        <v>45205.191666666673</v>
      </c>
      <c r="C375" t="s">
        <v>1012</v>
      </c>
      <c r="D375">
        <v>34</v>
      </c>
      <c r="E375">
        <f>Logs_Reseau_Part56[[#This Row],[Duree_Panne_Min]]/60</f>
        <v>0.56666666666666665</v>
      </c>
      <c r="F375" t="s">
        <v>734</v>
      </c>
      <c r="G375" t="str">
        <f>IFERROR(VLOOKUP(Logs_Reseau_Part56[[#This Row],[Cell_ID]],Registre_Maintenance_Part[[ID_Antenne]:[Colonne2]],2,FALSE),"")</f>
        <v>Sankuru</v>
      </c>
      <c r="H375">
        <f>IFERROR(VLOOKUP(Logs_Reseau_Part56[[#This Row],[Cell_ID]],Registre_Maintenance_Part[[ID_Antenne]:[Colonne2]],3,FALSE),"")</f>
        <v>-4.7886769999999999</v>
      </c>
      <c r="I375">
        <f>IFERROR(VLOOKUP(Logs_Reseau_Part56[[#This Row],[Cell_ID]],Registre_Maintenance_Part[[ID_Antenne]:[Colonne2]],4,FALSE),"")</f>
        <v>23.600221999999999</v>
      </c>
      <c r="J375" t="str">
        <f>IFERROR(VLOOKUP(Logs_Reseau_Part56[[#This Row],[Cell_ID]],Registre_Maintenance_Part[[ID_Antenne]:[Colonne2]],5,FALSE),"")</f>
        <v>3G</v>
      </c>
      <c r="K375" t="str">
        <f>IFERROR(VLOOKUP(Logs_Reseau_Part56[[#This Row],[Cell_ID]],Registre_Maintenance_Part[[ID_Antenne]:[Colonne2]],6,FALSE),"")</f>
        <v>ZTE</v>
      </c>
    </row>
    <row r="376" spans="1:11" x14ac:dyDescent="0.3">
      <c r="A376" s="1">
        <v>45207.701388888891</v>
      </c>
      <c r="B376" s="2">
        <v>45207.701388888891</v>
      </c>
      <c r="C376" t="s">
        <v>1405</v>
      </c>
      <c r="D376">
        <v>27</v>
      </c>
      <c r="E376">
        <f>Logs_Reseau_Part56[[#This Row],[Duree_Panne_Min]]/60</f>
        <v>0.45</v>
      </c>
      <c r="F376" t="s">
        <v>739</v>
      </c>
      <c r="G376" t="str">
        <f>IFERROR(VLOOKUP(Logs_Reseau_Part56[[#This Row],[Cell_ID]],Registre_Maintenance_Part[[ID_Antenne]:[Colonne2]],2,FALSE),"")</f>
        <v>Sankuru</v>
      </c>
      <c r="H376">
        <f>IFERROR(VLOOKUP(Logs_Reseau_Part56[[#This Row],[Cell_ID]],Registre_Maintenance_Part[[ID_Antenne]:[Colonne2]],3,FALSE),"")</f>
        <v>-10.764815</v>
      </c>
      <c r="I376">
        <f>IFERROR(VLOOKUP(Logs_Reseau_Part56[[#This Row],[Cell_ID]],Registre_Maintenance_Part[[ID_Antenne]:[Colonne2]],4,FALSE),"")</f>
        <v>14.602039</v>
      </c>
      <c r="J376" t="str">
        <f>IFERROR(VLOOKUP(Logs_Reseau_Part56[[#This Row],[Cell_ID]],Registre_Maintenance_Part[[ID_Antenne]:[Colonne2]],5,FALSE),"")</f>
        <v>4G</v>
      </c>
      <c r="K376" t="str">
        <f>IFERROR(VLOOKUP(Logs_Reseau_Part56[[#This Row],[Cell_ID]],Registre_Maintenance_Part[[ID_Antenne]:[Colonne2]],6,FALSE),"")</f>
        <v>Nokia</v>
      </c>
    </row>
    <row r="377" spans="1:11" x14ac:dyDescent="0.3">
      <c r="A377" s="1">
        <v>45209.365277777782</v>
      </c>
      <c r="B377" s="2">
        <v>45209.365277777782</v>
      </c>
      <c r="C377" t="s">
        <v>1044</v>
      </c>
      <c r="D377">
        <v>120</v>
      </c>
      <c r="E377">
        <f>Logs_Reseau_Part56[[#This Row],[Duree_Panne_Min]]/60</f>
        <v>2</v>
      </c>
      <c r="F377" t="s">
        <v>734</v>
      </c>
      <c r="G377" t="str">
        <f>IFERROR(VLOOKUP(Logs_Reseau_Part56[[#This Row],[Cell_ID]],Registre_Maintenance_Part[[ID_Antenne]:[Colonne2]],2,FALSE),"")</f>
        <v>Sankuru</v>
      </c>
      <c r="H377">
        <f>IFERROR(VLOOKUP(Logs_Reseau_Part56[[#This Row],[Cell_ID]],Registre_Maintenance_Part[[ID_Antenne]:[Colonne2]],3,FALSE),"")</f>
        <v>-1.4110389999999999</v>
      </c>
      <c r="I377">
        <f>IFERROR(VLOOKUP(Logs_Reseau_Part56[[#This Row],[Cell_ID]],Registre_Maintenance_Part[[ID_Antenne]:[Colonne2]],4,FALSE),"")</f>
        <v>21.261644</v>
      </c>
      <c r="J377" t="str">
        <f>IFERROR(VLOOKUP(Logs_Reseau_Part56[[#This Row],[Cell_ID]],Registre_Maintenance_Part[[ID_Antenne]:[Colonne2]],5,FALSE),"")</f>
        <v>4G</v>
      </c>
      <c r="K377" t="str">
        <f>IFERROR(VLOOKUP(Logs_Reseau_Part56[[#This Row],[Cell_ID]],Registre_Maintenance_Part[[ID_Antenne]:[Colonne2]],6,FALSE),"")</f>
        <v>ZTE</v>
      </c>
    </row>
    <row r="378" spans="1:11" x14ac:dyDescent="0.3">
      <c r="A378" s="1">
        <v>45211.724999999999</v>
      </c>
      <c r="B378" s="2">
        <v>45211.724999999999</v>
      </c>
      <c r="C378" t="s">
        <v>1044</v>
      </c>
      <c r="D378">
        <v>84</v>
      </c>
      <c r="E378">
        <f>Logs_Reseau_Part56[[#This Row],[Duree_Panne_Min]]/60</f>
        <v>1.4</v>
      </c>
      <c r="F378" t="s">
        <v>739</v>
      </c>
      <c r="G378" t="str">
        <f>IFERROR(VLOOKUP(Logs_Reseau_Part56[[#This Row],[Cell_ID]],Registre_Maintenance_Part[[ID_Antenne]:[Colonne2]],2,FALSE),"")</f>
        <v>Sankuru</v>
      </c>
      <c r="H378">
        <f>IFERROR(VLOOKUP(Logs_Reseau_Part56[[#This Row],[Cell_ID]],Registre_Maintenance_Part[[ID_Antenne]:[Colonne2]],3,FALSE),"")</f>
        <v>-1.4110389999999999</v>
      </c>
      <c r="I378">
        <f>IFERROR(VLOOKUP(Logs_Reseau_Part56[[#This Row],[Cell_ID]],Registre_Maintenance_Part[[ID_Antenne]:[Colonne2]],4,FALSE),"")</f>
        <v>21.261644</v>
      </c>
      <c r="J378" t="str">
        <f>IFERROR(VLOOKUP(Logs_Reseau_Part56[[#This Row],[Cell_ID]],Registre_Maintenance_Part[[ID_Antenne]:[Colonne2]],5,FALSE),"")</f>
        <v>4G</v>
      </c>
      <c r="K378" t="str">
        <f>IFERROR(VLOOKUP(Logs_Reseau_Part56[[#This Row],[Cell_ID]],Registre_Maintenance_Part[[ID_Antenne]:[Colonne2]],6,FALSE),"")</f>
        <v>ZTE</v>
      </c>
    </row>
    <row r="379" spans="1:11" x14ac:dyDescent="0.3">
      <c r="A379" s="1">
        <v>45213.779861111107</v>
      </c>
      <c r="B379" s="2">
        <v>45213.779861111107</v>
      </c>
      <c r="C379" t="s">
        <v>969</v>
      </c>
      <c r="D379">
        <v>120</v>
      </c>
      <c r="E379">
        <f>Logs_Reseau_Part56[[#This Row],[Duree_Panne_Min]]/60</f>
        <v>2</v>
      </c>
      <c r="F379" t="s">
        <v>734</v>
      </c>
      <c r="G379" t="str">
        <f>IFERROR(VLOOKUP(Logs_Reseau_Part56[[#This Row],[Cell_ID]],Registre_Maintenance_Part[[ID_Antenne]:[Colonne2]],2,FALSE),"")</f>
        <v>Sankuru</v>
      </c>
      <c r="H379">
        <f>IFERROR(VLOOKUP(Logs_Reseau_Part56[[#This Row],[Cell_ID]],Registre_Maintenance_Part[[ID_Antenne]:[Colonne2]],3,FALSE),"")</f>
        <v>-7.5969509999999998</v>
      </c>
      <c r="I379">
        <f>IFERROR(VLOOKUP(Logs_Reseau_Part56[[#This Row],[Cell_ID]],Registre_Maintenance_Part[[ID_Antenne]:[Colonne2]],4,FALSE),"")</f>
        <v>22.153986</v>
      </c>
      <c r="J379" t="str">
        <f>IFERROR(VLOOKUP(Logs_Reseau_Part56[[#This Row],[Cell_ID]],Registre_Maintenance_Part[[ID_Antenne]:[Colonne2]],5,FALSE),"")</f>
        <v>3G</v>
      </c>
      <c r="K379" t="str">
        <f>IFERROR(VLOOKUP(Logs_Reseau_Part56[[#This Row],[Cell_ID]],Registre_Maintenance_Part[[ID_Antenne]:[Colonne2]],6,FALSE),"")</f>
        <v>Ericsson</v>
      </c>
    </row>
    <row r="380" spans="1:11" x14ac:dyDescent="0.3">
      <c r="A380" s="1">
        <v>45213.87222222222</v>
      </c>
      <c r="B380" s="2">
        <v>45213.87222222222</v>
      </c>
      <c r="C380" t="s">
        <v>1368</v>
      </c>
      <c r="D380">
        <v>46</v>
      </c>
      <c r="E380">
        <f>Logs_Reseau_Part56[[#This Row],[Duree_Panne_Min]]/60</f>
        <v>0.76666666666666672</v>
      </c>
      <c r="F380" t="s">
        <v>737</v>
      </c>
      <c r="G380" t="str">
        <f>IFERROR(VLOOKUP(Logs_Reseau_Part56[[#This Row],[Cell_ID]],Registre_Maintenance_Part[[ID_Antenne]:[Colonne2]],2,FALSE),"")</f>
        <v>Sankuru</v>
      </c>
      <c r="H380">
        <f>IFERROR(VLOOKUP(Logs_Reseau_Part56[[#This Row],[Cell_ID]],Registre_Maintenance_Part[[ID_Antenne]:[Colonne2]],3,FALSE),"")</f>
        <v>-7.513261</v>
      </c>
      <c r="I380">
        <f>IFERROR(VLOOKUP(Logs_Reseau_Part56[[#This Row],[Cell_ID]],Registre_Maintenance_Part[[ID_Antenne]:[Colonne2]],4,FALSE),"")</f>
        <v>24.338812000000001</v>
      </c>
      <c r="J380" t="str">
        <f>IFERROR(VLOOKUP(Logs_Reseau_Part56[[#This Row],[Cell_ID]],Registre_Maintenance_Part[[ID_Antenne]:[Colonne2]],5,FALSE),"")</f>
        <v>5G</v>
      </c>
      <c r="K380" t="str">
        <f>IFERROR(VLOOKUP(Logs_Reseau_Part56[[#This Row],[Cell_ID]],Registre_Maintenance_Part[[ID_Antenne]:[Colonne2]],6,FALSE),"")</f>
        <v>Huawei</v>
      </c>
    </row>
    <row r="381" spans="1:11" x14ac:dyDescent="0.3">
      <c r="A381" s="1">
        <v>45213.948611111111</v>
      </c>
      <c r="B381" s="2">
        <v>45213.948611111111</v>
      </c>
      <c r="C381" t="s">
        <v>801</v>
      </c>
      <c r="D381">
        <v>72</v>
      </c>
      <c r="E381">
        <f>Logs_Reseau_Part56[[#This Row],[Duree_Panne_Min]]/60</f>
        <v>1.2</v>
      </c>
      <c r="F381" t="s">
        <v>737</v>
      </c>
      <c r="G381" t="str">
        <f>IFERROR(VLOOKUP(Logs_Reseau_Part56[[#This Row],[Cell_ID]],Registre_Maintenance_Part[[ID_Antenne]:[Colonne2]],2,FALSE),"")</f>
        <v>Sankuru</v>
      </c>
      <c r="H381">
        <f>IFERROR(VLOOKUP(Logs_Reseau_Part56[[#This Row],[Cell_ID]],Registre_Maintenance_Part[[ID_Antenne]:[Colonne2]],3,FALSE),"")</f>
        <v>-2.7140689999999998</v>
      </c>
      <c r="I381">
        <f>IFERROR(VLOOKUP(Logs_Reseau_Part56[[#This Row],[Cell_ID]],Registre_Maintenance_Part[[ID_Antenne]:[Colonne2]],4,FALSE),"")</f>
        <v>22.222104000000002</v>
      </c>
      <c r="J381" t="str">
        <f>IFERROR(VLOOKUP(Logs_Reseau_Part56[[#This Row],[Cell_ID]],Registre_Maintenance_Part[[ID_Antenne]:[Colonne2]],5,FALSE),"")</f>
        <v>4G</v>
      </c>
      <c r="K381" t="str">
        <f>IFERROR(VLOOKUP(Logs_Reseau_Part56[[#This Row],[Cell_ID]],Registre_Maintenance_Part[[ID_Antenne]:[Colonne2]],6,FALSE),"")</f>
        <v>Nokia</v>
      </c>
    </row>
    <row r="382" spans="1:11" x14ac:dyDescent="0.3">
      <c r="A382" s="1">
        <v>45215.990277777782</v>
      </c>
      <c r="B382" s="2">
        <v>45215.990277777782</v>
      </c>
      <c r="C382" t="s">
        <v>1044</v>
      </c>
      <c r="D382">
        <v>66</v>
      </c>
      <c r="E382">
        <f>Logs_Reseau_Part56[[#This Row],[Duree_Panne_Min]]/60</f>
        <v>1.1000000000000001</v>
      </c>
      <c r="F382" t="s">
        <v>739</v>
      </c>
      <c r="G382" t="str">
        <f>IFERROR(VLOOKUP(Logs_Reseau_Part56[[#This Row],[Cell_ID]],Registre_Maintenance_Part[[ID_Antenne]:[Colonne2]],2,FALSE),"")</f>
        <v>Sankuru</v>
      </c>
      <c r="H382">
        <f>IFERROR(VLOOKUP(Logs_Reseau_Part56[[#This Row],[Cell_ID]],Registre_Maintenance_Part[[ID_Antenne]:[Colonne2]],3,FALSE),"")</f>
        <v>-1.4110389999999999</v>
      </c>
      <c r="I382">
        <f>IFERROR(VLOOKUP(Logs_Reseau_Part56[[#This Row],[Cell_ID]],Registre_Maintenance_Part[[ID_Antenne]:[Colonne2]],4,FALSE),"")</f>
        <v>21.261644</v>
      </c>
      <c r="J382" t="str">
        <f>IFERROR(VLOOKUP(Logs_Reseau_Part56[[#This Row],[Cell_ID]],Registre_Maintenance_Part[[ID_Antenne]:[Colonne2]],5,FALSE),"")</f>
        <v>4G</v>
      </c>
      <c r="K382" t="str">
        <f>IFERROR(VLOOKUP(Logs_Reseau_Part56[[#This Row],[Cell_ID]],Registre_Maintenance_Part[[ID_Antenne]:[Colonne2]],6,FALSE),"")</f>
        <v>ZTE</v>
      </c>
    </row>
    <row r="383" spans="1:11" x14ac:dyDescent="0.3">
      <c r="A383" s="1">
        <v>45222.902777777781</v>
      </c>
      <c r="B383" s="2">
        <v>45222.902777777781</v>
      </c>
      <c r="C383" t="s">
        <v>969</v>
      </c>
      <c r="D383">
        <v>31</v>
      </c>
      <c r="E383">
        <f>Logs_Reseau_Part56[[#This Row],[Duree_Panne_Min]]/60</f>
        <v>0.51666666666666672</v>
      </c>
      <c r="F383" t="s">
        <v>739</v>
      </c>
      <c r="G383" t="str">
        <f>IFERROR(VLOOKUP(Logs_Reseau_Part56[[#This Row],[Cell_ID]],Registre_Maintenance_Part[[ID_Antenne]:[Colonne2]],2,FALSE),"")</f>
        <v>Sankuru</v>
      </c>
      <c r="H383">
        <f>IFERROR(VLOOKUP(Logs_Reseau_Part56[[#This Row],[Cell_ID]],Registre_Maintenance_Part[[ID_Antenne]:[Colonne2]],3,FALSE),"")</f>
        <v>-7.5969509999999998</v>
      </c>
      <c r="I383">
        <f>IFERROR(VLOOKUP(Logs_Reseau_Part56[[#This Row],[Cell_ID]],Registre_Maintenance_Part[[ID_Antenne]:[Colonne2]],4,FALSE),"")</f>
        <v>22.153986</v>
      </c>
      <c r="J383" t="str">
        <f>IFERROR(VLOOKUP(Logs_Reseau_Part56[[#This Row],[Cell_ID]],Registre_Maintenance_Part[[ID_Antenne]:[Colonne2]],5,FALSE),"")</f>
        <v>3G</v>
      </c>
      <c r="K383" t="str">
        <f>IFERROR(VLOOKUP(Logs_Reseau_Part56[[#This Row],[Cell_ID]],Registre_Maintenance_Part[[ID_Antenne]:[Colonne2]],6,FALSE),"")</f>
        <v>Ericsson</v>
      </c>
    </row>
    <row r="384" spans="1:11" x14ac:dyDescent="0.3">
      <c r="A384" s="1">
        <v>45223.990972222222</v>
      </c>
      <c r="B384" s="2">
        <v>45223.990972222222</v>
      </c>
      <c r="C384" t="s">
        <v>836</v>
      </c>
      <c r="D384">
        <v>23</v>
      </c>
      <c r="E384">
        <f>Logs_Reseau_Part56[[#This Row],[Duree_Panne_Min]]/60</f>
        <v>0.38333333333333336</v>
      </c>
      <c r="F384" t="s">
        <v>734</v>
      </c>
      <c r="G384" t="str">
        <f>IFERROR(VLOOKUP(Logs_Reseau_Part56[[#This Row],[Cell_ID]],Registre_Maintenance_Part[[ID_Antenne]:[Colonne2]],2,FALSE),"")</f>
        <v>Sankuru</v>
      </c>
      <c r="H384">
        <f>IFERROR(VLOOKUP(Logs_Reseau_Part56[[#This Row],[Cell_ID]],Registre_Maintenance_Part[[ID_Antenne]:[Colonne2]],3,FALSE),"")</f>
        <v>-8.0922239999999999</v>
      </c>
      <c r="I384">
        <f>IFERROR(VLOOKUP(Logs_Reseau_Part56[[#This Row],[Cell_ID]],Registre_Maintenance_Part[[ID_Antenne]:[Colonne2]],4,FALSE),"")</f>
        <v>15.483708</v>
      </c>
      <c r="J384" t="str">
        <f>IFERROR(VLOOKUP(Logs_Reseau_Part56[[#This Row],[Cell_ID]],Registre_Maintenance_Part[[ID_Antenne]:[Colonne2]],5,FALSE),"")</f>
        <v>5G</v>
      </c>
      <c r="K384" t="str">
        <f>IFERROR(VLOOKUP(Logs_Reseau_Part56[[#This Row],[Cell_ID]],Registre_Maintenance_Part[[ID_Antenne]:[Colonne2]],6,FALSE),"")</f>
        <v>Nokia</v>
      </c>
    </row>
    <row r="385" spans="1:11" x14ac:dyDescent="0.3">
      <c r="A385" s="1">
        <v>45226.224999999999</v>
      </c>
      <c r="B385" s="2">
        <v>45226.224999999999</v>
      </c>
      <c r="C385" t="s">
        <v>1311</v>
      </c>
      <c r="D385">
        <v>11</v>
      </c>
      <c r="E385">
        <f>Logs_Reseau_Part56[[#This Row],[Duree_Panne_Min]]/60</f>
        <v>0.18333333333333332</v>
      </c>
      <c r="F385" t="s">
        <v>737</v>
      </c>
      <c r="G385" t="str">
        <f>IFERROR(VLOOKUP(Logs_Reseau_Part56[[#This Row],[Cell_ID]],Registre_Maintenance_Part[[ID_Antenne]:[Colonne2]],2,FALSE),"")</f>
        <v>Sankuru</v>
      </c>
      <c r="H385">
        <f>IFERROR(VLOOKUP(Logs_Reseau_Part56[[#This Row],[Cell_ID]],Registre_Maintenance_Part[[ID_Antenne]:[Colonne2]],3,FALSE),"")</f>
        <v>-0.157111</v>
      </c>
      <c r="I385">
        <f>IFERROR(VLOOKUP(Logs_Reseau_Part56[[#This Row],[Cell_ID]],Registre_Maintenance_Part[[ID_Antenne]:[Colonne2]],4,FALSE),"")</f>
        <v>25.415125</v>
      </c>
      <c r="J385" t="str">
        <f>IFERROR(VLOOKUP(Logs_Reseau_Part56[[#This Row],[Cell_ID]],Registre_Maintenance_Part[[ID_Antenne]:[Colonne2]],5,FALSE),"")</f>
        <v>4G</v>
      </c>
      <c r="K385" t="str">
        <f>IFERROR(VLOOKUP(Logs_Reseau_Part56[[#This Row],[Cell_ID]],Registre_Maintenance_Part[[ID_Antenne]:[Colonne2]],6,FALSE),"")</f>
        <v>Ericsson</v>
      </c>
    </row>
    <row r="386" spans="1:11" x14ac:dyDescent="0.3">
      <c r="A386" s="1">
        <v>45228.086111111108</v>
      </c>
      <c r="B386" s="2">
        <v>45228.086111111108</v>
      </c>
      <c r="C386" t="s">
        <v>1097</v>
      </c>
      <c r="D386">
        <v>43</v>
      </c>
      <c r="E386">
        <f>Logs_Reseau_Part56[[#This Row],[Duree_Panne_Min]]/60</f>
        <v>0.71666666666666667</v>
      </c>
      <c r="F386" t="s">
        <v>739</v>
      </c>
      <c r="G386" t="str">
        <f>IFERROR(VLOOKUP(Logs_Reseau_Part56[[#This Row],[Cell_ID]],Registre_Maintenance_Part[[ID_Antenne]:[Colonne2]],2,FALSE),"")</f>
        <v>Sankuru</v>
      </c>
      <c r="H386">
        <f>IFERROR(VLOOKUP(Logs_Reseau_Part56[[#This Row],[Cell_ID]],Registre_Maintenance_Part[[ID_Antenne]:[Colonne2]],3,FALSE),"")</f>
        <v>-6.4883290000000002</v>
      </c>
      <c r="I386">
        <f>IFERROR(VLOOKUP(Logs_Reseau_Part56[[#This Row],[Cell_ID]],Registre_Maintenance_Part[[ID_Antenne]:[Colonne2]],4,FALSE),"")</f>
        <v>25.103404000000001</v>
      </c>
      <c r="J386" t="str">
        <f>IFERROR(VLOOKUP(Logs_Reseau_Part56[[#This Row],[Cell_ID]],Registre_Maintenance_Part[[ID_Antenne]:[Colonne2]],5,FALSE),"")</f>
        <v>5G</v>
      </c>
      <c r="K386" t="str">
        <f>IFERROR(VLOOKUP(Logs_Reseau_Part56[[#This Row],[Cell_ID]],Registre_Maintenance_Part[[ID_Antenne]:[Colonne2]],6,FALSE),"")</f>
        <v>ZTE</v>
      </c>
    </row>
    <row r="387" spans="1:11" x14ac:dyDescent="0.3">
      <c r="A387" s="1">
        <v>45200.493055555547</v>
      </c>
      <c r="B387" s="2">
        <v>45200.493055555547</v>
      </c>
      <c r="C387" t="s">
        <v>999</v>
      </c>
      <c r="D387">
        <v>113</v>
      </c>
      <c r="E387">
        <f>Logs_Reseau_Part56[[#This Row],[Duree_Panne_Min]]/60</f>
        <v>1.8833333333333333</v>
      </c>
      <c r="F387" t="s">
        <v>734</v>
      </c>
      <c r="G387" t="str">
        <f>IFERROR(VLOOKUP(Logs_Reseau_Part56[[#This Row],[Cell_ID]],Registre_Maintenance_Part[[ID_Antenne]:[Colonne2]],2,FALSE),"")</f>
        <v>Sud-Kivu</v>
      </c>
      <c r="H387">
        <f>IFERROR(VLOOKUP(Logs_Reseau_Part56[[#This Row],[Cell_ID]],Registre_Maintenance_Part[[ID_Antenne]:[Colonne2]],3,FALSE),"")</f>
        <v>-1.5419050000000001</v>
      </c>
      <c r="I387">
        <f>IFERROR(VLOOKUP(Logs_Reseau_Part56[[#This Row],[Cell_ID]],Registre_Maintenance_Part[[ID_Antenne]:[Colonne2]],4,FALSE),"")</f>
        <v>14.730632999999999</v>
      </c>
      <c r="J387" t="str">
        <f>IFERROR(VLOOKUP(Logs_Reseau_Part56[[#This Row],[Cell_ID]],Registre_Maintenance_Part[[ID_Antenne]:[Colonne2]],5,FALSE),"")</f>
        <v>3G</v>
      </c>
      <c r="K387" t="str">
        <f>IFERROR(VLOOKUP(Logs_Reseau_Part56[[#This Row],[Cell_ID]],Registre_Maintenance_Part[[ID_Antenne]:[Colonne2]],6,FALSE),"")</f>
        <v>ZTE</v>
      </c>
    </row>
    <row r="388" spans="1:11" x14ac:dyDescent="0.3">
      <c r="A388" s="1">
        <v>45200.832638888889</v>
      </c>
      <c r="B388" s="2">
        <v>45200.832638888889</v>
      </c>
      <c r="C388" t="s">
        <v>1009</v>
      </c>
      <c r="D388">
        <v>27</v>
      </c>
      <c r="E388">
        <f>Logs_Reseau_Part56[[#This Row],[Duree_Panne_Min]]/60</f>
        <v>0.45</v>
      </c>
      <c r="F388" t="s">
        <v>734</v>
      </c>
      <c r="G388" t="str">
        <f>IFERROR(VLOOKUP(Logs_Reseau_Part56[[#This Row],[Cell_ID]],Registre_Maintenance_Part[[ID_Antenne]:[Colonne2]],2,FALSE),"")</f>
        <v>Sud-Kivu</v>
      </c>
      <c r="H388">
        <f>IFERROR(VLOOKUP(Logs_Reseau_Part56[[#This Row],[Cell_ID]],Registre_Maintenance_Part[[ID_Antenne]:[Colonne2]],3,FALSE),"")</f>
        <v>1.2419519999999999</v>
      </c>
      <c r="I388">
        <f>IFERROR(VLOOKUP(Logs_Reseau_Part56[[#This Row],[Cell_ID]],Registre_Maintenance_Part[[ID_Antenne]:[Colonne2]],4,FALSE),"")</f>
        <v>25.261382999999999</v>
      </c>
      <c r="J388" t="str">
        <f>IFERROR(VLOOKUP(Logs_Reseau_Part56[[#This Row],[Cell_ID]],Registre_Maintenance_Part[[ID_Antenne]:[Colonne2]],5,FALSE),"")</f>
        <v>4G</v>
      </c>
      <c r="K388" t="str">
        <f>IFERROR(VLOOKUP(Logs_Reseau_Part56[[#This Row],[Cell_ID]],Registre_Maintenance_Part[[ID_Antenne]:[Colonne2]],6,FALSE),"")</f>
        <v>Huawei</v>
      </c>
    </row>
    <row r="389" spans="1:11" x14ac:dyDescent="0.3">
      <c r="A389" s="1">
        <v>45203.224305555559</v>
      </c>
      <c r="B389" s="2">
        <v>45203.224305555559</v>
      </c>
      <c r="C389" t="s">
        <v>845</v>
      </c>
      <c r="D389">
        <v>102</v>
      </c>
      <c r="E389">
        <f>Logs_Reseau_Part56[[#This Row],[Duree_Panne_Min]]/60</f>
        <v>1.7</v>
      </c>
      <c r="F389" t="s">
        <v>739</v>
      </c>
      <c r="G389" t="str">
        <f>IFERROR(VLOOKUP(Logs_Reseau_Part56[[#This Row],[Cell_ID]],Registre_Maintenance_Part[[ID_Antenne]:[Colonne2]],2,FALSE),"")</f>
        <v>Sud-Kivu</v>
      </c>
      <c r="H389">
        <f>IFERROR(VLOOKUP(Logs_Reseau_Part56[[#This Row],[Cell_ID]],Registre_Maintenance_Part[[ID_Antenne]:[Colonne2]],3,FALSE),"")</f>
        <v>-9.4702129999999993</v>
      </c>
      <c r="I389">
        <f>IFERROR(VLOOKUP(Logs_Reseau_Part56[[#This Row],[Cell_ID]],Registre_Maintenance_Part[[ID_Antenne]:[Colonne2]],4,FALSE),"")</f>
        <v>12.826158</v>
      </c>
      <c r="J389" t="str">
        <f>IFERROR(VLOOKUP(Logs_Reseau_Part56[[#This Row],[Cell_ID]],Registre_Maintenance_Part[[ID_Antenne]:[Colonne2]],5,FALSE),"")</f>
        <v>3G</v>
      </c>
      <c r="K389" t="str">
        <f>IFERROR(VLOOKUP(Logs_Reseau_Part56[[#This Row],[Cell_ID]],Registre_Maintenance_Part[[ID_Antenne]:[Colonne2]],6,FALSE),"")</f>
        <v>Ericsson</v>
      </c>
    </row>
    <row r="390" spans="1:11" x14ac:dyDescent="0.3">
      <c r="A390" s="1">
        <v>45205.154166666667</v>
      </c>
      <c r="B390" s="2">
        <v>45205.154166666667</v>
      </c>
      <c r="C390" t="s">
        <v>821</v>
      </c>
      <c r="D390">
        <v>12</v>
      </c>
      <c r="E390">
        <f>Logs_Reseau_Part56[[#This Row],[Duree_Panne_Min]]/60</f>
        <v>0.2</v>
      </c>
      <c r="F390" t="s">
        <v>734</v>
      </c>
      <c r="G390" t="str">
        <f>IFERROR(VLOOKUP(Logs_Reseau_Part56[[#This Row],[Cell_ID]],Registre_Maintenance_Part[[ID_Antenne]:[Colonne2]],2,FALSE),"")</f>
        <v>Sud-Kivu</v>
      </c>
      <c r="H390">
        <f>IFERROR(VLOOKUP(Logs_Reseau_Part56[[#This Row],[Cell_ID]],Registre_Maintenance_Part[[ID_Antenne]:[Colonne2]],3,FALSE),"")</f>
        <v>-5.2526849999999996</v>
      </c>
      <c r="I390">
        <f>IFERROR(VLOOKUP(Logs_Reseau_Part56[[#This Row],[Cell_ID]],Registre_Maintenance_Part[[ID_Antenne]:[Colonne2]],4,FALSE),"")</f>
        <v>12.374528</v>
      </c>
      <c r="J390" t="str">
        <f>IFERROR(VLOOKUP(Logs_Reseau_Part56[[#This Row],[Cell_ID]],Registre_Maintenance_Part[[ID_Antenne]:[Colonne2]],5,FALSE),"")</f>
        <v>3G</v>
      </c>
      <c r="K390" t="str">
        <f>IFERROR(VLOOKUP(Logs_Reseau_Part56[[#This Row],[Cell_ID]],Registre_Maintenance_Part[[ID_Antenne]:[Colonne2]],6,FALSE),"")</f>
        <v>Nokia</v>
      </c>
    </row>
    <row r="391" spans="1:11" x14ac:dyDescent="0.3">
      <c r="A391" s="1">
        <v>45205.440972222219</v>
      </c>
      <c r="B391" s="2">
        <v>45205.440972222219</v>
      </c>
      <c r="C391" t="s">
        <v>1232</v>
      </c>
      <c r="D391">
        <v>115</v>
      </c>
      <c r="E391">
        <f>Logs_Reseau_Part56[[#This Row],[Duree_Panne_Min]]/60</f>
        <v>1.9166666666666667</v>
      </c>
      <c r="F391" t="s">
        <v>737</v>
      </c>
      <c r="G391" t="str">
        <f>IFERROR(VLOOKUP(Logs_Reseau_Part56[[#This Row],[Cell_ID]],Registre_Maintenance_Part[[ID_Antenne]:[Colonne2]],2,FALSE),"")</f>
        <v>Sud-Kivu</v>
      </c>
      <c r="H391">
        <f>IFERROR(VLOOKUP(Logs_Reseau_Part56[[#This Row],[Cell_ID]],Registre_Maintenance_Part[[ID_Antenne]:[Colonne2]],3,FALSE),"")</f>
        <v>-1.3024210000000001</v>
      </c>
      <c r="I391">
        <f>IFERROR(VLOOKUP(Logs_Reseau_Part56[[#This Row],[Cell_ID]],Registre_Maintenance_Part[[ID_Antenne]:[Colonne2]],4,FALSE),"")</f>
        <v>13.601914000000001</v>
      </c>
      <c r="J391" t="str">
        <f>IFERROR(VLOOKUP(Logs_Reseau_Part56[[#This Row],[Cell_ID]],Registre_Maintenance_Part[[ID_Antenne]:[Colonne2]],5,FALSE),"")</f>
        <v>3G</v>
      </c>
      <c r="K391" t="str">
        <f>IFERROR(VLOOKUP(Logs_Reseau_Part56[[#This Row],[Cell_ID]],Registre_Maintenance_Part[[ID_Antenne]:[Colonne2]],6,FALSE),"")</f>
        <v>Huawei</v>
      </c>
    </row>
    <row r="392" spans="1:11" x14ac:dyDescent="0.3">
      <c r="A392" s="1">
        <v>45206.636805555558</v>
      </c>
      <c r="B392" s="2">
        <v>45206.636805555558</v>
      </c>
      <c r="C392" t="s">
        <v>1248</v>
      </c>
      <c r="D392">
        <v>32</v>
      </c>
      <c r="E392">
        <f>Logs_Reseau_Part56[[#This Row],[Duree_Panne_Min]]/60</f>
        <v>0.53333333333333333</v>
      </c>
      <c r="F392" t="s">
        <v>739</v>
      </c>
      <c r="G392" t="str">
        <f>IFERROR(VLOOKUP(Logs_Reseau_Part56[[#This Row],[Cell_ID]],Registre_Maintenance_Part[[ID_Antenne]:[Colonne2]],2,FALSE),"")</f>
        <v>Sud-Kivu</v>
      </c>
      <c r="H392">
        <f>IFERROR(VLOOKUP(Logs_Reseau_Part56[[#This Row],[Cell_ID]],Registre_Maintenance_Part[[ID_Antenne]:[Colonne2]],3,FALSE),"")</f>
        <v>-11.514817000000001</v>
      </c>
      <c r="I392">
        <f>IFERROR(VLOOKUP(Logs_Reseau_Part56[[#This Row],[Cell_ID]],Registre_Maintenance_Part[[ID_Antenne]:[Colonne2]],4,FALSE),"")</f>
        <v>24.891375</v>
      </c>
      <c r="J392" t="str">
        <f>IFERROR(VLOOKUP(Logs_Reseau_Part56[[#This Row],[Cell_ID]],Registre_Maintenance_Part[[ID_Antenne]:[Colonne2]],5,FALSE),"")</f>
        <v>3G</v>
      </c>
      <c r="K392" t="str">
        <f>IFERROR(VLOOKUP(Logs_Reseau_Part56[[#This Row],[Cell_ID]],Registre_Maintenance_Part[[ID_Antenne]:[Colonne2]],6,FALSE),"")</f>
        <v>Nokia</v>
      </c>
    </row>
    <row r="393" spans="1:11" x14ac:dyDescent="0.3">
      <c r="A393" s="1">
        <v>45208.10833333333</v>
      </c>
      <c r="B393" s="2">
        <v>45208.10833333333</v>
      </c>
      <c r="C393" t="s">
        <v>1285</v>
      </c>
      <c r="D393">
        <v>102</v>
      </c>
      <c r="E393">
        <f>Logs_Reseau_Part56[[#This Row],[Duree_Panne_Min]]/60</f>
        <v>1.7</v>
      </c>
      <c r="F393" t="s">
        <v>737</v>
      </c>
      <c r="G393" t="str">
        <f>IFERROR(VLOOKUP(Logs_Reseau_Part56[[#This Row],[Cell_ID]],Registre_Maintenance_Part[[ID_Antenne]:[Colonne2]],2,FALSE),"")</f>
        <v>Sud-Kivu</v>
      </c>
      <c r="H393">
        <f>IFERROR(VLOOKUP(Logs_Reseau_Part56[[#This Row],[Cell_ID]],Registre_Maintenance_Part[[ID_Antenne]:[Colonne2]],3,FALSE),"")</f>
        <v>-1.4700059999999999</v>
      </c>
      <c r="I393">
        <f>IFERROR(VLOOKUP(Logs_Reseau_Part56[[#This Row],[Cell_ID]],Registre_Maintenance_Part[[ID_Antenne]:[Colonne2]],4,FALSE),"")</f>
        <v>18.680958</v>
      </c>
      <c r="J393" t="str">
        <f>IFERROR(VLOOKUP(Logs_Reseau_Part56[[#This Row],[Cell_ID]],Registre_Maintenance_Part[[ID_Antenne]:[Colonne2]],5,FALSE),"")</f>
        <v>3G</v>
      </c>
      <c r="K393" t="str">
        <f>IFERROR(VLOOKUP(Logs_Reseau_Part56[[#This Row],[Cell_ID]],Registre_Maintenance_Part[[ID_Antenne]:[Colonne2]],6,FALSE),"")</f>
        <v>Huawei</v>
      </c>
    </row>
    <row r="394" spans="1:11" x14ac:dyDescent="0.3">
      <c r="A394" s="1">
        <v>45210.49722222222</v>
      </c>
      <c r="B394" s="2">
        <v>45210.49722222222</v>
      </c>
      <c r="C394" t="s">
        <v>966</v>
      </c>
      <c r="D394">
        <v>75</v>
      </c>
      <c r="E394">
        <f>Logs_Reseau_Part56[[#This Row],[Duree_Panne_Min]]/60</f>
        <v>1.25</v>
      </c>
      <c r="F394" t="s">
        <v>739</v>
      </c>
      <c r="G394" t="str">
        <f>IFERROR(VLOOKUP(Logs_Reseau_Part56[[#This Row],[Cell_ID]],Registre_Maintenance_Part[[ID_Antenne]:[Colonne2]],2,FALSE),"")</f>
        <v>Sud-Kivu</v>
      </c>
      <c r="H394">
        <f>IFERROR(VLOOKUP(Logs_Reseau_Part56[[#This Row],[Cell_ID]],Registre_Maintenance_Part[[ID_Antenne]:[Colonne2]],3,FALSE),"")</f>
        <v>-9.3900009999999998</v>
      </c>
      <c r="I394">
        <f>IFERROR(VLOOKUP(Logs_Reseau_Part56[[#This Row],[Cell_ID]],Registre_Maintenance_Part[[ID_Antenne]:[Colonne2]],4,FALSE),"")</f>
        <v>30.001517</v>
      </c>
      <c r="J394" t="str">
        <f>IFERROR(VLOOKUP(Logs_Reseau_Part56[[#This Row],[Cell_ID]],Registre_Maintenance_Part[[ID_Antenne]:[Colonne2]],5,FALSE),"")</f>
        <v>3G</v>
      </c>
      <c r="K394" t="str">
        <f>IFERROR(VLOOKUP(Logs_Reseau_Part56[[#This Row],[Cell_ID]],Registre_Maintenance_Part[[ID_Antenne]:[Colonne2]],6,FALSE),"")</f>
        <v>Nokia</v>
      </c>
    </row>
    <row r="395" spans="1:11" x14ac:dyDescent="0.3">
      <c r="A395" s="1">
        <v>45211.106944444437</v>
      </c>
      <c r="B395" s="2">
        <v>45211.106944444437</v>
      </c>
      <c r="C395" t="s">
        <v>821</v>
      </c>
      <c r="D395">
        <v>87</v>
      </c>
      <c r="E395">
        <f>Logs_Reseau_Part56[[#This Row],[Duree_Panne_Min]]/60</f>
        <v>1.45</v>
      </c>
      <c r="F395" t="s">
        <v>739</v>
      </c>
      <c r="G395" t="str">
        <f>IFERROR(VLOOKUP(Logs_Reseau_Part56[[#This Row],[Cell_ID]],Registre_Maintenance_Part[[ID_Antenne]:[Colonne2]],2,FALSE),"")</f>
        <v>Sud-Kivu</v>
      </c>
      <c r="H395">
        <f>IFERROR(VLOOKUP(Logs_Reseau_Part56[[#This Row],[Cell_ID]],Registre_Maintenance_Part[[ID_Antenne]:[Colonne2]],3,FALSE),"")</f>
        <v>-5.2526849999999996</v>
      </c>
      <c r="I395">
        <f>IFERROR(VLOOKUP(Logs_Reseau_Part56[[#This Row],[Cell_ID]],Registre_Maintenance_Part[[ID_Antenne]:[Colonne2]],4,FALSE),"")</f>
        <v>12.374528</v>
      </c>
      <c r="J395" t="str">
        <f>IFERROR(VLOOKUP(Logs_Reseau_Part56[[#This Row],[Cell_ID]],Registre_Maintenance_Part[[ID_Antenne]:[Colonne2]],5,FALSE),"")</f>
        <v>3G</v>
      </c>
      <c r="K395" t="str">
        <f>IFERROR(VLOOKUP(Logs_Reseau_Part56[[#This Row],[Cell_ID]],Registre_Maintenance_Part[[ID_Antenne]:[Colonne2]],6,FALSE),"")</f>
        <v>Nokia</v>
      </c>
    </row>
    <row r="396" spans="1:11" x14ac:dyDescent="0.3">
      <c r="A396" s="1">
        <v>45211.128472222219</v>
      </c>
      <c r="B396" s="2">
        <v>45211.128472222219</v>
      </c>
      <c r="C396" t="s">
        <v>1208</v>
      </c>
      <c r="D396">
        <v>110</v>
      </c>
      <c r="E396">
        <f>Logs_Reseau_Part56[[#This Row],[Duree_Panne_Min]]/60</f>
        <v>1.8333333333333333</v>
      </c>
      <c r="F396" t="s">
        <v>737</v>
      </c>
      <c r="G396" t="str">
        <f>IFERROR(VLOOKUP(Logs_Reseau_Part56[[#This Row],[Cell_ID]],Registre_Maintenance_Part[[ID_Antenne]:[Colonne2]],2,FALSE),"")</f>
        <v>Sud-Kivu</v>
      </c>
      <c r="H396">
        <f>IFERROR(VLOOKUP(Logs_Reseau_Part56[[#This Row],[Cell_ID]],Registre_Maintenance_Part[[ID_Antenne]:[Colonne2]],3,FALSE),"")</f>
        <v>2.453036</v>
      </c>
      <c r="I396">
        <f>IFERROR(VLOOKUP(Logs_Reseau_Part56[[#This Row],[Cell_ID]],Registre_Maintenance_Part[[ID_Antenne]:[Colonne2]],4,FALSE),"")</f>
        <v>20.555484</v>
      </c>
      <c r="J396" t="str">
        <f>IFERROR(VLOOKUP(Logs_Reseau_Part56[[#This Row],[Cell_ID]],Registre_Maintenance_Part[[ID_Antenne]:[Colonne2]],5,FALSE),"")</f>
        <v>5G</v>
      </c>
      <c r="K396" t="str">
        <f>IFERROR(VLOOKUP(Logs_Reseau_Part56[[#This Row],[Cell_ID]],Registre_Maintenance_Part[[ID_Antenne]:[Colonne2]],6,FALSE),"")</f>
        <v>Ericsson</v>
      </c>
    </row>
    <row r="397" spans="1:11" x14ac:dyDescent="0.3">
      <c r="A397" s="1">
        <v>45213.342361111107</v>
      </c>
      <c r="B397" s="2">
        <v>45213.342361111107</v>
      </c>
      <c r="C397" t="s">
        <v>1022</v>
      </c>
      <c r="D397">
        <v>63</v>
      </c>
      <c r="E397">
        <f>Logs_Reseau_Part56[[#This Row],[Duree_Panne_Min]]/60</f>
        <v>1.05</v>
      </c>
      <c r="F397" t="s">
        <v>737</v>
      </c>
      <c r="G397" t="str">
        <f>IFERROR(VLOOKUP(Logs_Reseau_Part56[[#This Row],[Cell_ID]],Registre_Maintenance_Part[[ID_Antenne]:[Colonne2]],2,FALSE),"")</f>
        <v>Sud-Kivu</v>
      </c>
      <c r="H397">
        <f>IFERROR(VLOOKUP(Logs_Reseau_Part56[[#This Row],[Cell_ID]],Registre_Maintenance_Part[[ID_Antenne]:[Colonne2]],3,FALSE),"")</f>
        <v>0.31740800000000002</v>
      </c>
      <c r="I397">
        <f>IFERROR(VLOOKUP(Logs_Reseau_Part56[[#This Row],[Cell_ID]],Registre_Maintenance_Part[[ID_Antenne]:[Colonne2]],4,FALSE),"")</f>
        <v>27.197666999999999</v>
      </c>
      <c r="J397" t="str">
        <f>IFERROR(VLOOKUP(Logs_Reseau_Part56[[#This Row],[Cell_ID]],Registre_Maintenance_Part[[ID_Antenne]:[Colonne2]],5,FALSE),"")</f>
        <v>5G</v>
      </c>
      <c r="K397" t="str">
        <f>IFERROR(VLOOKUP(Logs_Reseau_Part56[[#This Row],[Cell_ID]],Registre_Maintenance_Part[[ID_Antenne]:[Colonne2]],6,FALSE),"")</f>
        <v>Nokia</v>
      </c>
    </row>
    <row r="398" spans="1:11" x14ac:dyDescent="0.3">
      <c r="A398" s="1">
        <v>45214.168055555558</v>
      </c>
      <c r="B398" s="2">
        <v>45214.168055555558</v>
      </c>
      <c r="C398" t="s">
        <v>1303</v>
      </c>
      <c r="D398">
        <v>106</v>
      </c>
      <c r="E398">
        <f>Logs_Reseau_Part56[[#This Row],[Duree_Panne_Min]]/60</f>
        <v>1.7666666666666666</v>
      </c>
      <c r="F398" t="s">
        <v>734</v>
      </c>
      <c r="G398" t="str">
        <f>IFERROR(VLOOKUP(Logs_Reseau_Part56[[#This Row],[Cell_ID]],Registre_Maintenance_Part[[ID_Antenne]:[Colonne2]],2,FALSE),"")</f>
        <v>Sud-Kivu</v>
      </c>
      <c r="H398">
        <f>IFERROR(VLOOKUP(Logs_Reseau_Part56[[#This Row],[Cell_ID]],Registre_Maintenance_Part[[ID_Antenne]:[Colonne2]],3,FALSE),"")</f>
        <v>-11.207139</v>
      </c>
      <c r="I398">
        <f>IFERROR(VLOOKUP(Logs_Reseau_Part56[[#This Row],[Cell_ID]],Registre_Maintenance_Part[[ID_Antenne]:[Colonne2]],4,FALSE),"")</f>
        <v>18.702511999999999</v>
      </c>
      <c r="J398" t="str">
        <f>IFERROR(VLOOKUP(Logs_Reseau_Part56[[#This Row],[Cell_ID]],Registre_Maintenance_Part[[ID_Antenne]:[Colonne2]],5,FALSE),"")</f>
        <v>5G</v>
      </c>
      <c r="K398" t="str">
        <f>IFERROR(VLOOKUP(Logs_Reseau_Part56[[#This Row],[Cell_ID]],Registre_Maintenance_Part[[ID_Antenne]:[Colonne2]],6,FALSE),"")</f>
        <v>Ericsson</v>
      </c>
    </row>
    <row r="399" spans="1:11" x14ac:dyDescent="0.3">
      <c r="A399" s="1">
        <v>45216.275000000001</v>
      </c>
      <c r="B399" s="2">
        <v>45216.275000000001</v>
      </c>
      <c r="C399" t="s">
        <v>1158</v>
      </c>
      <c r="D399">
        <v>119</v>
      </c>
      <c r="E399">
        <f>Logs_Reseau_Part56[[#This Row],[Duree_Panne_Min]]/60</f>
        <v>1.9833333333333334</v>
      </c>
      <c r="F399" t="s">
        <v>739</v>
      </c>
      <c r="G399" t="str">
        <f>IFERROR(VLOOKUP(Logs_Reseau_Part56[[#This Row],[Cell_ID]],Registre_Maintenance_Part[[ID_Antenne]:[Colonne2]],2,FALSE),"")</f>
        <v>Sud-Kivu</v>
      </c>
      <c r="H399">
        <f>IFERROR(VLOOKUP(Logs_Reseau_Part56[[#This Row],[Cell_ID]],Registre_Maintenance_Part[[ID_Antenne]:[Colonne2]],3,FALSE),"")</f>
        <v>2.4414509999999998</v>
      </c>
      <c r="I399">
        <f>IFERROR(VLOOKUP(Logs_Reseau_Part56[[#This Row],[Cell_ID]],Registre_Maintenance_Part[[ID_Antenne]:[Colonne2]],4,FALSE),"")</f>
        <v>30.167489</v>
      </c>
      <c r="J399" t="str">
        <f>IFERROR(VLOOKUP(Logs_Reseau_Part56[[#This Row],[Cell_ID]],Registre_Maintenance_Part[[ID_Antenne]:[Colonne2]],5,FALSE),"")</f>
        <v>5G</v>
      </c>
      <c r="K399" t="str">
        <f>IFERROR(VLOOKUP(Logs_Reseau_Part56[[#This Row],[Cell_ID]],Registre_Maintenance_Part[[ID_Antenne]:[Colonne2]],6,FALSE),"")</f>
        <v>Nokia</v>
      </c>
    </row>
    <row r="400" spans="1:11" x14ac:dyDescent="0.3">
      <c r="A400" s="1">
        <v>45217.02847222222</v>
      </c>
      <c r="B400" s="2">
        <v>45217.02847222222</v>
      </c>
      <c r="C400" t="s">
        <v>1047</v>
      </c>
      <c r="D400">
        <v>120</v>
      </c>
      <c r="E400">
        <f>Logs_Reseau_Part56[[#This Row],[Duree_Panne_Min]]/60</f>
        <v>2</v>
      </c>
      <c r="F400" t="s">
        <v>739</v>
      </c>
      <c r="G400" t="str">
        <f>IFERROR(VLOOKUP(Logs_Reseau_Part56[[#This Row],[Cell_ID]],Registre_Maintenance_Part[[ID_Antenne]:[Colonne2]],2,FALSE),"")</f>
        <v>Sud-Kivu</v>
      </c>
      <c r="H400">
        <f>IFERROR(VLOOKUP(Logs_Reseau_Part56[[#This Row],[Cell_ID]],Registre_Maintenance_Part[[ID_Antenne]:[Colonne2]],3,FALSE),"")</f>
        <v>-4.1694589999999998</v>
      </c>
      <c r="I400">
        <f>IFERROR(VLOOKUP(Logs_Reseau_Part56[[#This Row],[Cell_ID]],Registre_Maintenance_Part[[ID_Antenne]:[Colonne2]],4,FALSE),"")</f>
        <v>23.376487000000001</v>
      </c>
      <c r="J400" t="str">
        <f>IFERROR(VLOOKUP(Logs_Reseau_Part56[[#This Row],[Cell_ID]],Registre_Maintenance_Part[[ID_Antenne]:[Colonne2]],5,FALSE),"")</f>
        <v>3G</v>
      </c>
      <c r="K400" t="str">
        <f>IFERROR(VLOOKUP(Logs_Reseau_Part56[[#This Row],[Cell_ID]],Registre_Maintenance_Part[[ID_Antenne]:[Colonne2]],6,FALSE),"")</f>
        <v>Nokia</v>
      </c>
    </row>
    <row r="401" spans="1:11" x14ac:dyDescent="0.3">
      <c r="A401" s="1">
        <v>45217.175000000003</v>
      </c>
      <c r="B401" s="2">
        <v>45217.175000000003</v>
      </c>
      <c r="C401" t="s">
        <v>845</v>
      </c>
      <c r="D401">
        <v>18</v>
      </c>
      <c r="E401">
        <f>Logs_Reseau_Part56[[#This Row],[Duree_Panne_Min]]/60</f>
        <v>0.3</v>
      </c>
      <c r="F401" t="s">
        <v>739</v>
      </c>
      <c r="G401" t="str">
        <f>IFERROR(VLOOKUP(Logs_Reseau_Part56[[#This Row],[Cell_ID]],Registre_Maintenance_Part[[ID_Antenne]:[Colonne2]],2,FALSE),"")</f>
        <v>Sud-Kivu</v>
      </c>
      <c r="H401">
        <f>IFERROR(VLOOKUP(Logs_Reseau_Part56[[#This Row],[Cell_ID]],Registre_Maintenance_Part[[ID_Antenne]:[Colonne2]],3,FALSE),"")</f>
        <v>-9.4702129999999993</v>
      </c>
      <c r="I401">
        <f>IFERROR(VLOOKUP(Logs_Reseau_Part56[[#This Row],[Cell_ID]],Registre_Maintenance_Part[[ID_Antenne]:[Colonne2]],4,FALSE),"")</f>
        <v>12.826158</v>
      </c>
      <c r="J401" t="str">
        <f>IFERROR(VLOOKUP(Logs_Reseau_Part56[[#This Row],[Cell_ID]],Registre_Maintenance_Part[[ID_Antenne]:[Colonne2]],5,FALSE),"")</f>
        <v>3G</v>
      </c>
      <c r="K401" t="str">
        <f>IFERROR(VLOOKUP(Logs_Reseau_Part56[[#This Row],[Cell_ID]],Registre_Maintenance_Part[[ID_Antenne]:[Colonne2]],6,FALSE),"")</f>
        <v>Ericsson</v>
      </c>
    </row>
    <row r="402" spans="1:11" x14ac:dyDescent="0.3">
      <c r="A402" s="1">
        <v>45218.007638888892</v>
      </c>
      <c r="B402" s="2">
        <v>45218.007638888892</v>
      </c>
      <c r="C402" t="s">
        <v>845</v>
      </c>
      <c r="D402">
        <v>44</v>
      </c>
      <c r="E402">
        <f>Logs_Reseau_Part56[[#This Row],[Duree_Panne_Min]]/60</f>
        <v>0.73333333333333328</v>
      </c>
      <c r="F402" t="s">
        <v>737</v>
      </c>
      <c r="G402" t="str">
        <f>IFERROR(VLOOKUP(Logs_Reseau_Part56[[#This Row],[Cell_ID]],Registre_Maintenance_Part[[ID_Antenne]:[Colonne2]],2,FALSE),"")</f>
        <v>Sud-Kivu</v>
      </c>
      <c r="H402">
        <f>IFERROR(VLOOKUP(Logs_Reseau_Part56[[#This Row],[Cell_ID]],Registre_Maintenance_Part[[ID_Antenne]:[Colonne2]],3,FALSE),"")</f>
        <v>-9.4702129999999993</v>
      </c>
      <c r="I402">
        <f>IFERROR(VLOOKUP(Logs_Reseau_Part56[[#This Row],[Cell_ID]],Registre_Maintenance_Part[[ID_Antenne]:[Colonne2]],4,FALSE),"")</f>
        <v>12.826158</v>
      </c>
      <c r="J402" t="str">
        <f>IFERROR(VLOOKUP(Logs_Reseau_Part56[[#This Row],[Cell_ID]],Registre_Maintenance_Part[[ID_Antenne]:[Colonne2]],5,FALSE),"")</f>
        <v>3G</v>
      </c>
      <c r="K402" t="str">
        <f>IFERROR(VLOOKUP(Logs_Reseau_Part56[[#This Row],[Cell_ID]],Registre_Maintenance_Part[[ID_Antenne]:[Colonne2]],6,FALSE),"")</f>
        <v>Ericsson</v>
      </c>
    </row>
    <row r="403" spans="1:11" x14ac:dyDescent="0.3">
      <c r="A403" s="1">
        <v>45218.127083333333</v>
      </c>
      <c r="B403" s="2">
        <v>45218.127083333333</v>
      </c>
      <c r="C403" t="s">
        <v>1009</v>
      </c>
      <c r="D403">
        <v>58</v>
      </c>
      <c r="E403">
        <f>Logs_Reseau_Part56[[#This Row],[Duree_Panne_Min]]/60</f>
        <v>0.96666666666666667</v>
      </c>
      <c r="F403" t="s">
        <v>737</v>
      </c>
      <c r="G403" t="str">
        <f>IFERROR(VLOOKUP(Logs_Reseau_Part56[[#This Row],[Cell_ID]],Registre_Maintenance_Part[[ID_Antenne]:[Colonne2]],2,FALSE),"")</f>
        <v>Sud-Kivu</v>
      </c>
      <c r="H403">
        <f>IFERROR(VLOOKUP(Logs_Reseau_Part56[[#This Row],[Cell_ID]],Registre_Maintenance_Part[[ID_Antenne]:[Colonne2]],3,FALSE),"")</f>
        <v>1.2419519999999999</v>
      </c>
      <c r="I403">
        <f>IFERROR(VLOOKUP(Logs_Reseau_Part56[[#This Row],[Cell_ID]],Registre_Maintenance_Part[[ID_Antenne]:[Colonne2]],4,FALSE),"")</f>
        <v>25.261382999999999</v>
      </c>
      <c r="J403" t="str">
        <f>IFERROR(VLOOKUP(Logs_Reseau_Part56[[#This Row],[Cell_ID]],Registre_Maintenance_Part[[ID_Antenne]:[Colonne2]],5,FALSE),"")</f>
        <v>4G</v>
      </c>
      <c r="K403" t="str">
        <f>IFERROR(VLOOKUP(Logs_Reseau_Part56[[#This Row],[Cell_ID]],Registre_Maintenance_Part[[ID_Antenne]:[Colonne2]],6,FALSE),"")</f>
        <v>Huawei</v>
      </c>
    </row>
    <row r="404" spans="1:11" x14ac:dyDescent="0.3">
      <c r="A404" s="1">
        <v>45218.589583333327</v>
      </c>
      <c r="B404" s="2">
        <v>45218.589583333327</v>
      </c>
      <c r="C404" t="s">
        <v>1248</v>
      </c>
      <c r="D404">
        <v>21</v>
      </c>
      <c r="E404">
        <f>Logs_Reseau_Part56[[#This Row],[Duree_Panne_Min]]/60</f>
        <v>0.35</v>
      </c>
      <c r="F404" t="s">
        <v>734</v>
      </c>
      <c r="G404" t="str">
        <f>IFERROR(VLOOKUP(Logs_Reseau_Part56[[#This Row],[Cell_ID]],Registre_Maintenance_Part[[ID_Antenne]:[Colonne2]],2,FALSE),"")</f>
        <v>Sud-Kivu</v>
      </c>
      <c r="H404">
        <f>IFERROR(VLOOKUP(Logs_Reseau_Part56[[#This Row],[Cell_ID]],Registre_Maintenance_Part[[ID_Antenne]:[Colonne2]],3,FALSE),"")</f>
        <v>-11.514817000000001</v>
      </c>
      <c r="I404">
        <f>IFERROR(VLOOKUP(Logs_Reseau_Part56[[#This Row],[Cell_ID]],Registre_Maintenance_Part[[ID_Antenne]:[Colonne2]],4,FALSE),"")</f>
        <v>24.891375</v>
      </c>
      <c r="J404" t="str">
        <f>IFERROR(VLOOKUP(Logs_Reseau_Part56[[#This Row],[Cell_ID]],Registre_Maintenance_Part[[ID_Antenne]:[Colonne2]],5,FALSE),"")</f>
        <v>3G</v>
      </c>
      <c r="K404" t="str">
        <f>IFERROR(VLOOKUP(Logs_Reseau_Part56[[#This Row],[Cell_ID]],Registre_Maintenance_Part[[ID_Antenne]:[Colonne2]],6,FALSE),"")</f>
        <v>Nokia</v>
      </c>
    </row>
    <row r="405" spans="1:11" x14ac:dyDescent="0.3">
      <c r="A405" s="1">
        <v>45220.469444444447</v>
      </c>
      <c r="B405" s="2">
        <v>45220.469444444447</v>
      </c>
      <c r="C405" t="s">
        <v>999</v>
      </c>
      <c r="D405">
        <v>17</v>
      </c>
      <c r="E405">
        <f>Logs_Reseau_Part56[[#This Row],[Duree_Panne_Min]]/60</f>
        <v>0.28333333333333333</v>
      </c>
      <c r="F405" t="s">
        <v>737</v>
      </c>
      <c r="G405" t="str">
        <f>IFERROR(VLOOKUP(Logs_Reseau_Part56[[#This Row],[Cell_ID]],Registre_Maintenance_Part[[ID_Antenne]:[Colonne2]],2,FALSE),"")</f>
        <v>Sud-Kivu</v>
      </c>
      <c r="H405">
        <f>IFERROR(VLOOKUP(Logs_Reseau_Part56[[#This Row],[Cell_ID]],Registre_Maintenance_Part[[ID_Antenne]:[Colonne2]],3,FALSE),"")</f>
        <v>-1.5419050000000001</v>
      </c>
      <c r="I405">
        <f>IFERROR(VLOOKUP(Logs_Reseau_Part56[[#This Row],[Cell_ID]],Registre_Maintenance_Part[[ID_Antenne]:[Colonne2]],4,FALSE),"")</f>
        <v>14.730632999999999</v>
      </c>
      <c r="J405" t="str">
        <f>IFERROR(VLOOKUP(Logs_Reseau_Part56[[#This Row],[Cell_ID]],Registre_Maintenance_Part[[ID_Antenne]:[Colonne2]],5,FALSE),"")</f>
        <v>3G</v>
      </c>
      <c r="K405" t="str">
        <f>IFERROR(VLOOKUP(Logs_Reseau_Part56[[#This Row],[Cell_ID]],Registre_Maintenance_Part[[ID_Antenne]:[Colonne2]],6,FALSE),"")</f>
        <v>ZTE</v>
      </c>
    </row>
    <row r="406" spans="1:11" x14ac:dyDescent="0.3">
      <c r="A406" s="1">
        <v>45220.618750000001</v>
      </c>
      <c r="B406" s="2">
        <v>45220.618750000001</v>
      </c>
      <c r="C406" t="s">
        <v>1285</v>
      </c>
      <c r="D406">
        <v>79</v>
      </c>
      <c r="E406">
        <f>Logs_Reseau_Part56[[#This Row],[Duree_Panne_Min]]/60</f>
        <v>1.3166666666666667</v>
      </c>
      <c r="F406" t="s">
        <v>734</v>
      </c>
      <c r="G406" t="str">
        <f>IFERROR(VLOOKUP(Logs_Reseau_Part56[[#This Row],[Cell_ID]],Registre_Maintenance_Part[[ID_Antenne]:[Colonne2]],2,FALSE),"")</f>
        <v>Sud-Kivu</v>
      </c>
      <c r="H406">
        <f>IFERROR(VLOOKUP(Logs_Reseau_Part56[[#This Row],[Cell_ID]],Registre_Maintenance_Part[[ID_Antenne]:[Colonne2]],3,FALSE),"")</f>
        <v>-1.4700059999999999</v>
      </c>
      <c r="I406">
        <f>IFERROR(VLOOKUP(Logs_Reseau_Part56[[#This Row],[Cell_ID]],Registre_Maintenance_Part[[ID_Antenne]:[Colonne2]],4,FALSE),"")</f>
        <v>18.680958</v>
      </c>
      <c r="J406" t="str">
        <f>IFERROR(VLOOKUP(Logs_Reseau_Part56[[#This Row],[Cell_ID]],Registre_Maintenance_Part[[ID_Antenne]:[Colonne2]],5,FALSE),"")</f>
        <v>3G</v>
      </c>
      <c r="K406" t="str">
        <f>IFERROR(VLOOKUP(Logs_Reseau_Part56[[#This Row],[Cell_ID]],Registre_Maintenance_Part[[ID_Antenne]:[Colonne2]],6,FALSE),"")</f>
        <v>Huawei</v>
      </c>
    </row>
    <row r="407" spans="1:11" x14ac:dyDescent="0.3">
      <c r="A407" s="1">
        <v>45221.84652777778</v>
      </c>
      <c r="B407" s="2">
        <v>45221.84652777778</v>
      </c>
      <c r="C407" t="s">
        <v>821</v>
      </c>
      <c r="D407">
        <v>96</v>
      </c>
      <c r="E407">
        <f>Logs_Reseau_Part56[[#This Row],[Duree_Panne_Min]]/60</f>
        <v>1.6</v>
      </c>
      <c r="F407" t="s">
        <v>739</v>
      </c>
      <c r="G407" t="str">
        <f>IFERROR(VLOOKUP(Logs_Reseau_Part56[[#This Row],[Cell_ID]],Registre_Maintenance_Part[[ID_Antenne]:[Colonne2]],2,FALSE),"")</f>
        <v>Sud-Kivu</v>
      </c>
      <c r="H407">
        <f>IFERROR(VLOOKUP(Logs_Reseau_Part56[[#This Row],[Cell_ID]],Registre_Maintenance_Part[[ID_Antenne]:[Colonne2]],3,FALSE),"")</f>
        <v>-5.2526849999999996</v>
      </c>
      <c r="I407">
        <f>IFERROR(VLOOKUP(Logs_Reseau_Part56[[#This Row],[Cell_ID]],Registre_Maintenance_Part[[ID_Antenne]:[Colonne2]],4,FALSE),"")</f>
        <v>12.374528</v>
      </c>
      <c r="J407" t="str">
        <f>IFERROR(VLOOKUP(Logs_Reseau_Part56[[#This Row],[Cell_ID]],Registre_Maintenance_Part[[ID_Antenne]:[Colonne2]],5,FALSE),"")</f>
        <v>3G</v>
      </c>
      <c r="K407" t="str">
        <f>IFERROR(VLOOKUP(Logs_Reseau_Part56[[#This Row],[Cell_ID]],Registre_Maintenance_Part[[ID_Antenne]:[Colonne2]],6,FALSE),"")</f>
        <v>Nokia</v>
      </c>
    </row>
    <row r="408" spans="1:11" x14ac:dyDescent="0.3">
      <c r="A408" s="1">
        <v>45225.147222222222</v>
      </c>
      <c r="B408" s="2">
        <v>45225.147222222222</v>
      </c>
      <c r="C408" t="s">
        <v>1060</v>
      </c>
      <c r="D408">
        <v>44</v>
      </c>
      <c r="E408">
        <f>Logs_Reseau_Part56[[#This Row],[Duree_Panne_Min]]/60</f>
        <v>0.73333333333333328</v>
      </c>
      <c r="F408" t="s">
        <v>734</v>
      </c>
      <c r="G408" t="str">
        <f>IFERROR(VLOOKUP(Logs_Reseau_Part56[[#This Row],[Cell_ID]],Registre_Maintenance_Part[[ID_Antenne]:[Colonne2]],2,FALSE),"")</f>
        <v>Sud-Kivu</v>
      </c>
      <c r="H408">
        <f>IFERROR(VLOOKUP(Logs_Reseau_Part56[[#This Row],[Cell_ID]],Registre_Maintenance_Part[[ID_Antenne]:[Colonne2]],3,FALSE),"")</f>
        <v>4.2904629999999999</v>
      </c>
      <c r="I408">
        <f>IFERROR(VLOOKUP(Logs_Reseau_Part56[[#This Row],[Cell_ID]],Registre_Maintenance_Part[[ID_Antenne]:[Colonne2]],4,FALSE),"")</f>
        <v>26.354195000000001</v>
      </c>
      <c r="J408" t="str">
        <f>IFERROR(VLOOKUP(Logs_Reseau_Part56[[#This Row],[Cell_ID]],Registre_Maintenance_Part[[ID_Antenne]:[Colonne2]],5,FALSE),"")</f>
        <v>3G</v>
      </c>
      <c r="K408" t="str">
        <f>IFERROR(VLOOKUP(Logs_Reseau_Part56[[#This Row],[Cell_ID]],Registre_Maintenance_Part[[ID_Antenne]:[Colonne2]],6,FALSE),"")</f>
        <v>Ericsson</v>
      </c>
    </row>
    <row r="409" spans="1:11" x14ac:dyDescent="0.3">
      <c r="A409" s="1">
        <v>45227.447916666657</v>
      </c>
      <c r="B409" s="2">
        <v>45227.447916666657</v>
      </c>
      <c r="C409" t="s">
        <v>1158</v>
      </c>
      <c r="D409">
        <v>84</v>
      </c>
      <c r="E409">
        <f>Logs_Reseau_Part56[[#This Row],[Duree_Panne_Min]]/60</f>
        <v>1.4</v>
      </c>
      <c r="F409" t="s">
        <v>737</v>
      </c>
      <c r="G409" t="str">
        <f>IFERROR(VLOOKUP(Logs_Reseau_Part56[[#This Row],[Cell_ID]],Registre_Maintenance_Part[[ID_Antenne]:[Colonne2]],2,FALSE),"")</f>
        <v>Sud-Kivu</v>
      </c>
      <c r="H409">
        <f>IFERROR(VLOOKUP(Logs_Reseau_Part56[[#This Row],[Cell_ID]],Registre_Maintenance_Part[[ID_Antenne]:[Colonne2]],3,FALSE),"")</f>
        <v>2.4414509999999998</v>
      </c>
      <c r="I409">
        <f>IFERROR(VLOOKUP(Logs_Reseau_Part56[[#This Row],[Cell_ID]],Registre_Maintenance_Part[[ID_Antenne]:[Colonne2]],4,FALSE),"")</f>
        <v>30.167489</v>
      </c>
      <c r="J409" t="str">
        <f>IFERROR(VLOOKUP(Logs_Reseau_Part56[[#This Row],[Cell_ID]],Registre_Maintenance_Part[[ID_Antenne]:[Colonne2]],5,FALSE),"")</f>
        <v>5G</v>
      </c>
      <c r="K409" t="str">
        <f>IFERROR(VLOOKUP(Logs_Reseau_Part56[[#This Row],[Cell_ID]],Registre_Maintenance_Part[[ID_Antenne]:[Colonne2]],6,FALSE),"")</f>
        <v>Nokia</v>
      </c>
    </row>
    <row r="410" spans="1:11" x14ac:dyDescent="0.3">
      <c r="A410" s="1">
        <v>45228.001388888893</v>
      </c>
      <c r="B410" s="2">
        <v>45228.001388888893</v>
      </c>
      <c r="C410" t="s">
        <v>966</v>
      </c>
      <c r="D410">
        <v>100</v>
      </c>
      <c r="E410">
        <f>Logs_Reseau_Part56[[#This Row],[Duree_Panne_Min]]/60</f>
        <v>1.6666666666666667</v>
      </c>
      <c r="F410" t="s">
        <v>737</v>
      </c>
      <c r="G410" t="str">
        <f>IFERROR(VLOOKUP(Logs_Reseau_Part56[[#This Row],[Cell_ID]],Registre_Maintenance_Part[[ID_Antenne]:[Colonne2]],2,FALSE),"")</f>
        <v>Sud-Kivu</v>
      </c>
      <c r="H410">
        <f>IFERROR(VLOOKUP(Logs_Reseau_Part56[[#This Row],[Cell_ID]],Registre_Maintenance_Part[[ID_Antenne]:[Colonne2]],3,FALSE),"")</f>
        <v>-9.3900009999999998</v>
      </c>
      <c r="I410">
        <f>IFERROR(VLOOKUP(Logs_Reseau_Part56[[#This Row],[Cell_ID]],Registre_Maintenance_Part[[ID_Antenne]:[Colonne2]],4,FALSE),"")</f>
        <v>30.001517</v>
      </c>
      <c r="J410" t="str">
        <f>IFERROR(VLOOKUP(Logs_Reseau_Part56[[#This Row],[Cell_ID]],Registre_Maintenance_Part[[ID_Antenne]:[Colonne2]],5,FALSE),"")</f>
        <v>3G</v>
      </c>
      <c r="K410" t="str">
        <f>IFERROR(VLOOKUP(Logs_Reseau_Part56[[#This Row],[Cell_ID]],Registre_Maintenance_Part[[ID_Antenne]:[Colonne2]],6,FALSE),"")</f>
        <v>Nokia</v>
      </c>
    </row>
    <row r="411" spans="1:11" x14ac:dyDescent="0.3">
      <c r="A411" s="1">
        <v>45230.863888888889</v>
      </c>
      <c r="B411" s="2">
        <v>45230.863888888889</v>
      </c>
      <c r="C411" t="s">
        <v>1047</v>
      </c>
      <c r="D411">
        <v>57</v>
      </c>
      <c r="E411">
        <f>Logs_Reseau_Part56[[#This Row],[Duree_Panne_Min]]/60</f>
        <v>0.95</v>
      </c>
      <c r="F411" t="s">
        <v>734</v>
      </c>
      <c r="G411" t="str">
        <f>IFERROR(VLOOKUP(Logs_Reseau_Part56[[#This Row],[Cell_ID]],Registre_Maintenance_Part[[ID_Antenne]:[Colonne2]],2,FALSE),"")</f>
        <v>Sud-Kivu</v>
      </c>
      <c r="H411">
        <f>IFERROR(VLOOKUP(Logs_Reseau_Part56[[#This Row],[Cell_ID]],Registre_Maintenance_Part[[ID_Antenne]:[Colonne2]],3,FALSE),"")</f>
        <v>-4.1694589999999998</v>
      </c>
      <c r="I411">
        <f>IFERROR(VLOOKUP(Logs_Reseau_Part56[[#This Row],[Cell_ID]],Registre_Maintenance_Part[[ID_Antenne]:[Colonne2]],4,FALSE),"")</f>
        <v>23.376487000000001</v>
      </c>
      <c r="J411" t="str">
        <f>IFERROR(VLOOKUP(Logs_Reseau_Part56[[#This Row],[Cell_ID]],Registre_Maintenance_Part[[ID_Antenne]:[Colonne2]],5,FALSE),"")</f>
        <v>3G</v>
      </c>
      <c r="K411" t="str">
        <f>IFERROR(VLOOKUP(Logs_Reseau_Part56[[#This Row],[Cell_ID]],Registre_Maintenance_Part[[ID_Antenne]:[Colonne2]],6,FALSE),"")</f>
        <v>Nokia</v>
      </c>
    </row>
    <row r="412" spans="1:11" x14ac:dyDescent="0.3">
      <c r="A412" s="1">
        <v>45205.178472222222</v>
      </c>
      <c r="B412" s="2">
        <v>45205.178472222222</v>
      </c>
      <c r="C412" t="s">
        <v>1217</v>
      </c>
      <c r="D412">
        <v>42</v>
      </c>
      <c r="E412">
        <f>Logs_Reseau_Part56[[#This Row],[Duree_Panne_Min]]/60</f>
        <v>0.7</v>
      </c>
      <c r="F412" t="s">
        <v>737</v>
      </c>
      <c r="G412" t="str">
        <f>IFERROR(VLOOKUP(Logs_Reseau_Part56[[#This Row],[Cell_ID]],Registre_Maintenance_Part[[ID_Antenne]:[Colonne2]],2,FALSE),"")</f>
        <v>Sud-Ubangi</v>
      </c>
      <c r="H412">
        <f>IFERROR(VLOOKUP(Logs_Reseau_Part56[[#This Row],[Cell_ID]],Registre_Maintenance_Part[[ID_Antenne]:[Colonne2]],3,FALSE),"")</f>
        <v>3.611561</v>
      </c>
      <c r="I412">
        <f>IFERROR(VLOOKUP(Logs_Reseau_Part56[[#This Row],[Cell_ID]],Registre_Maintenance_Part[[ID_Antenne]:[Colonne2]],4,FALSE),"")</f>
        <v>17.725974999999998</v>
      </c>
      <c r="J412" t="str">
        <f>IFERROR(VLOOKUP(Logs_Reseau_Part56[[#This Row],[Cell_ID]],Registre_Maintenance_Part[[ID_Antenne]:[Colonne2]],5,FALSE),"")</f>
        <v>3G</v>
      </c>
      <c r="K412" t="str">
        <f>IFERROR(VLOOKUP(Logs_Reseau_Part56[[#This Row],[Cell_ID]],Registre_Maintenance_Part[[ID_Antenne]:[Colonne2]],6,FALSE),"")</f>
        <v>ZTE</v>
      </c>
    </row>
    <row r="413" spans="1:11" x14ac:dyDescent="0.3">
      <c r="A413" s="1">
        <v>45209.901388888888</v>
      </c>
      <c r="B413" s="2">
        <v>45209.901388888888</v>
      </c>
      <c r="C413" t="s">
        <v>895</v>
      </c>
      <c r="D413">
        <v>68</v>
      </c>
      <c r="E413">
        <f>Logs_Reseau_Part56[[#This Row],[Duree_Panne_Min]]/60</f>
        <v>1.1333333333333333</v>
      </c>
      <c r="F413" t="s">
        <v>737</v>
      </c>
      <c r="G413" t="str">
        <f>IFERROR(VLOOKUP(Logs_Reseau_Part56[[#This Row],[Cell_ID]],Registre_Maintenance_Part[[ID_Antenne]:[Colonne2]],2,FALSE),"")</f>
        <v>Sud-Ubangi</v>
      </c>
      <c r="H413">
        <f>IFERROR(VLOOKUP(Logs_Reseau_Part56[[#This Row],[Cell_ID]],Registre_Maintenance_Part[[ID_Antenne]:[Colonne2]],3,FALSE),"")</f>
        <v>-8.3241560000000003</v>
      </c>
      <c r="I413">
        <f>IFERROR(VLOOKUP(Logs_Reseau_Part56[[#This Row],[Cell_ID]],Registre_Maintenance_Part[[ID_Antenne]:[Colonne2]],4,FALSE),"")</f>
        <v>19.543866000000001</v>
      </c>
      <c r="J413" t="str">
        <f>IFERROR(VLOOKUP(Logs_Reseau_Part56[[#This Row],[Cell_ID]],Registre_Maintenance_Part[[ID_Antenne]:[Colonne2]],5,FALSE),"")</f>
        <v>4G</v>
      </c>
      <c r="K413" t="str">
        <f>IFERROR(VLOOKUP(Logs_Reseau_Part56[[#This Row],[Cell_ID]],Registre_Maintenance_Part[[ID_Antenne]:[Colonne2]],6,FALSE),"")</f>
        <v>ZTE</v>
      </c>
    </row>
    <row r="414" spans="1:11" x14ac:dyDescent="0.3">
      <c r="A414" s="1">
        <v>45210.280555555553</v>
      </c>
      <c r="B414" s="2">
        <v>45210.280555555553</v>
      </c>
      <c r="C414" t="s">
        <v>943</v>
      </c>
      <c r="D414">
        <v>43</v>
      </c>
      <c r="E414">
        <f>Logs_Reseau_Part56[[#This Row],[Duree_Panne_Min]]/60</f>
        <v>0.71666666666666667</v>
      </c>
      <c r="F414" t="s">
        <v>737</v>
      </c>
      <c r="G414" t="str">
        <f>IFERROR(VLOOKUP(Logs_Reseau_Part56[[#This Row],[Cell_ID]],Registre_Maintenance_Part[[ID_Antenne]:[Colonne2]],2,FALSE),"")</f>
        <v>Sud-Ubangi</v>
      </c>
      <c r="H414">
        <f>IFERROR(VLOOKUP(Logs_Reseau_Part56[[#This Row],[Cell_ID]],Registre_Maintenance_Part[[ID_Antenne]:[Colonne2]],3,FALSE),"")</f>
        <v>-12.342053999999999</v>
      </c>
      <c r="I414">
        <f>IFERROR(VLOOKUP(Logs_Reseau_Part56[[#This Row],[Cell_ID]],Registre_Maintenance_Part[[ID_Antenne]:[Colonne2]],4,FALSE),"")</f>
        <v>18.756862000000002</v>
      </c>
      <c r="J414" t="str">
        <f>IFERROR(VLOOKUP(Logs_Reseau_Part56[[#This Row],[Cell_ID]],Registre_Maintenance_Part[[ID_Antenne]:[Colonne2]],5,FALSE),"")</f>
        <v>3G</v>
      </c>
      <c r="K414" t="str">
        <f>IFERROR(VLOOKUP(Logs_Reseau_Part56[[#This Row],[Cell_ID]],Registre_Maintenance_Part[[ID_Antenne]:[Colonne2]],6,FALSE),"")</f>
        <v>Ericsson</v>
      </c>
    </row>
    <row r="415" spans="1:11" x14ac:dyDescent="0.3">
      <c r="A415" s="1">
        <v>45211.098611111112</v>
      </c>
      <c r="B415" s="2">
        <v>45211.098611111112</v>
      </c>
      <c r="C415" t="s">
        <v>1073</v>
      </c>
      <c r="D415">
        <v>59</v>
      </c>
      <c r="E415">
        <f>Logs_Reseau_Part56[[#This Row],[Duree_Panne_Min]]/60</f>
        <v>0.98333333333333328</v>
      </c>
      <c r="F415" t="s">
        <v>739</v>
      </c>
      <c r="G415" t="str">
        <f>IFERROR(VLOOKUP(Logs_Reseau_Part56[[#This Row],[Cell_ID]],Registre_Maintenance_Part[[ID_Antenne]:[Colonne2]],2,FALSE),"")</f>
        <v>Sud-Ubangi</v>
      </c>
      <c r="H415">
        <f>IFERROR(VLOOKUP(Logs_Reseau_Part56[[#This Row],[Cell_ID]],Registre_Maintenance_Part[[ID_Antenne]:[Colonne2]],3,FALSE),"")</f>
        <v>-11.387295999999999</v>
      </c>
      <c r="I415">
        <f>IFERROR(VLOOKUP(Logs_Reseau_Part56[[#This Row],[Cell_ID]],Registre_Maintenance_Part[[ID_Antenne]:[Colonne2]],4,FALSE),"")</f>
        <v>19.384257999999999</v>
      </c>
      <c r="J415" t="str">
        <f>IFERROR(VLOOKUP(Logs_Reseau_Part56[[#This Row],[Cell_ID]],Registre_Maintenance_Part[[ID_Antenne]:[Colonne2]],5,FALSE),"")</f>
        <v>3G</v>
      </c>
      <c r="K415" t="str">
        <f>IFERROR(VLOOKUP(Logs_Reseau_Part56[[#This Row],[Cell_ID]],Registre_Maintenance_Part[[ID_Antenne]:[Colonne2]],6,FALSE),"")</f>
        <v>Huawei</v>
      </c>
    </row>
    <row r="416" spans="1:11" x14ac:dyDescent="0.3">
      <c r="A416" s="1">
        <v>45211.904861111107</v>
      </c>
      <c r="B416" s="2">
        <v>45211.904861111107</v>
      </c>
      <c r="C416" t="s">
        <v>943</v>
      </c>
      <c r="D416">
        <v>45</v>
      </c>
      <c r="E416">
        <f>Logs_Reseau_Part56[[#This Row],[Duree_Panne_Min]]/60</f>
        <v>0.75</v>
      </c>
      <c r="F416" t="s">
        <v>739</v>
      </c>
      <c r="G416" t="str">
        <f>IFERROR(VLOOKUP(Logs_Reseau_Part56[[#This Row],[Cell_ID]],Registre_Maintenance_Part[[ID_Antenne]:[Colonne2]],2,FALSE),"")</f>
        <v>Sud-Ubangi</v>
      </c>
      <c r="H416">
        <f>IFERROR(VLOOKUP(Logs_Reseau_Part56[[#This Row],[Cell_ID]],Registre_Maintenance_Part[[ID_Antenne]:[Colonne2]],3,FALSE),"")</f>
        <v>-12.342053999999999</v>
      </c>
      <c r="I416">
        <f>IFERROR(VLOOKUP(Logs_Reseau_Part56[[#This Row],[Cell_ID]],Registre_Maintenance_Part[[ID_Antenne]:[Colonne2]],4,FALSE),"")</f>
        <v>18.756862000000002</v>
      </c>
      <c r="J416" t="str">
        <f>IFERROR(VLOOKUP(Logs_Reseau_Part56[[#This Row],[Cell_ID]],Registre_Maintenance_Part[[ID_Antenne]:[Colonne2]],5,FALSE),"")</f>
        <v>3G</v>
      </c>
      <c r="K416" t="str">
        <f>IFERROR(VLOOKUP(Logs_Reseau_Part56[[#This Row],[Cell_ID]],Registre_Maintenance_Part[[ID_Antenne]:[Colonne2]],6,FALSE),"")</f>
        <v>Ericsson</v>
      </c>
    </row>
    <row r="417" spans="1:11" x14ac:dyDescent="0.3">
      <c r="A417" s="1">
        <v>45213.066666666673</v>
      </c>
      <c r="B417" s="2">
        <v>45213.066666666673</v>
      </c>
      <c r="C417" t="s">
        <v>1073</v>
      </c>
      <c r="D417">
        <v>63</v>
      </c>
      <c r="E417">
        <f>Logs_Reseau_Part56[[#This Row],[Duree_Panne_Min]]/60</f>
        <v>1.05</v>
      </c>
      <c r="F417" t="s">
        <v>734</v>
      </c>
      <c r="G417" t="str">
        <f>IFERROR(VLOOKUP(Logs_Reseau_Part56[[#This Row],[Cell_ID]],Registre_Maintenance_Part[[ID_Antenne]:[Colonne2]],2,FALSE),"")</f>
        <v>Sud-Ubangi</v>
      </c>
      <c r="H417">
        <f>IFERROR(VLOOKUP(Logs_Reseau_Part56[[#This Row],[Cell_ID]],Registre_Maintenance_Part[[ID_Antenne]:[Colonne2]],3,FALSE),"")</f>
        <v>-11.387295999999999</v>
      </c>
      <c r="I417">
        <f>IFERROR(VLOOKUP(Logs_Reseau_Part56[[#This Row],[Cell_ID]],Registre_Maintenance_Part[[ID_Antenne]:[Colonne2]],4,FALSE),"")</f>
        <v>19.384257999999999</v>
      </c>
      <c r="J417" t="str">
        <f>IFERROR(VLOOKUP(Logs_Reseau_Part56[[#This Row],[Cell_ID]],Registre_Maintenance_Part[[ID_Antenne]:[Colonne2]],5,FALSE),"")</f>
        <v>3G</v>
      </c>
      <c r="K417" t="str">
        <f>IFERROR(VLOOKUP(Logs_Reseau_Part56[[#This Row],[Cell_ID]],Registre_Maintenance_Part[[ID_Antenne]:[Colonne2]],6,FALSE),"")</f>
        <v>Huawei</v>
      </c>
    </row>
    <row r="418" spans="1:11" x14ac:dyDescent="0.3">
      <c r="A418" s="1">
        <v>45214.457638888889</v>
      </c>
      <c r="B418" s="2">
        <v>45214.457638888889</v>
      </c>
      <c r="C418" t="s">
        <v>822</v>
      </c>
      <c r="D418">
        <v>48</v>
      </c>
      <c r="E418">
        <f>Logs_Reseau_Part56[[#This Row],[Duree_Panne_Min]]/60</f>
        <v>0.8</v>
      </c>
      <c r="F418" t="s">
        <v>739</v>
      </c>
      <c r="G418" t="str">
        <f>IFERROR(VLOOKUP(Logs_Reseau_Part56[[#This Row],[Cell_ID]],Registre_Maintenance_Part[[ID_Antenne]:[Colonne2]],2,FALSE),"")</f>
        <v>Sud-Ubangi</v>
      </c>
      <c r="H418">
        <f>IFERROR(VLOOKUP(Logs_Reseau_Part56[[#This Row],[Cell_ID]],Registre_Maintenance_Part[[ID_Antenne]:[Colonne2]],3,FALSE),"")</f>
        <v>-9.3652239999999995</v>
      </c>
      <c r="I418">
        <f>IFERROR(VLOOKUP(Logs_Reseau_Part56[[#This Row],[Cell_ID]],Registre_Maintenance_Part[[ID_Antenne]:[Colonne2]],4,FALSE),"")</f>
        <v>22.593423999999999</v>
      </c>
      <c r="J418" t="str">
        <f>IFERROR(VLOOKUP(Logs_Reseau_Part56[[#This Row],[Cell_ID]],Registre_Maintenance_Part[[ID_Antenne]:[Colonne2]],5,FALSE),"")</f>
        <v>5G</v>
      </c>
      <c r="K418" t="str">
        <f>IFERROR(VLOOKUP(Logs_Reseau_Part56[[#This Row],[Cell_ID]],Registre_Maintenance_Part[[ID_Antenne]:[Colonne2]],6,FALSE),"")</f>
        <v>Nokia</v>
      </c>
    </row>
    <row r="419" spans="1:11" x14ac:dyDescent="0.3">
      <c r="A419" s="1">
        <v>45214.774305555547</v>
      </c>
      <c r="B419" s="2">
        <v>45214.774305555547</v>
      </c>
      <c r="C419" t="s">
        <v>812</v>
      </c>
      <c r="D419">
        <v>118</v>
      </c>
      <c r="E419">
        <f>Logs_Reseau_Part56[[#This Row],[Duree_Panne_Min]]/60</f>
        <v>1.9666666666666666</v>
      </c>
      <c r="F419" t="s">
        <v>734</v>
      </c>
      <c r="G419" t="str">
        <f>IFERROR(VLOOKUP(Logs_Reseau_Part56[[#This Row],[Cell_ID]],Registre_Maintenance_Part[[ID_Antenne]:[Colonne2]],2,FALSE),"")</f>
        <v>Sud-Ubangi</v>
      </c>
      <c r="H419">
        <f>IFERROR(VLOOKUP(Logs_Reseau_Part56[[#This Row],[Cell_ID]],Registre_Maintenance_Part[[ID_Antenne]:[Colonne2]],3,FALSE),"")</f>
        <v>-10.914952</v>
      </c>
      <c r="I419">
        <f>IFERROR(VLOOKUP(Logs_Reseau_Part56[[#This Row],[Cell_ID]],Registre_Maintenance_Part[[ID_Antenne]:[Colonne2]],4,FALSE),"")</f>
        <v>26.409648000000001</v>
      </c>
      <c r="J419" t="str">
        <f>IFERROR(VLOOKUP(Logs_Reseau_Part56[[#This Row],[Cell_ID]],Registre_Maintenance_Part[[ID_Antenne]:[Colonne2]],5,FALSE),"")</f>
        <v>4G</v>
      </c>
      <c r="K419" t="str">
        <f>IFERROR(VLOOKUP(Logs_Reseau_Part56[[#This Row],[Cell_ID]],Registre_Maintenance_Part[[ID_Antenne]:[Colonne2]],6,FALSE),"")</f>
        <v>Huawei</v>
      </c>
    </row>
    <row r="420" spans="1:11" x14ac:dyDescent="0.3">
      <c r="A420" s="1">
        <v>45216.673611111109</v>
      </c>
      <c r="B420" s="2">
        <v>45216.673611111109</v>
      </c>
      <c r="C420" t="s">
        <v>808</v>
      </c>
      <c r="D420">
        <v>117</v>
      </c>
      <c r="E420">
        <f>Logs_Reseau_Part56[[#This Row],[Duree_Panne_Min]]/60</f>
        <v>1.95</v>
      </c>
      <c r="F420" t="s">
        <v>734</v>
      </c>
      <c r="G420" t="str">
        <f>IFERROR(VLOOKUP(Logs_Reseau_Part56[[#This Row],[Cell_ID]],Registre_Maintenance_Part[[ID_Antenne]:[Colonne2]],2,FALSE),"")</f>
        <v>Sud-Ubangi</v>
      </c>
      <c r="H420">
        <f>IFERROR(VLOOKUP(Logs_Reseau_Part56[[#This Row],[Cell_ID]],Registre_Maintenance_Part[[ID_Antenne]:[Colonne2]],3,FALSE),"")</f>
        <v>-12.141233</v>
      </c>
      <c r="I420">
        <f>IFERROR(VLOOKUP(Logs_Reseau_Part56[[#This Row],[Cell_ID]],Registre_Maintenance_Part[[ID_Antenne]:[Colonne2]],4,FALSE),"")</f>
        <v>15.179043999999999</v>
      </c>
      <c r="J420" t="str">
        <f>IFERROR(VLOOKUP(Logs_Reseau_Part56[[#This Row],[Cell_ID]],Registre_Maintenance_Part[[ID_Antenne]:[Colonne2]],5,FALSE),"")</f>
        <v>5G</v>
      </c>
      <c r="K420" t="str">
        <f>IFERROR(VLOOKUP(Logs_Reseau_Part56[[#This Row],[Cell_ID]],Registre_Maintenance_Part[[ID_Antenne]:[Colonne2]],6,FALSE),"")</f>
        <v>Ericsson</v>
      </c>
    </row>
    <row r="421" spans="1:11" x14ac:dyDescent="0.3">
      <c r="A421" s="1">
        <v>45216.76458333333</v>
      </c>
      <c r="B421" s="2">
        <v>45216.76458333333</v>
      </c>
      <c r="C421" t="s">
        <v>812</v>
      </c>
      <c r="D421">
        <v>53</v>
      </c>
      <c r="E421">
        <f>Logs_Reseau_Part56[[#This Row],[Duree_Panne_Min]]/60</f>
        <v>0.8833333333333333</v>
      </c>
      <c r="F421" t="s">
        <v>737</v>
      </c>
      <c r="G421" t="str">
        <f>IFERROR(VLOOKUP(Logs_Reseau_Part56[[#This Row],[Cell_ID]],Registre_Maintenance_Part[[ID_Antenne]:[Colonne2]],2,FALSE),"")</f>
        <v>Sud-Ubangi</v>
      </c>
      <c r="H421">
        <f>IFERROR(VLOOKUP(Logs_Reseau_Part56[[#This Row],[Cell_ID]],Registre_Maintenance_Part[[ID_Antenne]:[Colonne2]],3,FALSE),"")</f>
        <v>-10.914952</v>
      </c>
      <c r="I421">
        <f>IFERROR(VLOOKUP(Logs_Reseau_Part56[[#This Row],[Cell_ID]],Registre_Maintenance_Part[[ID_Antenne]:[Colonne2]],4,FALSE),"")</f>
        <v>26.409648000000001</v>
      </c>
      <c r="J421" t="str">
        <f>IFERROR(VLOOKUP(Logs_Reseau_Part56[[#This Row],[Cell_ID]],Registre_Maintenance_Part[[ID_Antenne]:[Colonne2]],5,FALSE),"")</f>
        <v>4G</v>
      </c>
      <c r="K421" t="str">
        <f>IFERROR(VLOOKUP(Logs_Reseau_Part56[[#This Row],[Cell_ID]],Registre_Maintenance_Part[[ID_Antenne]:[Colonne2]],6,FALSE),"")</f>
        <v>Huawei</v>
      </c>
    </row>
    <row r="422" spans="1:11" x14ac:dyDescent="0.3">
      <c r="A422" s="1">
        <v>45219.438888888893</v>
      </c>
      <c r="B422" s="2">
        <v>45219.438888888893</v>
      </c>
      <c r="C422" t="s">
        <v>1390</v>
      </c>
      <c r="D422">
        <v>105</v>
      </c>
      <c r="E422">
        <f>Logs_Reseau_Part56[[#This Row],[Duree_Panne_Min]]/60</f>
        <v>1.75</v>
      </c>
      <c r="F422" t="s">
        <v>737</v>
      </c>
      <c r="G422" t="str">
        <f>IFERROR(VLOOKUP(Logs_Reseau_Part56[[#This Row],[Cell_ID]],Registre_Maintenance_Part[[ID_Antenne]:[Colonne2]],2,FALSE),"")</f>
        <v>Sud-Ubangi</v>
      </c>
      <c r="H422">
        <f>IFERROR(VLOOKUP(Logs_Reseau_Part56[[#This Row],[Cell_ID]],Registre_Maintenance_Part[[ID_Antenne]:[Colonne2]],3,FALSE),"")</f>
        <v>-0.54908599999999996</v>
      </c>
      <c r="I422">
        <f>IFERROR(VLOOKUP(Logs_Reseau_Part56[[#This Row],[Cell_ID]],Registre_Maintenance_Part[[ID_Antenne]:[Colonne2]],4,FALSE),"")</f>
        <v>14.816867</v>
      </c>
      <c r="J422" t="str">
        <f>IFERROR(VLOOKUP(Logs_Reseau_Part56[[#This Row],[Cell_ID]],Registre_Maintenance_Part[[ID_Antenne]:[Colonne2]],5,FALSE),"")</f>
        <v>5G</v>
      </c>
      <c r="K422" t="str">
        <f>IFERROR(VLOOKUP(Logs_Reseau_Part56[[#This Row],[Cell_ID]],Registre_Maintenance_Part[[ID_Antenne]:[Colonne2]],6,FALSE),"")</f>
        <v>ZTE</v>
      </c>
    </row>
    <row r="423" spans="1:11" x14ac:dyDescent="0.3">
      <c r="A423" s="1">
        <v>45220.488888888889</v>
      </c>
      <c r="B423" s="2">
        <v>45220.488888888889</v>
      </c>
      <c r="C423" t="s">
        <v>822</v>
      </c>
      <c r="D423">
        <v>49</v>
      </c>
      <c r="E423">
        <f>Logs_Reseau_Part56[[#This Row],[Duree_Panne_Min]]/60</f>
        <v>0.81666666666666665</v>
      </c>
      <c r="F423" t="s">
        <v>739</v>
      </c>
      <c r="G423" t="str">
        <f>IFERROR(VLOOKUP(Logs_Reseau_Part56[[#This Row],[Cell_ID]],Registre_Maintenance_Part[[ID_Antenne]:[Colonne2]],2,FALSE),"")</f>
        <v>Sud-Ubangi</v>
      </c>
      <c r="H423">
        <f>IFERROR(VLOOKUP(Logs_Reseau_Part56[[#This Row],[Cell_ID]],Registre_Maintenance_Part[[ID_Antenne]:[Colonne2]],3,FALSE),"")</f>
        <v>-9.3652239999999995</v>
      </c>
      <c r="I423">
        <f>IFERROR(VLOOKUP(Logs_Reseau_Part56[[#This Row],[Cell_ID]],Registre_Maintenance_Part[[ID_Antenne]:[Colonne2]],4,FALSE),"")</f>
        <v>22.593423999999999</v>
      </c>
      <c r="J423" t="str">
        <f>IFERROR(VLOOKUP(Logs_Reseau_Part56[[#This Row],[Cell_ID]],Registre_Maintenance_Part[[ID_Antenne]:[Colonne2]],5,FALSE),"")</f>
        <v>5G</v>
      </c>
      <c r="K423" t="str">
        <f>IFERROR(VLOOKUP(Logs_Reseau_Part56[[#This Row],[Cell_ID]],Registre_Maintenance_Part[[ID_Antenne]:[Colonne2]],6,FALSE),"")</f>
        <v>Nokia</v>
      </c>
    </row>
    <row r="424" spans="1:11" x14ac:dyDescent="0.3">
      <c r="A424" s="1">
        <v>45223.554166666669</v>
      </c>
      <c r="B424" s="2">
        <v>45223.554166666669</v>
      </c>
      <c r="C424" t="s">
        <v>1190</v>
      </c>
      <c r="D424">
        <v>86</v>
      </c>
      <c r="E424">
        <f>Logs_Reseau_Part56[[#This Row],[Duree_Panne_Min]]/60</f>
        <v>1.4333333333333333</v>
      </c>
      <c r="F424" t="s">
        <v>737</v>
      </c>
      <c r="G424" t="str">
        <f>IFERROR(VLOOKUP(Logs_Reseau_Part56[[#This Row],[Cell_ID]],Registre_Maintenance_Part[[ID_Antenne]:[Colonne2]],2,FALSE),"")</f>
        <v>Sud-Ubangi</v>
      </c>
      <c r="H424">
        <f>IFERROR(VLOOKUP(Logs_Reseau_Part56[[#This Row],[Cell_ID]],Registre_Maintenance_Part[[ID_Antenne]:[Colonne2]],3,FALSE),"")</f>
        <v>-12.050063</v>
      </c>
      <c r="I424">
        <f>IFERROR(VLOOKUP(Logs_Reseau_Part56[[#This Row],[Cell_ID]],Registre_Maintenance_Part[[ID_Antenne]:[Colonne2]],4,FALSE),"")</f>
        <v>26.636987999999999</v>
      </c>
      <c r="J424" t="str">
        <f>IFERROR(VLOOKUP(Logs_Reseau_Part56[[#This Row],[Cell_ID]],Registre_Maintenance_Part[[ID_Antenne]:[Colonne2]],5,FALSE),"")</f>
        <v>3G</v>
      </c>
      <c r="K424" t="str">
        <f>IFERROR(VLOOKUP(Logs_Reseau_Part56[[#This Row],[Cell_ID]],Registre_Maintenance_Part[[ID_Antenne]:[Colonne2]],6,FALSE),"")</f>
        <v>Nokia</v>
      </c>
    </row>
    <row r="425" spans="1:11" x14ac:dyDescent="0.3">
      <c r="A425" s="1">
        <v>45225.625694444447</v>
      </c>
      <c r="B425" s="2">
        <v>45225.625694444447</v>
      </c>
      <c r="C425" t="s">
        <v>1094</v>
      </c>
      <c r="D425">
        <v>108</v>
      </c>
      <c r="E425">
        <f>Logs_Reseau_Part56[[#This Row],[Duree_Panne_Min]]/60</f>
        <v>1.8</v>
      </c>
      <c r="F425" t="s">
        <v>739</v>
      </c>
      <c r="G425" t="str">
        <f>IFERROR(VLOOKUP(Logs_Reseau_Part56[[#This Row],[Cell_ID]],Registre_Maintenance_Part[[ID_Antenne]:[Colonne2]],2,FALSE),"")</f>
        <v>Sud-Ubangi</v>
      </c>
      <c r="H425">
        <f>IFERROR(VLOOKUP(Logs_Reseau_Part56[[#This Row],[Cell_ID]],Registre_Maintenance_Part[[ID_Antenne]:[Colonne2]],3,FALSE),"")</f>
        <v>-10.611184</v>
      </c>
      <c r="I425">
        <f>IFERROR(VLOOKUP(Logs_Reseau_Part56[[#This Row],[Cell_ID]],Registre_Maintenance_Part[[ID_Antenne]:[Colonne2]],4,FALSE),"")</f>
        <v>23.022268</v>
      </c>
      <c r="J425" t="str">
        <f>IFERROR(VLOOKUP(Logs_Reseau_Part56[[#This Row],[Cell_ID]],Registre_Maintenance_Part[[ID_Antenne]:[Colonne2]],5,FALSE),"")</f>
        <v>5G</v>
      </c>
      <c r="K425" t="str">
        <f>IFERROR(VLOOKUP(Logs_Reseau_Part56[[#This Row],[Cell_ID]],Registre_Maintenance_Part[[ID_Antenne]:[Colonne2]],6,FALSE),"")</f>
        <v>ZTE</v>
      </c>
    </row>
    <row r="426" spans="1:11" x14ac:dyDescent="0.3">
      <c r="A426" s="1">
        <v>45227.309027777781</v>
      </c>
      <c r="B426" s="2">
        <v>45227.309027777781</v>
      </c>
      <c r="C426" t="s">
        <v>812</v>
      </c>
      <c r="D426">
        <v>118</v>
      </c>
      <c r="E426">
        <f>Logs_Reseau_Part56[[#This Row],[Duree_Panne_Min]]/60</f>
        <v>1.9666666666666666</v>
      </c>
      <c r="F426" t="s">
        <v>739</v>
      </c>
      <c r="G426" t="str">
        <f>IFERROR(VLOOKUP(Logs_Reseau_Part56[[#This Row],[Cell_ID]],Registre_Maintenance_Part[[ID_Antenne]:[Colonne2]],2,FALSE),"")</f>
        <v>Sud-Ubangi</v>
      </c>
      <c r="H426">
        <f>IFERROR(VLOOKUP(Logs_Reseau_Part56[[#This Row],[Cell_ID]],Registre_Maintenance_Part[[ID_Antenne]:[Colonne2]],3,FALSE),"")</f>
        <v>-10.914952</v>
      </c>
      <c r="I426">
        <f>IFERROR(VLOOKUP(Logs_Reseau_Part56[[#This Row],[Cell_ID]],Registre_Maintenance_Part[[ID_Antenne]:[Colonne2]],4,FALSE),"")</f>
        <v>26.409648000000001</v>
      </c>
      <c r="J426" t="str">
        <f>IFERROR(VLOOKUP(Logs_Reseau_Part56[[#This Row],[Cell_ID]],Registre_Maintenance_Part[[ID_Antenne]:[Colonne2]],5,FALSE),"")</f>
        <v>4G</v>
      </c>
      <c r="K426" t="str">
        <f>IFERROR(VLOOKUP(Logs_Reseau_Part56[[#This Row],[Cell_ID]],Registre_Maintenance_Part[[ID_Antenne]:[Colonne2]],6,FALSE),"")</f>
        <v>Huawei</v>
      </c>
    </row>
    <row r="427" spans="1:11" x14ac:dyDescent="0.3">
      <c r="A427" s="1">
        <v>45227.751388888893</v>
      </c>
      <c r="B427" s="2">
        <v>45227.751388888893</v>
      </c>
      <c r="C427" t="s">
        <v>1190</v>
      </c>
      <c r="D427">
        <v>42</v>
      </c>
      <c r="E427">
        <f>Logs_Reseau_Part56[[#This Row],[Duree_Panne_Min]]/60</f>
        <v>0.7</v>
      </c>
      <c r="F427" t="s">
        <v>734</v>
      </c>
      <c r="G427" t="str">
        <f>IFERROR(VLOOKUP(Logs_Reseau_Part56[[#This Row],[Cell_ID]],Registre_Maintenance_Part[[ID_Antenne]:[Colonne2]],2,FALSE),"")</f>
        <v>Sud-Ubangi</v>
      </c>
      <c r="H427">
        <f>IFERROR(VLOOKUP(Logs_Reseau_Part56[[#This Row],[Cell_ID]],Registre_Maintenance_Part[[ID_Antenne]:[Colonne2]],3,FALSE),"")</f>
        <v>-12.050063</v>
      </c>
      <c r="I427">
        <f>IFERROR(VLOOKUP(Logs_Reseau_Part56[[#This Row],[Cell_ID]],Registre_Maintenance_Part[[ID_Antenne]:[Colonne2]],4,FALSE),"")</f>
        <v>26.636987999999999</v>
      </c>
      <c r="J427" t="str">
        <f>IFERROR(VLOOKUP(Logs_Reseau_Part56[[#This Row],[Cell_ID]],Registre_Maintenance_Part[[ID_Antenne]:[Colonne2]],5,FALSE),"")</f>
        <v>3G</v>
      </c>
      <c r="K427" t="str">
        <f>IFERROR(VLOOKUP(Logs_Reseau_Part56[[#This Row],[Cell_ID]],Registre_Maintenance_Part[[ID_Antenne]:[Colonne2]],6,FALSE),"")</f>
        <v>Nokia</v>
      </c>
    </row>
    <row r="428" spans="1:11" x14ac:dyDescent="0.3">
      <c r="A428" s="1">
        <v>45202.717361111107</v>
      </c>
      <c r="B428" s="2">
        <v>45202.717361111107</v>
      </c>
      <c r="C428" t="s">
        <v>995</v>
      </c>
      <c r="D428">
        <v>115</v>
      </c>
      <c r="E428">
        <f>Logs_Reseau_Part56[[#This Row],[Duree_Panne_Min]]/60</f>
        <v>1.9166666666666667</v>
      </c>
      <c r="F428" t="s">
        <v>739</v>
      </c>
      <c r="G428" t="str">
        <f>IFERROR(VLOOKUP(Logs_Reseau_Part56[[#This Row],[Cell_ID]],Registre_Maintenance_Part[[ID_Antenne]:[Colonne2]],2,FALSE),"")</f>
        <v>Tanganyika</v>
      </c>
      <c r="H428">
        <f>IFERROR(VLOOKUP(Logs_Reseau_Part56[[#This Row],[Cell_ID]],Registre_Maintenance_Part[[ID_Antenne]:[Colonne2]],3,FALSE),"")</f>
        <v>-1.5936220000000001</v>
      </c>
      <c r="I428">
        <f>IFERROR(VLOOKUP(Logs_Reseau_Part56[[#This Row],[Cell_ID]],Registre_Maintenance_Part[[ID_Antenne]:[Colonne2]],4,FALSE),"")</f>
        <v>14.928856</v>
      </c>
      <c r="J428" t="str">
        <f>IFERROR(VLOOKUP(Logs_Reseau_Part56[[#This Row],[Cell_ID]],Registre_Maintenance_Part[[ID_Antenne]:[Colonne2]],5,FALSE),"")</f>
        <v>5G</v>
      </c>
      <c r="K428" t="str">
        <f>IFERROR(VLOOKUP(Logs_Reseau_Part56[[#This Row],[Cell_ID]],Registre_Maintenance_Part[[ID_Antenne]:[Colonne2]],6,FALSE),"")</f>
        <v>Ericsson</v>
      </c>
    </row>
    <row r="429" spans="1:11" x14ac:dyDescent="0.3">
      <c r="A429" s="1">
        <v>45202.779166666667</v>
      </c>
      <c r="B429" s="2">
        <v>45202.779166666667</v>
      </c>
      <c r="C429" t="s">
        <v>1045</v>
      </c>
      <c r="D429">
        <v>61</v>
      </c>
      <c r="E429">
        <f>Logs_Reseau_Part56[[#This Row],[Duree_Panne_Min]]/60</f>
        <v>1.0166666666666666</v>
      </c>
      <c r="F429" t="s">
        <v>739</v>
      </c>
      <c r="G429" t="str">
        <f>IFERROR(VLOOKUP(Logs_Reseau_Part56[[#This Row],[Cell_ID]],Registre_Maintenance_Part[[ID_Antenne]:[Colonne2]],2,FALSE),"")</f>
        <v>Tanganyika</v>
      </c>
      <c r="H429">
        <f>IFERROR(VLOOKUP(Logs_Reseau_Part56[[#This Row],[Cell_ID]],Registre_Maintenance_Part[[ID_Antenne]:[Colonne2]],3,FALSE),"")</f>
        <v>-12.229338</v>
      </c>
      <c r="I429">
        <f>IFERROR(VLOOKUP(Logs_Reseau_Part56[[#This Row],[Cell_ID]],Registre_Maintenance_Part[[ID_Antenne]:[Colonne2]],4,FALSE),"")</f>
        <v>29.587834999999998</v>
      </c>
      <c r="J429" t="str">
        <f>IFERROR(VLOOKUP(Logs_Reseau_Part56[[#This Row],[Cell_ID]],Registre_Maintenance_Part[[ID_Antenne]:[Colonne2]],5,FALSE),"")</f>
        <v>4G</v>
      </c>
      <c r="K429" t="str">
        <f>IFERROR(VLOOKUP(Logs_Reseau_Part56[[#This Row],[Cell_ID]],Registre_Maintenance_Part[[ID_Antenne]:[Colonne2]],6,FALSE),"")</f>
        <v>Nokia</v>
      </c>
    </row>
    <row r="430" spans="1:11" x14ac:dyDescent="0.3">
      <c r="A430" s="1">
        <v>45203.032638888893</v>
      </c>
      <c r="B430" s="2">
        <v>45203.032638888893</v>
      </c>
      <c r="C430" t="s">
        <v>733</v>
      </c>
      <c r="D430">
        <v>73</v>
      </c>
      <c r="E430">
        <f>Logs_Reseau_Part56[[#This Row],[Duree_Panne_Min]]/60</f>
        <v>1.2166666666666666</v>
      </c>
      <c r="F430" t="s">
        <v>734</v>
      </c>
      <c r="G430" t="str">
        <f>IFERROR(VLOOKUP(Logs_Reseau_Part56[[#This Row],[Cell_ID]],Registre_Maintenance_Part[[ID_Antenne]:[Colonne2]],2,FALSE),"")</f>
        <v>Tanganyika</v>
      </c>
      <c r="H430">
        <f>IFERROR(VLOOKUP(Logs_Reseau_Part56[[#This Row],[Cell_ID]],Registre_Maintenance_Part[[ID_Antenne]:[Colonne2]],3,FALSE),"")</f>
        <v>-11.144149000000001</v>
      </c>
      <c r="I430">
        <f>IFERROR(VLOOKUP(Logs_Reseau_Part56[[#This Row],[Cell_ID]],Registre_Maintenance_Part[[ID_Antenne]:[Colonne2]],4,FALSE),"")</f>
        <v>27.244658999999999</v>
      </c>
      <c r="J430" t="str">
        <f>IFERROR(VLOOKUP(Logs_Reseau_Part56[[#This Row],[Cell_ID]],Registre_Maintenance_Part[[ID_Antenne]:[Colonne2]],5,FALSE),"")</f>
        <v>4G</v>
      </c>
      <c r="K430" t="str">
        <f>IFERROR(VLOOKUP(Logs_Reseau_Part56[[#This Row],[Cell_ID]],Registre_Maintenance_Part[[ID_Antenne]:[Colonne2]],6,FALSE),"")</f>
        <v>Nokia</v>
      </c>
    </row>
    <row r="431" spans="1:11" x14ac:dyDescent="0.3">
      <c r="A431" s="1">
        <v>45203.304861111108</v>
      </c>
      <c r="B431" s="2">
        <v>45203.304861111108</v>
      </c>
      <c r="C431" t="s">
        <v>1143</v>
      </c>
      <c r="D431">
        <v>106</v>
      </c>
      <c r="E431">
        <f>Logs_Reseau_Part56[[#This Row],[Duree_Panne_Min]]/60</f>
        <v>1.7666666666666666</v>
      </c>
      <c r="F431" t="s">
        <v>737</v>
      </c>
      <c r="G431" t="str">
        <f>IFERROR(VLOOKUP(Logs_Reseau_Part56[[#This Row],[Cell_ID]],Registre_Maintenance_Part[[ID_Antenne]:[Colonne2]],2,FALSE),"")</f>
        <v>Tanganyika</v>
      </c>
      <c r="H431">
        <f>IFERROR(VLOOKUP(Logs_Reseau_Part56[[#This Row],[Cell_ID]],Registre_Maintenance_Part[[ID_Antenne]:[Colonne2]],3,FALSE),"")</f>
        <v>-11.793894</v>
      </c>
      <c r="I431">
        <f>IFERROR(VLOOKUP(Logs_Reseau_Part56[[#This Row],[Cell_ID]],Registre_Maintenance_Part[[ID_Antenne]:[Colonne2]],4,FALSE),"")</f>
        <v>20.433340999999999</v>
      </c>
      <c r="J431" t="str">
        <f>IFERROR(VLOOKUP(Logs_Reseau_Part56[[#This Row],[Cell_ID]],Registre_Maintenance_Part[[ID_Antenne]:[Colonne2]],5,FALSE),"")</f>
        <v>5G</v>
      </c>
      <c r="K431" t="str">
        <f>IFERROR(VLOOKUP(Logs_Reseau_Part56[[#This Row],[Cell_ID]],Registre_Maintenance_Part[[ID_Antenne]:[Colonne2]],6,FALSE),"")</f>
        <v>Nokia</v>
      </c>
    </row>
    <row r="432" spans="1:11" x14ac:dyDescent="0.3">
      <c r="A432" s="1">
        <v>45205.353472222218</v>
      </c>
      <c r="B432" s="2">
        <v>45205.353472222218</v>
      </c>
      <c r="C432" t="s">
        <v>792</v>
      </c>
      <c r="D432">
        <v>52</v>
      </c>
      <c r="E432">
        <f>Logs_Reseau_Part56[[#This Row],[Duree_Panne_Min]]/60</f>
        <v>0.8666666666666667</v>
      </c>
      <c r="F432" t="s">
        <v>737</v>
      </c>
      <c r="G432" t="str">
        <f>IFERROR(VLOOKUP(Logs_Reseau_Part56[[#This Row],[Cell_ID]],Registre_Maintenance_Part[[ID_Antenne]:[Colonne2]],2,FALSE),"")</f>
        <v>Tanganyika</v>
      </c>
      <c r="H432">
        <f>IFERROR(VLOOKUP(Logs_Reseau_Part56[[#This Row],[Cell_ID]],Registre_Maintenance_Part[[ID_Antenne]:[Colonne2]],3,FALSE),"")</f>
        <v>3.1362930000000002</v>
      </c>
      <c r="I432">
        <f>IFERROR(VLOOKUP(Logs_Reseau_Part56[[#This Row],[Cell_ID]],Registre_Maintenance_Part[[ID_Antenne]:[Colonne2]],4,FALSE),"")</f>
        <v>16.190878000000001</v>
      </c>
      <c r="J432" t="str">
        <f>IFERROR(VLOOKUP(Logs_Reseau_Part56[[#This Row],[Cell_ID]],Registre_Maintenance_Part[[ID_Antenne]:[Colonne2]],5,FALSE),"")</f>
        <v>3G</v>
      </c>
      <c r="K432" t="str">
        <f>IFERROR(VLOOKUP(Logs_Reseau_Part56[[#This Row],[Cell_ID]],Registre_Maintenance_Part[[ID_Antenne]:[Colonne2]],6,FALSE),"")</f>
        <v>Nokia</v>
      </c>
    </row>
    <row r="433" spans="1:11" x14ac:dyDescent="0.3">
      <c r="A433" s="1">
        <v>45207.368055555547</v>
      </c>
      <c r="B433" s="2">
        <v>45207.368055555547</v>
      </c>
      <c r="C433" t="s">
        <v>927</v>
      </c>
      <c r="D433">
        <v>46</v>
      </c>
      <c r="E433">
        <f>Logs_Reseau_Part56[[#This Row],[Duree_Panne_Min]]/60</f>
        <v>0.76666666666666672</v>
      </c>
      <c r="F433" t="s">
        <v>734</v>
      </c>
      <c r="G433" t="str">
        <f>IFERROR(VLOOKUP(Logs_Reseau_Part56[[#This Row],[Cell_ID]],Registre_Maintenance_Part[[ID_Antenne]:[Colonne2]],2,FALSE),"")</f>
        <v>Tanganyika</v>
      </c>
      <c r="H433">
        <f>IFERROR(VLOOKUP(Logs_Reseau_Part56[[#This Row],[Cell_ID]],Registre_Maintenance_Part[[ID_Antenne]:[Colonne2]],3,FALSE),"")</f>
        <v>-10.481026999999999</v>
      </c>
      <c r="I433">
        <f>IFERROR(VLOOKUP(Logs_Reseau_Part56[[#This Row],[Cell_ID]],Registre_Maintenance_Part[[ID_Antenne]:[Colonne2]],4,FALSE),"")</f>
        <v>18.160464000000001</v>
      </c>
      <c r="J433" t="str">
        <f>IFERROR(VLOOKUP(Logs_Reseau_Part56[[#This Row],[Cell_ID]],Registre_Maintenance_Part[[ID_Antenne]:[Colonne2]],5,FALSE),"")</f>
        <v>5G</v>
      </c>
      <c r="K433" t="str">
        <f>IFERROR(VLOOKUP(Logs_Reseau_Part56[[#This Row],[Cell_ID]],Registre_Maintenance_Part[[ID_Antenne]:[Colonne2]],6,FALSE),"")</f>
        <v>Huawei</v>
      </c>
    </row>
    <row r="434" spans="1:11" x14ac:dyDescent="0.3">
      <c r="A434" s="1">
        <v>45210.051388888889</v>
      </c>
      <c r="B434" s="2">
        <v>45210.051388888889</v>
      </c>
      <c r="C434" t="s">
        <v>773</v>
      </c>
      <c r="D434">
        <v>73</v>
      </c>
      <c r="E434">
        <f>Logs_Reseau_Part56[[#This Row],[Duree_Panne_Min]]/60</f>
        <v>1.2166666666666666</v>
      </c>
      <c r="F434" t="s">
        <v>734</v>
      </c>
      <c r="G434" t="str">
        <f>IFERROR(VLOOKUP(Logs_Reseau_Part56[[#This Row],[Cell_ID]],Registre_Maintenance_Part[[ID_Antenne]:[Colonne2]],2,FALSE),"")</f>
        <v>Tanganyika</v>
      </c>
      <c r="H434">
        <f>IFERROR(VLOOKUP(Logs_Reseau_Part56[[#This Row],[Cell_ID]],Registre_Maintenance_Part[[ID_Antenne]:[Colonne2]],3,FALSE),"")</f>
        <v>-10.776204</v>
      </c>
      <c r="I434">
        <f>IFERROR(VLOOKUP(Logs_Reseau_Part56[[#This Row],[Cell_ID]],Registre_Maintenance_Part[[ID_Antenne]:[Colonne2]],4,FALSE),"")</f>
        <v>24.672934000000001</v>
      </c>
      <c r="J434" t="str">
        <f>IFERROR(VLOOKUP(Logs_Reseau_Part56[[#This Row],[Cell_ID]],Registre_Maintenance_Part[[ID_Antenne]:[Colonne2]],5,FALSE),"")</f>
        <v>4G</v>
      </c>
      <c r="K434" t="str">
        <f>IFERROR(VLOOKUP(Logs_Reseau_Part56[[#This Row],[Cell_ID]],Registre_Maintenance_Part[[ID_Antenne]:[Colonne2]],6,FALSE),"")</f>
        <v>Ericsson</v>
      </c>
    </row>
    <row r="435" spans="1:11" x14ac:dyDescent="0.3">
      <c r="A435" s="1">
        <v>45210.168055555558</v>
      </c>
      <c r="B435" s="2">
        <v>45210.168055555558</v>
      </c>
      <c r="C435" t="s">
        <v>1076</v>
      </c>
      <c r="D435">
        <v>110</v>
      </c>
      <c r="E435">
        <f>Logs_Reseau_Part56[[#This Row],[Duree_Panne_Min]]/60</f>
        <v>1.8333333333333333</v>
      </c>
      <c r="F435" t="s">
        <v>734</v>
      </c>
      <c r="G435" t="str">
        <f>IFERROR(VLOOKUP(Logs_Reseau_Part56[[#This Row],[Cell_ID]],Registre_Maintenance_Part[[ID_Antenne]:[Colonne2]],2,FALSE),"")</f>
        <v>Tanganyika</v>
      </c>
      <c r="H435">
        <f>IFERROR(VLOOKUP(Logs_Reseau_Part56[[#This Row],[Cell_ID]],Registre_Maintenance_Part[[ID_Antenne]:[Colonne2]],3,FALSE),"")</f>
        <v>-9.9565739999999998</v>
      </c>
      <c r="I435">
        <f>IFERROR(VLOOKUP(Logs_Reseau_Part56[[#This Row],[Cell_ID]],Registre_Maintenance_Part[[ID_Antenne]:[Colonne2]],4,FALSE),"")</f>
        <v>21.017202000000001</v>
      </c>
      <c r="J435" t="str">
        <f>IFERROR(VLOOKUP(Logs_Reseau_Part56[[#This Row],[Cell_ID]],Registre_Maintenance_Part[[ID_Antenne]:[Colonne2]],5,FALSE),"")</f>
        <v>4G</v>
      </c>
      <c r="K435" t="str">
        <f>IFERROR(VLOOKUP(Logs_Reseau_Part56[[#This Row],[Cell_ID]],Registre_Maintenance_Part[[ID_Antenne]:[Colonne2]],6,FALSE),"")</f>
        <v>Huawei</v>
      </c>
    </row>
    <row r="436" spans="1:11" x14ac:dyDescent="0.3">
      <c r="A436" s="1">
        <v>45211.224305555559</v>
      </c>
      <c r="B436" s="2">
        <v>45211.224305555559</v>
      </c>
      <c r="C436" t="s">
        <v>764</v>
      </c>
      <c r="D436">
        <v>37</v>
      </c>
      <c r="E436">
        <f>Logs_Reseau_Part56[[#This Row],[Duree_Panne_Min]]/60</f>
        <v>0.6166666666666667</v>
      </c>
      <c r="F436" t="s">
        <v>734</v>
      </c>
      <c r="G436" t="str">
        <f>IFERROR(VLOOKUP(Logs_Reseau_Part56[[#This Row],[Cell_ID]],Registre_Maintenance_Part[[ID_Antenne]:[Colonne2]],2,FALSE),"")</f>
        <v>Tanganyika</v>
      </c>
      <c r="H436">
        <f>IFERROR(VLOOKUP(Logs_Reseau_Part56[[#This Row],[Cell_ID]],Registre_Maintenance_Part[[ID_Antenne]:[Colonne2]],3,FALSE),"")</f>
        <v>-2.4662510000000002</v>
      </c>
      <c r="I436">
        <f>IFERROR(VLOOKUP(Logs_Reseau_Part56[[#This Row],[Cell_ID]],Registre_Maintenance_Part[[ID_Antenne]:[Colonne2]],4,FALSE),"")</f>
        <v>18.007998000000001</v>
      </c>
      <c r="J436" t="str">
        <f>IFERROR(VLOOKUP(Logs_Reseau_Part56[[#This Row],[Cell_ID]],Registre_Maintenance_Part[[ID_Antenne]:[Colonne2]],5,FALSE),"")</f>
        <v>5G</v>
      </c>
      <c r="K436" t="str">
        <f>IFERROR(VLOOKUP(Logs_Reseau_Part56[[#This Row],[Cell_ID]],Registre_Maintenance_Part[[ID_Antenne]:[Colonne2]],6,FALSE),"")</f>
        <v>Ericsson</v>
      </c>
    </row>
    <row r="437" spans="1:11" x14ac:dyDescent="0.3">
      <c r="A437" s="1">
        <v>45212.140277777777</v>
      </c>
      <c r="B437" s="2">
        <v>45212.140277777777</v>
      </c>
      <c r="C437" t="s">
        <v>753</v>
      </c>
      <c r="D437">
        <v>19</v>
      </c>
      <c r="E437">
        <f>Logs_Reseau_Part56[[#This Row],[Duree_Panne_Min]]/60</f>
        <v>0.31666666666666665</v>
      </c>
      <c r="F437" t="s">
        <v>737</v>
      </c>
      <c r="G437" t="str">
        <f>IFERROR(VLOOKUP(Logs_Reseau_Part56[[#This Row],[Cell_ID]],Registre_Maintenance_Part[[ID_Antenne]:[Colonne2]],2,FALSE),"")</f>
        <v>Tanganyika</v>
      </c>
      <c r="H437">
        <f>IFERROR(VLOOKUP(Logs_Reseau_Part56[[#This Row],[Cell_ID]],Registre_Maintenance_Part[[ID_Antenne]:[Colonne2]],3,FALSE),"")</f>
        <v>-9.4708620000000003</v>
      </c>
      <c r="I437">
        <f>IFERROR(VLOOKUP(Logs_Reseau_Part56[[#This Row],[Cell_ID]],Registre_Maintenance_Part[[ID_Antenne]:[Colonne2]],4,FALSE),"")</f>
        <v>29.234387999999999</v>
      </c>
      <c r="J437" t="str">
        <f>IFERROR(VLOOKUP(Logs_Reseau_Part56[[#This Row],[Cell_ID]],Registre_Maintenance_Part[[ID_Antenne]:[Colonne2]],5,FALSE),"")</f>
        <v>3G</v>
      </c>
      <c r="K437" t="str">
        <f>IFERROR(VLOOKUP(Logs_Reseau_Part56[[#This Row],[Cell_ID]],Registre_Maintenance_Part[[ID_Antenne]:[Colonne2]],6,FALSE),"")</f>
        <v>ZTE</v>
      </c>
    </row>
    <row r="438" spans="1:11" x14ac:dyDescent="0.3">
      <c r="A438" s="1">
        <v>45214.43472222222</v>
      </c>
      <c r="B438" s="2">
        <v>45214.43472222222</v>
      </c>
      <c r="C438" t="s">
        <v>773</v>
      </c>
      <c r="D438">
        <v>61</v>
      </c>
      <c r="E438">
        <f>Logs_Reseau_Part56[[#This Row],[Duree_Panne_Min]]/60</f>
        <v>1.0166666666666666</v>
      </c>
      <c r="F438" t="s">
        <v>739</v>
      </c>
      <c r="G438" t="str">
        <f>IFERROR(VLOOKUP(Logs_Reseau_Part56[[#This Row],[Cell_ID]],Registre_Maintenance_Part[[ID_Antenne]:[Colonne2]],2,FALSE),"")</f>
        <v>Tanganyika</v>
      </c>
      <c r="H438">
        <f>IFERROR(VLOOKUP(Logs_Reseau_Part56[[#This Row],[Cell_ID]],Registre_Maintenance_Part[[ID_Antenne]:[Colonne2]],3,FALSE),"")</f>
        <v>-10.776204</v>
      </c>
      <c r="I438">
        <f>IFERROR(VLOOKUP(Logs_Reseau_Part56[[#This Row],[Cell_ID]],Registre_Maintenance_Part[[ID_Antenne]:[Colonne2]],4,FALSE),"")</f>
        <v>24.672934000000001</v>
      </c>
      <c r="J438" t="str">
        <f>IFERROR(VLOOKUP(Logs_Reseau_Part56[[#This Row],[Cell_ID]],Registre_Maintenance_Part[[ID_Antenne]:[Colonne2]],5,FALSE),"")</f>
        <v>4G</v>
      </c>
      <c r="K438" t="str">
        <f>IFERROR(VLOOKUP(Logs_Reseau_Part56[[#This Row],[Cell_ID]],Registre_Maintenance_Part[[ID_Antenne]:[Colonne2]],6,FALSE),"")</f>
        <v>Ericsson</v>
      </c>
    </row>
    <row r="439" spans="1:11" x14ac:dyDescent="0.3">
      <c r="A439" s="1">
        <v>45215.457638888889</v>
      </c>
      <c r="B439" s="2">
        <v>45215.457638888889</v>
      </c>
      <c r="C439" t="s">
        <v>1143</v>
      </c>
      <c r="D439">
        <v>100</v>
      </c>
      <c r="E439">
        <f>Logs_Reseau_Part56[[#This Row],[Duree_Panne_Min]]/60</f>
        <v>1.6666666666666667</v>
      </c>
      <c r="F439" t="s">
        <v>734</v>
      </c>
      <c r="G439" t="str">
        <f>IFERROR(VLOOKUP(Logs_Reseau_Part56[[#This Row],[Cell_ID]],Registre_Maintenance_Part[[ID_Antenne]:[Colonne2]],2,FALSE),"")</f>
        <v>Tanganyika</v>
      </c>
      <c r="H439">
        <f>IFERROR(VLOOKUP(Logs_Reseau_Part56[[#This Row],[Cell_ID]],Registre_Maintenance_Part[[ID_Antenne]:[Colonne2]],3,FALSE),"")</f>
        <v>-11.793894</v>
      </c>
      <c r="I439">
        <f>IFERROR(VLOOKUP(Logs_Reseau_Part56[[#This Row],[Cell_ID]],Registre_Maintenance_Part[[ID_Antenne]:[Colonne2]],4,FALSE),"")</f>
        <v>20.433340999999999</v>
      </c>
      <c r="J439" t="str">
        <f>IFERROR(VLOOKUP(Logs_Reseau_Part56[[#This Row],[Cell_ID]],Registre_Maintenance_Part[[ID_Antenne]:[Colonne2]],5,FALSE),"")</f>
        <v>5G</v>
      </c>
      <c r="K439" t="str">
        <f>IFERROR(VLOOKUP(Logs_Reseau_Part56[[#This Row],[Cell_ID]],Registre_Maintenance_Part[[ID_Antenne]:[Colonne2]],6,FALSE),"")</f>
        <v>Nokia</v>
      </c>
    </row>
    <row r="440" spans="1:11" x14ac:dyDescent="0.3">
      <c r="A440" s="1">
        <v>45220.724999999999</v>
      </c>
      <c r="B440" s="2">
        <v>45220.724999999999</v>
      </c>
      <c r="C440" t="s">
        <v>854</v>
      </c>
      <c r="D440">
        <v>28</v>
      </c>
      <c r="E440">
        <f>Logs_Reseau_Part56[[#This Row],[Duree_Panne_Min]]/60</f>
        <v>0.46666666666666667</v>
      </c>
      <c r="F440" t="s">
        <v>739</v>
      </c>
      <c r="G440" t="str">
        <f>IFERROR(VLOOKUP(Logs_Reseau_Part56[[#This Row],[Cell_ID]],Registre_Maintenance_Part[[ID_Antenne]:[Colonne2]],2,FALSE),"")</f>
        <v>Tanganyika</v>
      </c>
      <c r="H440">
        <f>IFERROR(VLOOKUP(Logs_Reseau_Part56[[#This Row],[Cell_ID]],Registre_Maintenance_Part[[ID_Antenne]:[Colonne2]],3,FALSE),"")</f>
        <v>-9.002459</v>
      </c>
      <c r="I440">
        <f>IFERROR(VLOOKUP(Logs_Reseau_Part56[[#This Row],[Cell_ID]],Registre_Maintenance_Part[[ID_Antenne]:[Colonne2]],4,FALSE),"")</f>
        <v>25.182109000000001</v>
      </c>
      <c r="J440" t="str">
        <f>IFERROR(VLOOKUP(Logs_Reseau_Part56[[#This Row],[Cell_ID]],Registre_Maintenance_Part[[ID_Antenne]:[Colonne2]],5,FALSE),"")</f>
        <v>5G</v>
      </c>
      <c r="K440" t="str">
        <f>IFERROR(VLOOKUP(Logs_Reseau_Part56[[#This Row],[Cell_ID]],Registre_Maintenance_Part[[ID_Antenne]:[Colonne2]],6,FALSE),"")</f>
        <v>Huawei</v>
      </c>
    </row>
    <row r="441" spans="1:11" x14ac:dyDescent="0.3">
      <c r="A441" s="1">
        <v>45221.717361111107</v>
      </c>
      <c r="B441" s="2">
        <v>45221.717361111107</v>
      </c>
      <c r="C441" t="s">
        <v>764</v>
      </c>
      <c r="D441">
        <v>14</v>
      </c>
      <c r="E441">
        <f>Logs_Reseau_Part56[[#This Row],[Duree_Panne_Min]]/60</f>
        <v>0.23333333333333334</v>
      </c>
      <c r="F441" t="s">
        <v>734</v>
      </c>
      <c r="G441" t="str">
        <f>IFERROR(VLOOKUP(Logs_Reseau_Part56[[#This Row],[Cell_ID]],Registre_Maintenance_Part[[ID_Antenne]:[Colonne2]],2,FALSE),"")</f>
        <v>Tanganyika</v>
      </c>
      <c r="H441">
        <f>IFERROR(VLOOKUP(Logs_Reseau_Part56[[#This Row],[Cell_ID]],Registre_Maintenance_Part[[ID_Antenne]:[Colonne2]],3,FALSE),"")</f>
        <v>-2.4662510000000002</v>
      </c>
      <c r="I441">
        <f>IFERROR(VLOOKUP(Logs_Reseau_Part56[[#This Row],[Cell_ID]],Registre_Maintenance_Part[[ID_Antenne]:[Colonne2]],4,FALSE),"")</f>
        <v>18.007998000000001</v>
      </c>
      <c r="J441" t="str">
        <f>IFERROR(VLOOKUP(Logs_Reseau_Part56[[#This Row],[Cell_ID]],Registre_Maintenance_Part[[ID_Antenne]:[Colonne2]],5,FALSE),"")</f>
        <v>5G</v>
      </c>
      <c r="K441" t="str">
        <f>IFERROR(VLOOKUP(Logs_Reseau_Part56[[#This Row],[Cell_ID]],Registre_Maintenance_Part[[ID_Antenne]:[Colonne2]],6,FALSE),"")</f>
        <v>Ericsson</v>
      </c>
    </row>
    <row r="442" spans="1:11" x14ac:dyDescent="0.3">
      <c r="A442" s="1">
        <v>45221.861805555563</v>
      </c>
      <c r="B442" s="2">
        <v>45221.861805555563</v>
      </c>
      <c r="C442" t="s">
        <v>787</v>
      </c>
      <c r="D442">
        <v>21</v>
      </c>
      <c r="E442">
        <f>Logs_Reseau_Part56[[#This Row],[Duree_Panne_Min]]/60</f>
        <v>0.35</v>
      </c>
      <c r="F442" t="s">
        <v>737</v>
      </c>
      <c r="G442" t="str">
        <f>IFERROR(VLOOKUP(Logs_Reseau_Part56[[#This Row],[Cell_ID]],Registre_Maintenance_Part[[ID_Antenne]:[Colonne2]],2,FALSE),"")</f>
        <v>Tanganyika</v>
      </c>
      <c r="H442">
        <f>IFERROR(VLOOKUP(Logs_Reseau_Part56[[#This Row],[Cell_ID]],Registre_Maintenance_Part[[ID_Antenne]:[Colonne2]],3,FALSE),"")</f>
        <v>-1.864393</v>
      </c>
      <c r="I442">
        <f>IFERROR(VLOOKUP(Logs_Reseau_Part56[[#This Row],[Cell_ID]],Registre_Maintenance_Part[[ID_Antenne]:[Colonne2]],4,FALSE),"")</f>
        <v>21.453434000000001</v>
      </c>
      <c r="J442" t="str">
        <f>IFERROR(VLOOKUP(Logs_Reseau_Part56[[#This Row],[Cell_ID]],Registre_Maintenance_Part[[ID_Antenne]:[Colonne2]],5,FALSE),"")</f>
        <v>5G</v>
      </c>
      <c r="K442" t="str">
        <f>IFERROR(VLOOKUP(Logs_Reseau_Part56[[#This Row],[Cell_ID]],Registre_Maintenance_Part[[ID_Antenne]:[Colonne2]],6,FALSE),"")</f>
        <v>Ericsson</v>
      </c>
    </row>
    <row r="443" spans="1:11" x14ac:dyDescent="0.3">
      <c r="A443" s="1">
        <v>45221.861805555563</v>
      </c>
      <c r="B443" s="2">
        <v>45221.861805555563</v>
      </c>
      <c r="C443" t="s">
        <v>1296</v>
      </c>
      <c r="D443">
        <v>65</v>
      </c>
      <c r="E443">
        <f>Logs_Reseau_Part56[[#This Row],[Duree_Panne_Min]]/60</f>
        <v>1.0833333333333333</v>
      </c>
      <c r="F443" t="s">
        <v>734</v>
      </c>
      <c r="G443" t="str">
        <f>IFERROR(VLOOKUP(Logs_Reseau_Part56[[#This Row],[Cell_ID]],Registre_Maintenance_Part[[ID_Antenne]:[Colonne2]],2,FALSE),"")</f>
        <v>Tanganyika</v>
      </c>
      <c r="H443">
        <f>IFERROR(VLOOKUP(Logs_Reseau_Part56[[#This Row],[Cell_ID]],Registre_Maintenance_Part[[ID_Antenne]:[Colonne2]],3,FALSE),"")</f>
        <v>-3.9148719999999999</v>
      </c>
      <c r="I443">
        <f>IFERROR(VLOOKUP(Logs_Reseau_Part56[[#This Row],[Cell_ID]],Registre_Maintenance_Part[[ID_Antenne]:[Colonne2]],4,FALSE),"")</f>
        <v>12.260933</v>
      </c>
      <c r="J443" t="str">
        <f>IFERROR(VLOOKUP(Logs_Reseau_Part56[[#This Row],[Cell_ID]],Registre_Maintenance_Part[[ID_Antenne]:[Colonne2]],5,FALSE),"")</f>
        <v>4G</v>
      </c>
      <c r="K443" t="str">
        <f>IFERROR(VLOOKUP(Logs_Reseau_Part56[[#This Row],[Cell_ID]],Registre_Maintenance_Part[[ID_Antenne]:[Colonne2]],6,FALSE),"")</f>
        <v>Ericsson</v>
      </c>
    </row>
    <row r="444" spans="1:11" x14ac:dyDescent="0.3">
      <c r="A444" s="1">
        <v>45224.104861111111</v>
      </c>
      <c r="B444" s="2">
        <v>45224.104861111111</v>
      </c>
      <c r="C444" t="s">
        <v>1355</v>
      </c>
      <c r="D444">
        <v>98</v>
      </c>
      <c r="E444">
        <f>Logs_Reseau_Part56[[#This Row],[Duree_Panne_Min]]/60</f>
        <v>1.6333333333333333</v>
      </c>
      <c r="F444" t="s">
        <v>739</v>
      </c>
      <c r="G444" t="str">
        <f>IFERROR(VLOOKUP(Logs_Reseau_Part56[[#This Row],[Cell_ID]],Registre_Maintenance_Part[[ID_Antenne]:[Colonne2]],2,FALSE),"")</f>
        <v>Tanganyika</v>
      </c>
      <c r="H444">
        <f>IFERROR(VLOOKUP(Logs_Reseau_Part56[[#This Row],[Cell_ID]],Registre_Maintenance_Part[[ID_Antenne]:[Colonne2]],3,FALSE),"")</f>
        <v>-7.0007840000000003</v>
      </c>
      <c r="I444">
        <f>IFERROR(VLOOKUP(Logs_Reseau_Part56[[#This Row],[Cell_ID]],Registre_Maintenance_Part[[ID_Antenne]:[Colonne2]],4,FALSE),"")</f>
        <v>22.787997000000001</v>
      </c>
      <c r="J444" t="str">
        <f>IFERROR(VLOOKUP(Logs_Reseau_Part56[[#This Row],[Cell_ID]],Registre_Maintenance_Part[[ID_Antenne]:[Colonne2]],5,FALSE),"")</f>
        <v>5G</v>
      </c>
      <c r="K444" t="str">
        <f>IFERROR(VLOOKUP(Logs_Reseau_Part56[[#This Row],[Cell_ID]],Registre_Maintenance_Part[[ID_Antenne]:[Colonne2]],6,FALSE),"")</f>
        <v>ZTE</v>
      </c>
    </row>
    <row r="445" spans="1:11" x14ac:dyDescent="0.3">
      <c r="A445" s="1">
        <v>45225.781944444447</v>
      </c>
      <c r="B445" s="2">
        <v>45225.781944444447</v>
      </c>
      <c r="C445" t="s">
        <v>1179</v>
      </c>
      <c r="D445">
        <v>113</v>
      </c>
      <c r="E445">
        <f>Logs_Reseau_Part56[[#This Row],[Duree_Panne_Min]]/60</f>
        <v>1.8833333333333333</v>
      </c>
      <c r="F445" t="s">
        <v>737</v>
      </c>
      <c r="G445" t="str">
        <f>IFERROR(VLOOKUP(Logs_Reseau_Part56[[#This Row],[Cell_ID]],Registre_Maintenance_Part[[ID_Antenne]:[Colonne2]],2,FALSE),"")</f>
        <v>Tanganyika</v>
      </c>
      <c r="H445">
        <f>IFERROR(VLOOKUP(Logs_Reseau_Part56[[#This Row],[Cell_ID]],Registre_Maintenance_Part[[ID_Antenne]:[Colonne2]],3,FALSE),"")</f>
        <v>-7.9425049999999997</v>
      </c>
      <c r="I445">
        <f>IFERROR(VLOOKUP(Logs_Reseau_Part56[[#This Row],[Cell_ID]],Registre_Maintenance_Part[[ID_Antenne]:[Colonne2]],4,FALSE),"")</f>
        <v>24.111059000000001</v>
      </c>
      <c r="J445" t="str">
        <f>IFERROR(VLOOKUP(Logs_Reseau_Part56[[#This Row],[Cell_ID]],Registre_Maintenance_Part[[ID_Antenne]:[Colonne2]],5,FALSE),"")</f>
        <v>3G</v>
      </c>
      <c r="K445" t="str">
        <f>IFERROR(VLOOKUP(Logs_Reseau_Part56[[#This Row],[Cell_ID]],Registre_Maintenance_Part[[ID_Antenne]:[Colonne2]],6,FALSE),"")</f>
        <v>ZTE</v>
      </c>
    </row>
    <row r="446" spans="1:11" x14ac:dyDescent="0.3">
      <c r="A446" s="1">
        <v>45225.965277777781</v>
      </c>
      <c r="B446" s="2">
        <v>45225.965277777781</v>
      </c>
      <c r="C446" t="s">
        <v>854</v>
      </c>
      <c r="D446">
        <v>36</v>
      </c>
      <c r="E446">
        <f>Logs_Reseau_Part56[[#This Row],[Duree_Panne_Min]]/60</f>
        <v>0.6</v>
      </c>
      <c r="F446" t="s">
        <v>734</v>
      </c>
      <c r="G446" t="str">
        <f>IFERROR(VLOOKUP(Logs_Reseau_Part56[[#This Row],[Cell_ID]],Registre_Maintenance_Part[[ID_Antenne]:[Colonne2]],2,FALSE),"")</f>
        <v>Tanganyika</v>
      </c>
      <c r="H446">
        <f>IFERROR(VLOOKUP(Logs_Reseau_Part56[[#This Row],[Cell_ID]],Registre_Maintenance_Part[[ID_Antenne]:[Colonne2]],3,FALSE),"")</f>
        <v>-9.002459</v>
      </c>
      <c r="I446">
        <f>IFERROR(VLOOKUP(Logs_Reseau_Part56[[#This Row],[Cell_ID]],Registre_Maintenance_Part[[ID_Antenne]:[Colonne2]],4,FALSE),"")</f>
        <v>25.182109000000001</v>
      </c>
      <c r="J446" t="str">
        <f>IFERROR(VLOOKUP(Logs_Reseau_Part56[[#This Row],[Cell_ID]],Registre_Maintenance_Part[[ID_Antenne]:[Colonne2]],5,FALSE),"")</f>
        <v>5G</v>
      </c>
      <c r="K446" t="str">
        <f>IFERROR(VLOOKUP(Logs_Reseau_Part56[[#This Row],[Cell_ID]],Registre_Maintenance_Part[[ID_Antenne]:[Colonne2]],6,FALSE),"")</f>
        <v>Huawei</v>
      </c>
    </row>
    <row r="447" spans="1:11" x14ac:dyDescent="0.3">
      <c r="A447" s="1">
        <v>45228.791666666657</v>
      </c>
      <c r="B447" s="2">
        <v>45228.791666666657</v>
      </c>
      <c r="C447" t="s">
        <v>733</v>
      </c>
      <c r="D447">
        <v>63</v>
      </c>
      <c r="E447">
        <f>Logs_Reseau_Part56[[#This Row],[Duree_Panne_Min]]/60</f>
        <v>1.05</v>
      </c>
      <c r="F447" t="s">
        <v>734</v>
      </c>
      <c r="G447" t="str">
        <f>IFERROR(VLOOKUP(Logs_Reseau_Part56[[#This Row],[Cell_ID]],Registre_Maintenance_Part[[ID_Antenne]:[Colonne2]],2,FALSE),"")</f>
        <v>Tanganyika</v>
      </c>
      <c r="H447">
        <f>IFERROR(VLOOKUP(Logs_Reseau_Part56[[#This Row],[Cell_ID]],Registre_Maintenance_Part[[ID_Antenne]:[Colonne2]],3,FALSE),"")</f>
        <v>-11.144149000000001</v>
      </c>
      <c r="I447">
        <f>IFERROR(VLOOKUP(Logs_Reseau_Part56[[#This Row],[Cell_ID]],Registre_Maintenance_Part[[ID_Antenne]:[Colonne2]],4,FALSE),"")</f>
        <v>27.244658999999999</v>
      </c>
      <c r="J447" t="str">
        <f>IFERROR(VLOOKUP(Logs_Reseau_Part56[[#This Row],[Cell_ID]],Registre_Maintenance_Part[[ID_Antenne]:[Colonne2]],5,FALSE),"")</f>
        <v>4G</v>
      </c>
      <c r="K447" t="str">
        <f>IFERROR(VLOOKUP(Logs_Reseau_Part56[[#This Row],[Cell_ID]],Registre_Maintenance_Part[[ID_Antenne]:[Colonne2]],6,FALSE),"")</f>
        <v>Nokia</v>
      </c>
    </row>
    <row r="448" spans="1:11" x14ac:dyDescent="0.3">
      <c r="A448" s="1">
        <v>45228.853472222218</v>
      </c>
      <c r="B448" s="2">
        <v>45228.853472222218</v>
      </c>
      <c r="C448" t="s">
        <v>773</v>
      </c>
      <c r="D448">
        <v>42</v>
      </c>
      <c r="E448">
        <f>Logs_Reseau_Part56[[#This Row],[Duree_Panne_Min]]/60</f>
        <v>0.7</v>
      </c>
      <c r="F448" t="s">
        <v>734</v>
      </c>
      <c r="G448" t="str">
        <f>IFERROR(VLOOKUP(Logs_Reseau_Part56[[#This Row],[Cell_ID]],Registre_Maintenance_Part[[ID_Antenne]:[Colonne2]],2,FALSE),"")</f>
        <v>Tanganyika</v>
      </c>
      <c r="H448">
        <f>IFERROR(VLOOKUP(Logs_Reseau_Part56[[#This Row],[Cell_ID]],Registre_Maintenance_Part[[ID_Antenne]:[Colonne2]],3,FALSE),"")</f>
        <v>-10.776204</v>
      </c>
      <c r="I448">
        <f>IFERROR(VLOOKUP(Logs_Reseau_Part56[[#This Row],[Cell_ID]],Registre_Maintenance_Part[[ID_Antenne]:[Colonne2]],4,FALSE),"")</f>
        <v>24.672934000000001</v>
      </c>
      <c r="J448" t="str">
        <f>IFERROR(VLOOKUP(Logs_Reseau_Part56[[#This Row],[Cell_ID]],Registre_Maintenance_Part[[ID_Antenne]:[Colonne2]],5,FALSE),"")</f>
        <v>4G</v>
      </c>
      <c r="K448" t="str">
        <f>IFERROR(VLOOKUP(Logs_Reseau_Part56[[#This Row],[Cell_ID]],Registre_Maintenance_Part[[ID_Antenne]:[Colonne2]],6,FALSE),"")</f>
        <v>Ericsson</v>
      </c>
    </row>
    <row r="449" spans="1:11" x14ac:dyDescent="0.3">
      <c r="A449" s="1">
        <v>45202.699305555558</v>
      </c>
      <c r="B449" s="2">
        <v>45202.699305555558</v>
      </c>
      <c r="C449" t="s">
        <v>1198</v>
      </c>
      <c r="D449">
        <v>63</v>
      </c>
      <c r="E449">
        <f>Logs_Reseau_Part56[[#This Row],[Duree_Panne_Min]]/60</f>
        <v>1.05</v>
      </c>
      <c r="F449" t="s">
        <v>737</v>
      </c>
      <c r="G449" t="str">
        <f>IFERROR(VLOOKUP(Logs_Reseau_Part56[[#This Row],[Cell_ID]],Registre_Maintenance_Part[[ID_Antenne]:[Colonne2]],2,FALSE),"")</f>
        <v>Tshopo</v>
      </c>
      <c r="H449">
        <f>IFERROR(VLOOKUP(Logs_Reseau_Part56[[#This Row],[Cell_ID]],Registre_Maintenance_Part[[ID_Antenne]:[Colonne2]],3,FALSE),"")</f>
        <v>1.400674</v>
      </c>
      <c r="I449">
        <f>IFERROR(VLOOKUP(Logs_Reseau_Part56[[#This Row],[Cell_ID]],Registre_Maintenance_Part[[ID_Antenne]:[Colonne2]],4,FALSE),"")</f>
        <v>13.503126999999999</v>
      </c>
      <c r="J449" t="str">
        <f>IFERROR(VLOOKUP(Logs_Reseau_Part56[[#This Row],[Cell_ID]],Registre_Maintenance_Part[[ID_Antenne]:[Colonne2]],5,FALSE),"")</f>
        <v>5G</v>
      </c>
      <c r="K449" t="str">
        <f>IFERROR(VLOOKUP(Logs_Reseau_Part56[[#This Row],[Cell_ID]],Registre_Maintenance_Part[[ID_Antenne]:[Colonne2]],6,FALSE),"")</f>
        <v>ZTE</v>
      </c>
    </row>
    <row r="450" spans="1:11" x14ac:dyDescent="0.3">
      <c r="A450" s="1">
        <v>45203.22152777778</v>
      </c>
      <c r="B450" s="2">
        <v>45203.22152777778</v>
      </c>
      <c r="C450" t="s">
        <v>887</v>
      </c>
      <c r="D450">
        <v>101</v>
      </c>
      <c r="E450">
        <f>Logs_Reseau_Part56[[#This Row],[Duree_Panne_Min]]/60</f>
        <v>1.6833333333333333</v>
      </c>
      <c r="F450" t="s">
        <v>734</v>
      </c>
      <c r="G450" t="str">
        <f>IFERROR(VLOOKUP(Logs_Reseau_Part56[[#This Row],[Cell_ID]],Registre_Maintenance_Part[[ID_Antenne]:[Colonne2]],2,FALSE),"")</f>
        <v>Tshopo</v>
      </c>
      <c r="H450">
        <f>IFERROR(VLOOKUP(Logs_Reseau_Part56[[#This Row],[Cell_ID]],Registre_Maintenance_Part[[ID_Antenne]:[Colonne2]],3,FALSE),"")</f>
        <v>3.0603760000000002</v>
      </c>
      <c r="I450">
        <f>IFERROR(VLOOKUP(Logs_Reseau_Part56[[#This Row],[Cell_ID]],Registre_Maintenance_Part[[ID_Antenne]:[Colonne2]],4,FALSE),"")</f>
        <v>19.708034000000001</v>
      </c>
      <c r="J450" t="str">
        <f>IFERROR(VLOOKUP(Logs_Reseau_Part56[[#This Row],[Cell_ID]],Registre_Maintenance_Part[[ID_Antenne]:[Colonne2]],5,FALSE),"")</f>
        <v>3G</v>
      </c>
      <c r="K450" t="str">
        <f>IFERROR(VLOOKUP(Logs_Reseau_Part56[[#This Row],[Cell_ID]],Registre_Maintenance_Part[[ID_Antenne]:[Colonne2]],6,FALSE),"")</f>
        <v>ZTE</v>
      </c>
    </row>
    <row r="451" spans="1:11" x14ac:dyDescent="0.3">
      <c r="A451" s="1">
        <v>45203.511805555558</v>
      </c>
      <c r="B451" s="2">
        <v>45203.511805555558</v>
      </c>
      <c r="C451" t="s">
        <v>762</v>
      </c>
      <c r="D451">
        <v>64</v>
      </c>
      <c r="E451">
        <f>Logs_Reseau_Part56[[#This Row],[Duree_Panne_Min]]/60</f>
        <v>1.0666666666666667</v>
      </c>
      <c r="F451" t="s">
        <v>739</v>
      </c>
      <c r="G451" t="str">
        <f>IFERROR(VLOOKUP(Logs_Reseau_Part56[[#This Row],[Cell_ID]],Registre_Maintenance_Part[[ID_Antenne]:[Colonne2]],2,FALSE),"")</f>
        <v>Tshopo</v>
      </c>
      <c r="H451">
        <f>IFERROR(VLOOKUP(Logs_Reseau_Part56[[#This Row],[Cell_ID]],Registre_Maintenance_Part[[ID_Antenne]:[Colonne2]],3,FALSE),"")</f>
        <v>0.23583499999999999</v>
      </c>
      <c r="I451">
        <f>IFERROR(VLOOKUP(Logs_Reseau_Part56[[#This Row],[Cell_ID]],Registre_Maintenance_Part[[ID_Antenne]:[Colonne2]],4,FALSE),"")</f>
        <v>24.889558999999998</v>
      </c>
      <c r="J451" t="str">
        <f>IFERROR(VLOOKUP(Logs_Reseau_Part56[[#This Row],[Cell_ID]],Registre_Maintenance_Part[[ID_Antenne]:[Colonne2]],5,FALSE),"")</f>
        <v>3G</v>
      </c>
      <c r="K451" t="str">
        <f>IFERROR(VLOOKUP(Logs_Reseau_Part56[[#This Row],[Cell_ID]],Registre_Maintenance_Part[[ID_Antenne]:[Colonne2]],6,FALSE),"")</f>
        <v>ZTE</v>
      </c>
    </row>
    <row r="452" spans="1:11" x14ac:dyDescent="0.3">
      <c r="A452" s="1">
        <v>45208.957638888889</v>
      </c>
      <c r="B452" s="2">
        <v>45208.957638888889</v>
      </c>
      <c r="C452" t="s">
        <v>766</v>
      </c>
      <c r="D452">
        <v>115</v>
      </c>
      <c r="E452">
        <f>Logs_Reseau_Part56[[#This Row],[Duree_Panne_Min]]/60</f>
        <v>1.9166666666666667</v>
      </c>
      <c r="F452" t="s">
        <v>734</v>
      </c>
      <c r="G452" t="str">
        <f>IFERROR(VLOOKUP(Logs_Reseau_Part56[[#This Row],[Cell_ID]],Registre_Maintenance_Part[[ID_Antenne]:[Colonne2]],2,FALSE),"")</f>
        <v>Tshopo</v>
      </c>
      <c r="H452">
        <f>IFERROR(VLOOKUP(Logs_Reseau_Part56[[#This Row],[Cell_ID]],Registre_Maintenance_Part[[ID_Antenne]:[Colonne2]],3,FALSE),"")</f>
        <v>-6.1837850000000003</v>
      </c>
      <c r="I452">
        <f>IFERROR(VLOOKUP(Logs_Reseau_Part56[[#This Row],[Cell_ID]],Registre_Maintenance_Part[[ID_Antenne]:[Colonne2]],4,FALSE),"")</f>
        <v>25.138759</v>
      </c>
      <c r="J452" t="str">
        <f>IFERROR(VLOOKUP(Logs_Reseau_Part56[[#This Row],[Cell_ID]],Registre_Maintenance_Part[[ID_Antenne]:[Colonne2]],5,FALSE),"")</f>
        <v>3G</v>
      </c>
      <c r="K452" t="str">
        <f>IFERROR(VLOOKUP(Logs_Reseau_Part56[[#This Row],[Cell_ID]],Registre_Maintenance_Part[[ID_Antenne]:[Colonne2]],6,FALSE),"")</f>
        <v>Ericsson</v>
      </c>
    </row>
    <row r="453" spans="1:11" x14ac:dyDescent="0.3">
      <c r="A453" s="1">
        <v>45211.425000000003</v>
      </c>
      <c r="B453" s="2">
        <v>45211.425000000003</v>
      </c>
      <c r="C453" t="s">
        <v>900</v>
      </c>
      <c r="D453">
        <v>57</v>
      </c>
      <c r="E453">
        <f>Logs_Reseau_Part56[[#This Row],[Duree_Panne_Min]]/60</f>
        <v>0.95</v>
      </c>
      <c r="F453" t="s">
        <v>737</v>
      </c>
      <c r="G453" t="str">
        <f>IFERROR(VLOOKUP(Logs_Reseau_Part56[[#This Row],[Cell_ID]],Registre_Maintenance_Part[[ID_Antenne]:[Colonne2]],2,FALSE),"")</f>
        <v>Tshopo</v>
      </c>
      <c r="H453">
        <f>IFERROR(VLOOKUP(Logs_Reseau_Part56[[#This Row],[Cell_ID]],Registre_Maintenance_Part[[ID_Antenne]:[Colonne2]],3,FALSE),"")</f>
        <v>-4.5603610000000003</v>
      </c>
      <c r="I453">
        <f>IFERROR(VLOOKUP(Logs_Reseau_Part56[[#This Row],[Cell_ID]],Registre_Maintenance_Part[[ID_Antenne]:[Colonne2]],4,FALSE),"")</f>
        <v>24.113918999999999</v>
      </c>
      <c r="J453" t="str">
        <f>IFERROR(VLOOKUP(Logs_Reseau_Part56[[#This Row],[Cell_ID]],Registre_Maintenance_Part[[ID_Antenne]:[Colonne2]],5,FALSE),"")</f>
        <v>5G</v>
      </c>
      <c r="K453" t="str">
        <f>IFERROR(VLOOKUP(Logs_Reseau_Part56[[#This Row],[Cell_ID]],Registre_Maintenance_Part[[ID_Antenne]:[Colonne2]],6,FALSE),"")</f>
        <v>ZTE</v>
      </c>
    </row>
    <row r="454" spans="1:11" x14ac:dyDescent="0.3">
      <c r="A454" s="1">
        <v>45215.580555555563</v>
      </c>
      <c r="B454" s="2">
        <v>45215.580555555563</v>
      </c>
      <c r="C454" t="s">
        <v>964</v>
      </c>
      <c r="D454">
        <v>102</v>
      </c>
      <c r="E454">
        <f>Logs_Reseau_Part56[[#This Row],[Duree_Panne_Min]]/60</f>
        <v>1.7</v>
      </c>
      <c r="F454" t="s">
        <v>739</v>
      </c>
      <c r="G454" t="str">
        <f>IFERROR(VLOOKUP(Logs_Reseau_Part56[[#This Row],[Cell_ID]],Registre_Maintenance_Part[[ID_Antenne]:[Colonne2]],2,FALSE),"")</f>
        <v>Tshopo</v>
      </c>
      <c r="H454">
        <f>IFERROR(VLOOKUP(Logs_Reseau_Part56[[#This Row],[Cell_ID]],Registre_Maintenance_Part[[ID_Antenne]:[Colonne2]],3,FALSE),"")</f>
        <v>2.4425979999999998</v>
      </c>
      <c r="I454">
        <f>IFERROR(VLOOKUP(Logs_Reseau_Part56[[#This Row],[Cell_ID]],Registre_Maintenance_Part[[ID_Antenne]:[Colonne2]],4,FALSE),"")</f>
        <v>24.924308</v>
      </c>
      <c r="J454" t="str">
        <f>IFERROR(VLOOKUP(Logs_Reseau_Part56[[#This Row],[Cell_ID]],Registre_Maintenance_Part[[ID_Antenne]:[Colonne2]],5,FALSE),"")</f>
        <v>5G</v>
      </c>
      <c r="K454" t="str">
        <f>IFERROR(VLOOKUP(Logs_Reseau_Part56[[#This Row],[Cell_ID]],Registre_Maintenance_Part[[ID_Antenne]:[Colonne2]],6,FALSE),"")</f>
        <v>Ericsson</v>
      </c>
    </row>
    <row r="455" spans="1:11" x14ac:dyDescent="0.3">
      <c r="A455" s="1">
        <v>45220.15902777778</v>
      </c>
      <c r="B455" s="2">
        <v>45220.15902777778</v>
      </c>
      <c r="C455" t="s">
        <v>1075</v>
      </c>
      <c r="D455">
        <v>60</v>
      </c>
      <c r="E455">
        <f>Logs_Reseau_Part56[[#This Row],[Duree_Panne_Min]]/60</f>
        <v>1</v>
      </c>
      <c r="F455" t="s">
        <v>739</v>
      </c>
      <c r="G455" t="str">
        <f>IFERROR(VLOOKUP(Logs_Reseau_Part56[[#This Row],[Cell_ID]],Registre_Maintenance_Part[[ID_Antenne]:[Colonne2]],2,FALSE),"")</f>
        <v>Tshopo</v>
      </c>
      <c r="H455">
        <f>IFERROR(VLOOKUP(Logs_Reseau_Part56[[#This Row],[Cell_ID]],Registre_Maintenance_Part[[ID_Antenne]:[Colonne2]],3,FALSE),"")</f>
        <v>-9.4133639999999996</v>
      </c>
      <c r="I455">
        <f>IFERROR(VLOOKUP(Logs_Reseau_Part56[[#This Row],[Cell_ID]],Registre_Maintenance_Part[[ID_Antenne]:[Colonne2]],4,FALSE),"")</f>
        <v>15.682482</v>
      </c>
      <c r="J455" t="str">
        <f>IFERROR(VLOOKUP(Logs_Reseau_Part56[[#This Row],[Cell_ID]],Registre_Maintenance_Part[[ID_Antenne]:[Colonne2]],5,FALSE),"")</f>
        <v>4G</v>
      </c>
      <c r="K455" t="str">
        <f>IFERROR(VLOOKUP(Logs_Reseau_Part56[[#This Row],[Cell_ID]],Registre_Maintenance_Part[[ID_Antenne]:[Colonne2]],6,FALSE),"")</f>
        <v>Huawei</v>
      </c>
    </row>
    <row r="456" spans="1:11" x14ac:dyDescent="0.3">
      <c r="A456" s="1">
        <v>45220.677083333343</v>
      </c>
      <c r="B456" s="2">
        <v>45220.677083333343</v>
      </c>
      <c r="C456" t="s">
        <v>1305</v>
      </c>
      <c r="D456">
        <v>107</v>
      </c>
      <c r="E456">
        <f>Logs_Reseau_Part56[[#This Row],[Duree_Panne_Min]]/60</f>
        <v>1.7833333333333334</v>
      </c>
      <c r="F456" t="s">
        <v>739</v>
      </c>
      <c r="G456" t="str">
        <f>IFERROR(VLOOKUP(Logs_Reseau_Part56[[#This Row],[Cell_ID]],Registre_Maintenance_Part[[ID_Antenne]:[Colonne2]],2,FALSE),"")</f>
        <v>Tshopo</v>
      </c>
      <c r="H456">
        <f>IFERROR(VLOOKUP(Logs_Reseau_Part56[[#This Row],[Cell_ID]],Registre_Maintenance_Part[[ID_Antenne]:[Colonne2]],3,FALSE),"")</f>
        <v>-6.4670189999999996</v>
      </c>
      <c r="I456">
        <f>IFERROR(VLOOKUP(Logs_Reseau_Part56[[#This Row],[Cell_ID]],Registre_Maintenance_Part[[ID_Antenne]:[Colonne2]],4,FALSE),"")</f>
        <v>29.487309</v>
      </c>
      <c r="J456" t="str">
        <f>IFERROR(VLOOKUP(Logs_Reseau_Part56[[#This Row],[Cell_ID]],Registre_Maintenance_Part[[ID_Antenne]:[Colonne2]],5,FALSE),"")</f>
        <v>4G</v>
      </c>
      <c r="K456" t="str">
        <f>IFERROR(VLOOKUP(Logs_Reseau_Part56[[#This Row],[Cell_ID]],Registre_Maintenance_Part[[ID_Antenne]:[Colonne2]],6,FALSE),"")</f>
        <v>ZTE</v>
      </c>
    </row>
    <row r="457" spans="1:11" x14ac:dyDescent="0.3">
      <c r="A457" s="1">
        <v>45221.388194444437</v>
      </c>
      <c r="B457" s="2">
        <v>45221.388194444437</v>
      </c>
      <c r="C457" t="s">
        <v>1329</v>
      </c>
      <c r="D457">
        <v>64</v>
      </c>
      <c r="E457">
        <f>Logs_Reseau_Part56[[#This Row],[Duree_Panne_Min]]/60</f>
        <v>1.0666666666666667</v>
      </c>
      <c r="F457" t="s">
        <v>737</v>
      </c>
      <c r="G457" t="str">
        <f>IFERROR(VLOOKUP(Logs_Reseau_Part56[[#This Row],[Cell_ID]],Registre_Maintenance_Part[[ID_Antenne]:[Colonne2]],2,FALSE),"")</f>
        <v>Tshopo</v>
      </c>
      <c r="H457">
        <f>IFERROR(VLOOKUP(Logs_Reseau_Part56[[#This Row],[Cell_ID]],Registre_Maintenance_Part[[ID_Antenne]:[Colonne2]],3,FALSE),"")</f>
        <v>-12.070842000000001</v>
      </c>
      <c r="I457">
        <f>IFERROR(VLOOKUP(Logs_Reseau_Part56[[#This Row],[Cell_ID]],Registre_Maintenance_Part[[ID_Antenne]:[Colonne2]],4,FALSE),"")</f>
        <v>14.757847</v>
      </c>
      <c r="J457" t="str">
        <f>IFERROR(VLOOKUP(Logs_Reseau_Part56[[#This Row],[Cell_ID]],Registre_Maintenance_Part[[ID_Antenne]:[Colonne2]],5,FALSE),"")</f>
        <v>4G</v>
      </c>
      <c r="K457" t="str">
        <f>IFERROR(VLOOKUP(Logs_Reseau_Part56[[#This Row],[Cell_ID]],Registre_Maintenance_Part[[ID_Antenne]:[Colonne2]],6,FALSE),"")</f>
        <v>ZTE</v>
      </c>
    </row>
    <row r="458" spans="1:11" x14ac:dyDescent="0.3">
      <c r="A458" s="1">
        <v>45221.565972222219</v>
      </c>
      <c r="B458" s="2">
        <v>45221.565972222219</v>
      </c>
      <c r="C458" t="s">
        <v>1168</v>
      </c>
      <c r="D458">
        <v>87</v>
      </c>
      <c r="E458">
        <f>Logs_Reseau_Part56[[#This Row],[Duree_Panne_Min]]/60</f>
        <v>1.45</v>
      </c>
      <c r="F458" t="s">
        <v>737</v>
      </c>
      <c r="G458" t="str">
        <f>IFERROR(VLOOKUP(Logs_Reseau_Part56[[#This Row],[Cell_ID]],Registre_Maintenance_Part[[ID_Antenne]:[Colonne2]],2,FALSE),"")</f>
        <v>Tshopo</v>
      </c>
      <c r="H458">
        <f>IFERROR(VLOOKUP(Logs_Reseau_Part56[[#This Row],[Cell_ID]],Registre_Maintenance_Part[[ID_Antenne]:[Colonne2]],3,FALSE),"")</f>
        <v>4.7777349999999998</v>
      </c>
      <c r="I458">
        <f>IFERROR(VLOOKUP(Logs_Reseau_Part56[[#This Row],[Cell_ID]],Registre_Maintenance_Part[[ID_Antenne]:[Colonne2]],4,FALSE),"")</f>
        <v>16.392204</v>
      </c>
      <c r="J458" t="str">
        <f>IFERROR(VLOOKUP(Logs_Reseau_Part56[[#This Row],[Cell_ID]],Registre_Maintenance_Part[[ID_Antenne]:[Colonne2]],5,FALSE),"")</f>
        <v>5G</v>
      </c>
      <c r="K458" t="str">
        <f>IFERROR(VLOOKUP(Logs_Reseau_Part56[[#This Row],[Cell_ID]],Registre_Maintenance_Part[[ID_Antenne]:[Colonne2]],6,FALSE),"")</f>
        <v>ZTE</v>
      </c>
    </row>
    <row r="459" spans="1:11" x14ac:dyDescent="0.3">
      <c r="A459" s="1">
        <v>45224.115277777782</v>
      </c>
      <c r="B459" s="2">
        <v>45224.115277777782</v>
      </c>
      <c r="C459" t="s">
        <v>1216</v>
      </c>
      <c r="D459">
        <v>45</v>
      </c>
      <c r="E459">
        <f>Logs_Reseau_Part56[[#This Row],[Duree_Panne_Min]]/60</f>
        <v>0.75</v>
      </c>
      <c r="F459" t="s">
        <v>737</v>
      </c>
      <c r="G459" t="str">
        <f>IFERROR(VLOOKUP(Logs_Reseau_Part56[[#This Row],[Cell_ID]],Registre_Maintenance_Part[[ID_Antenne]:[Colonne2]],2,FALSE),"")</f>
        <v>Tshopo</v>
      </c>
      <c r="H459">
        <f>IFERROR(VLOOKUP(Logs_Reseau_Part56[[#This Row],[Cell_ID]],Registre_Maintenance_Part[[ID_Antenne]:[Colonne2]],3,FALSE),"")</f>
        <v>-11.265995</v>
      </c>
      <c r="I459">
        <f>IFERROR(VLOOKUP(Logs_Reseau_Part56[[#This Row],[Cell_ID]],Registre_Maintenance_Part[[ID_Antenne]:[Colonne2]],4,FALSE),"")</f>
        <v>28.935514999999999</v>
      </c>
      <c r="J459" t="str">
        <f>IFERROR(VLOOKUP(Logs_Reseau_Part56[[#This Row],[Cell_ID]],Registre_Maintenance_Part[[ID_Antenne]:[Colonne2]],5,FALSE),"")</f>
        <v>4G</v>
      </c>
      <c r="K459" t="str">
        <f>IFERROR(VLOOKUP(Logs_Reseau_Part56[[#This Row],[Cell_ID]],Registre_Maintenance_Part[[ID_Antenne]:[Colonne2]],6,FALSE),"")</f>
        <v>Ericsson</v>
      </c>
    </row>
    <row r="460" spans="1:11" x14ac:dyDescent="0.3">
      <c r="A460" s="1">
        <v>45226.969444444447</v>
      </c>
      <c r="B460" s="2">
        <v>45226.969444444447</v>
      </c>
      <c r="C460" t="s">
        <v>887</v>
      </c>
      <c r="D460">
        <v>68</v>
      </c>
      <c r="E460">
        <f>Logs_Reseau_Part56[[#This Row],[Duree_Panne_Min]]/60</f>
        <v>1.1333333333333333</v>
      </c>
      <c r="F460" t="s">
        <v>734</v>
      </c>
      <c r="G460" t="str">
        <f>IFERROR(VLOOKUP(Logs_Reseau_Part56[[#This Row],[Cell_ID]],Registre_Maintenance_Part[[ID_Antenne]:[Colonne2]],2,FALSE),"")</f>
        <v>Tshopo</v>
      </c>
      <c r="H460">
        <f>IFERROR(VLOOKUP(Logs_Reseau_Part56[[#This Row],[Cell_ID]],Registre_Maintenance_Part[[ID_Antenne]:[Colonne2]],3,FALSE),"")</f>
        <v>3.0603760000000002</v>
      </c>
      <c r="I460">
        <f>IFERROR(VLOOKUP(Logs_Reseau_Part56[[#This Row],[Cell_ID]],Registre_Maintenance_Part[[ID_Antenne]:[Colonne2]],4,FALSE),"")</f>
        <v>19.708034000000001</v>
      </c>
      <c r="J460" t="str">
        <f>IFERROR(VLOOKUP(Logs_Reseau_Part56[[#This Row],[Cell_ID]],Registre_Maintenance_Part[[ID_Antenne]:[Colonne2]],5,FALSE),"")</f>
        <v>3G</v>
      </c>
      <c r="K460" t="str">
        <f>IFERROR(VLOOKUP(Logs_Reseau_Part56[[#This Row],[Cell_ID]],Registre_Maintenance_Part[[ID_Antenne]:[Colonne2]],6,FALSE),"")</f>
        <v>ZTE</v>
      </c>
    </row>
    <row r="461" spans="1:11" x14ac:dyDescent="0.3">
      <c r="A461" s="1">
        <v>45227.144444444442</v>
      </c>
      <c r="B461" s="2">
        <v>45227.144444444442</v>
      </c>
      <c r="C461" t="s">
        <v>964</v>
      </c>
      <c r="D461">
        <v>11</v>
      </c>
      <c r="E461">
        <f>Logs_Reseau_Part56[[#This Row],[Duree_Panne_Min]]/60</f>
        <v>0.18333333333333332</v>
      </c>
      <c r="F461" t="s">
        <v>737</v>
      </c>
      <c r="G461" t="str">
        <f>IFERROR(VLOOKUP(Logs_Reseau_Part56[[#This Row],[Cell_ID]],Registre_Maintenance_Part[[ID_Antenne]:[Colonne2]],2,FALSE),"")</f>
        <v>Tshopo</v>
      </c>
      <c r="H461">
        <f>IFERROR(VLOOKUP(Logs_Reseau_Part56[[#This Row],[Cell_ID]],Registre_Maintenance_Part[[ID_Antenne]:[Colonne2]],3,FALSE),"")</f>
        <v>2.4425979999999998</v>
      </c>
      <c r="I461">
        <f>IFERROR(VLOOKUP(Logs_Reseau_Part56[[#This Row],[Cell_ID]],Registre_Maintenance_Part[[ID_Antenne]:[Colonne2]],4,FALSE),"")</f>
        <v>24.924308</v>
      </c>
      <c r="J461" t="str">
        <f>IFERROR(VLOOKUP(Logs_Reseau_Part56[[#This Row],[Cell_ID]],Registre_Maintenance_Part[[ID_Antenne]:[Colonne2]],5,FALSE),"")</f>
        <v>5G</v>
      </c>
      <c r="K461" t="str">
        <f>IFERROR(VLOOKUP(Logs_Reseau_Part56[[#This Row],[Cell_ID]],Registre_Maintenance_Part[[ID_Antenne]:[Colonne2]],6,FALSE),"")</f>
        <v>Ericsson</v>
      </c>
    </row>
    <row r="462" spans="1:11" x14ac:dyDescent="0.3">
      <c r="A462" s="1">
        <v>45227.577777777777</v>
      </c>
      <c r="B462" s="2">
        <v>45227.577777777777</v>
      </c>
      <c r="C462" t="s">
        <v>900</v>
      </c>
      <c r="D462">
        <v>50</v>
      </c>
      <c r="E462">
        <f>Logs_Reseau_Part56[[#This Row],[Duree_Panne_Min]]/60</f>
        <v>0.83333333333333337</v>
      </c>
      <c r="F462" t="s">
        <v>739</v>
      </c>
      <c r="G462" t="str">
        <f>IFERROR(VLOOKUP(Logs_Reseau_Part56[[#This Row],[Cell_ID]],Registre_Maintenance_Part[[ID_Antenne]:[Colonne2]],2,FALSE),"")</f>
        <v>Tshopo</v>
      </c>
      <c r="H462">
        <f>IFERROR(VLOOKUP(Logs_Reseau_Part56[[#This Row],[Cell_ID]],Registre_Maintenance_Part[[ID_Antenne]:[Colonne2]],3,FALSE),"")</f>
        <v>-4.5603610000000003</v>
      </c>
      <c r="I462">
        <f>IFERROR(VLOOKUP(Logs_Reseau_Part56[[#This Row],[Cell_ID]],Registre_Maintenance_Part[[ID_Antenne]:[Colonne2]],4,FALSE),"")</f>
        <v>24.113918999999999</v>
      </c>
      <c r="J462" t="str">
        <f>IFERROR(VLOOKUP(Logs_Reseau_Part56[[#This Row],[Cell_ID]],Registre_Maintenance_Part[[ID_Antenne]:[Colonne2]],5,FALSE),"")</f>
        <v>5G</v>
      </c>
      <c r="K462" t="str">
        <f>IFERROR(VLOOKUP(Logs_Reseau_Part56[[#This Row],[Cell_ID]],Registre_Maintenance_Part[[ID_Antenne]:[Colonne2]],6,FALSE),"")</f>
        <v>ZTE</v>
      </c>
    </row>
    <row r="463" spans="1:11" x14ac:dyDescent="0.3">
      <c r="A463" s="1">
        <v>45228.515277777777</v>
      </c>
      <c r="B463" s="2">
        <v>45228.515277777777</v>
      </c>
      <c r="C463" t="s">
        <v>1320</v>
      </c>
      <c r="D463">
        <v>105</v>
      </c>
      <c r="E463">
        <f>Logs_Reseau_Part56[[#This Row],[Duree_Panne_Min]]/60</f>
        <v>1.75</v>
      </c>
      <c r="F463" t="s">
        <v>734</v>
      </c>
      <c r="G463" t="str">
        <f>IFERROR(VLOOKUP(Logs_Reseau_Part56[[#This Row],[Cell_ID]],Registre_Maintenance_Part[[ID_Antenne]:[Colonne2]],2,FALSE),"")</f>
        <v>Tshopo</v>
      </c>
      <c r="H463">
        <f>IFERROR(VLOOKUP(Logs_Reseau_Part56[[#This Row],[Cell_ID]],Registre_Maintenance_Part[[ID_Antenne]:[Colonne2]],3,FALSE),"")</f>
        <v>-0.919767</v>
      </c>
      <c r="I463">
        <f>IFERROR(VLOOKUP(Logs_Reseau_Part56[[#This Row],[Cell_ID]],Registre_Maintenance_Part[[ID_Antenne]:[Colonne2]],4,FALSE),"")</f>
        <v>18.905538</v>
      </c>
      <c r="J463" t="str">
        <f>IFERROR(VLOOKUP(Logs_Reseau_Part56[[#This Row],[Cell_ID]],Registre_Maintenance_Part[[ID_Antenne]:[Colonne2]],5,FALSE),"")</f>
        <v>5G</v>
      </c>
      <c r="K463" t="str">
        <f>IFERROR(VLOOKUP(Logs_Reseau_Part56[[#This Row],[Cell_ID]],Registre_Maintenance_Part[[ID_Antenne]:[Colonne2]],6,FALSE),"")</f>
        <v>Ericsson</v>
      </c>
    </row>
    <row r="464" spans="1:11" x14ac:dyDescent="0.3">
      <c r="A464" s="1">
        <v>45228.563194444447</v>
      </c>
      <c r="B464" s="2">
        <v>45228.563194444447</v>
      </c>
      <c r="C464" t="s">
        <v>1216</v>
      </c>
      <c r="D464">
        <v>44</v>
      </c>
      <c r="E464">
        <f>Logs_Reseau_Part56[[#This Row],[Duree_Panne_Min]]/60</f>
        <v>0.73333333333333328</v>
      </c>
      <c r="F464" t="s">
        <v>734</v>
      </c>
      <c r="G464" t="str">
        <f>IFERROR(VLOOKUP(Logs_Reseau_Part56[[#This Row],[Cell_ID]],Registre_Maintenance_Part[[ID_Antenne]:[Colonne2]],2,FALSE),"")</f>
        <v>Tshopo</v>
      </c>
      <c r="H464">
        <f>IFERROR(VLOOKUP(Logs_Reseau_Part56[[#This Row],[Cell_ID]],Registre_Maintenance_Part[[ID_Antenne]:[Colonne2]],3,FALSE),"")</f>
        <v>-11.265995</v>
      </c>
      <c r="I464">
        <f>IFERROR(VLOOKUP(Logs_Reseau_Part56[[#This Row],[Cell_ID]],Registre_Maintenance_Part[[ID_Antenne]:[Colonne2]],4,FALSE),"")</f>
        <v>28.935514999999999</v>
      </c>
      <c r="J464" t="str">
        <f>IFERROR(VLOOKUP(Logs_Reseau_Part56[[#This Row],[Cell_ID]],Registre_Maintenance_Part[[ID_Antenne]:[Colonne2]],5,FALSE),"")</f>
        <v>4G</v>
      </c>
      <c r="K464" t="str">
        <f>IFERROR(VLOOKUP(Logs_Reseau_Part56[[#This Row],[Cell_ID]],Registre_Maintenance_Part[[ID_Antenne]:[Colonne2]],6,FALSE),"")</f>
        <v>Ericsson</v>
      </c>
    </row>
    <row r="465" spans="1:11" x14ac:dyDescent="0.3">
      <c r="A465" s="1">
        <v>45200.51458333333</v>
      </c>
      <c r="B465" s="2">
        <v>45200.51458333333</v>
      </c>
      <c r="C465" t="s">
        <v>864</v>
      </c>
      <c r="D465">
        <v>24</v>
      </c>
      <c r="E465">
        <f>Logs_Reseau_Part56[[#This Row],[Duree_Panne_Min]]/60</f>
        <v>0.4</v>
      </c>
      <c r="F465" t="s">
        <v>739</v>
      </c>
      <c r="G465" t="str">
        <f>IFERROR(VLOOKUP(Logs_Reseau_Part56[[#This Row],[Cell_ID]],Registre_Maintenance_Part[[ID_Antenne]:[Colonne2]],2,FALSE),"")</f>
        <v>Tshuapa</v>
      </c>
      <c r="H465">
        <f>IFERROR(VLOOKUP(Logs_Reseau_Part56[[#This Row],[Cell_ID]],Registre_Maintenance_Part[[ID_Antenne]:[Colonne2]],3,FALSE),"")</f>
        <v>-11.622688999999999</v>
      </c>
      <c r="I465">
        <f>IFERROR(VLOOKUP(Logs_Reseau_Part56[[#This Row],[Cell_ID]],Registre_Maintenance_Part[[ID_Antenne]:[Colonne2]],4,FALSE),"")</f>
        <v>18.483874</v>
      </c>
      <c r="J465" t="str">
        <f>IFERROR(VLOOKUP(Logs_Reseau_Part56[[#This Row],[Cell_ID]],Registre_Maintenance_Part[[ID_Antenne]:[Colonne2]],5,FALSE),"")</f>
        <v>5G</v>
      </c>
      <c r="K465" t="str">
        <f>IFERROR(VLOOKUP(Logs_Reseau_Part56[[#This Row],[Cell_ID]],Registre_Maintenance_Part[[ID_Antenne]:[Colonne2]],6,FALSE),"")</f>
        <v>ZTE</v>
      </c>
    </row>
    <row r="466" spans="1:11" x14ac:dyDescent="0.3">
      <c r="A466" s="1">
        <v>45200.534722222219</v>
      </c>
      <c r="B466" s="2">
        <v>45200.534722222219</v>
      </c>
      <c r="C466" t="s">
        <v>1306</v>
      </c>
      <c r="D466">
        <v>50</v>
      </c>
      <c r="E466">
        <f>Logs_Reseau_Part56[[#This Row],[Duree_Panne_Min]]/60</f>
        <v>0.83333333333333337</v>
      </c>
      <c r="F466" t="s">
        <v>739</v>
      </c>
      <c r="G466" t="str">
        <f>IFERROR(VLOOKUP(Logs_Reseau_Part56[[#This Row],[Cell_ID]],Registre_Maintenance_Part[[ID_Antenne]:[Colonne2]],2,FALSE),"")</f>
        <v>Tshuapa</v>
      </c>
      <c r="H466">
        <f>IFERROR(VLOOKUP(Logs_Reseau_Part56[[#This Row],[Cell_ID]],Registre_Maintenance_Part[[ID_Antenne]:[Colonne2]],3,FALSE),"")</f>
        <v>-7.7587710000000003</v>
      </c>
      <c r="I466">
        <f>IFERROR(VLOOKUP(Logs_Reseau_Part56[[#This Row],[Cell_ID]],Registre_Maintenance_Part[[ID_Antenne]:[Colonne2]],4,FALSE),"")</f>
        <v>17.880848</v>
      </c>
      <c r="J466" t="str">
        <f>IFERROR(VLOOKUP(Logs_Reseau_Part56[[#This Row],[Cell_ID]],Registre_Maintenance_Part[[ID_Antenne]:[Colonne2]],5,FALSE),"")</f>
        <v>3G</v>
      </c>
      <c r="K466" t="str">
        <f>IFERROR(VLOOKUP(Logs_Reseau_Part56[[#This Row],[Cell_ID]],Registre_Maintenance_Part[[ID_Antenne]:[Colonne2]],6,FALSE),"")</f>
        <v>Ericsson</v>
      </c>
    </row>
    <row r="467" spans="1:11" x14ac:dyDescent="0.3">
      <c r="A467" s="1">
        <v>45202.04791666667</v>
      </c>
      <c r="B467" s="2">
        <v>45202.04791666667</v>
      </c>
      <c r="C467" t="s">
        <v>1019</v>
      </c>
      <c r="D467">
        <v>115</v>
      </c>
      <c r="E467">
        <f>Logs_Reseau_Part56[[#This Row],[Duree_Panne_Min]]/60</f>
        <v>1.9166666666666667</v>
      </c>
      <c r="F467" t="s">
        <v>737</v>
      </c>
      <c r="G467" t="str">
        <f>IFERROR(VLOOKUP(Logs_Reseau_Part56[[#This Row],[Cell_ID]],Registre_Maintenance_Part[[ID_Antenne]:[Colonne2]],2,FALSE),"")</f>
        <v>Tshuapa</v>
      </c>
      <c r="H467">
        <f>IFERROR(VLOOKUP(Logs_Reseau_Part56[[#This Row],[Cell_ID]],Registre_Maintenance_Part[[ID_Antenne]:[Colonne2]],3,FALSE),"")</f>
        <v>-10.577049000000001</v>
      </c>
      <c r="I467">
        <f>IFERROR(VLOOKUP(Logs_Reseau_Part56[[#This Row],[Cell_ID]],Registre_Maintenance_Part[[ID_Antenne]:[Colonne2]],4,FALSE),"")</f>
        <v>23.721854</v>
      </c>
      <c r="J467" t="str">
        <f>IFERROR(VLOOKUP(Logs_Reseau_Part56[[#This Row],[Cell_ID]],Registre_Maintenance_Part[[ID_Antenne]:[Colonne2]],5,FALSE),"")</f>
        <v>4G</v>
      </c>
      <c r="K467" t="str">
        <f>IFERROR(VLOOKUP(Logs_Reseau_Part56[[#This Row],[Cell_ID]],Registre_Maintenance_Part[[ID_Antenne]:[Colonne2]],6,FALSE),"")</f>
        <v>ZTE</v>
      </c>
    </row>
    <row r="468" spans="1:11" x14ac:dyDescent="0.3">
      <c r="A468" s="1">
        <v>45203.59652777778</v>
      </c>
      <c r="B468" s="2">
        <v>45203.59652777778</v>
      </c>
      <c r="C468" t="s">
        <v>1148</v>
      </c>
      <c r="D468">
        <v>13</v>
      </c>
      <c r="E468">
        <f>Logs_Reseau_Part56[[#This Row],[Duree_Panne_Min]]/60</f>
        <v>0.21666666666666667</v>
      </c>
      <c r="F468" t="s">
        <v>737</v>
      </c>
      <c r="G468" t="str">
        <f>IFERROR(VLOOKUP(Logs_Reseau_Part56[[#This Row],[Cell_ID]],Registre_Maintenance_Part[[ID_Antenne]:[Colonne2]],2,FALSE),"")</f>
        <v>Tshuapa</v>
      </c>
      <c r="H468">
        <f>IFERROR(VLOOKUP(Logs_Reseau_Part56[[#This Row],[Cell_ID]],Registre_Maintenance_Part[[ID_Antenne]:[Colonne2]],3,FALSE),"")</f>
        <v>-1.9540519999999999</v>
      </c>
      <c r="I468">
        <f>IFERROR(VLOOKUP(Logs_Reseau_Part56[[#This Row],[Cell_ID]],Registre_Maintenance_Part[[ID_Antenne]:[Colonne2]],4,FALSE),"")</f>
        <v>12.667945</v>
      </c>
      <c r="J468" t="str">
        <f>IFERROR(VLOOKUP(Logs_Reseau_Part56[[#This Row],[Cell_ID]],Registre_Maintenance_Part[[ID_Antenne]:[Colonne2]],5,FALSE),"")</f>
        <v>4G</v>
      </c>
      <c r="K468" t="str">
        <f>IFERROR(VLOOKUP(Logs_Reseau_Part56[[#This Row],[Cell_ID]],Registre_Maintenance_Part[[ID_Antenne]:[Colonne2]],6,FALSE),"")</f>
        <v>Huawei</v>
      </c>
    </row>
    <row r="469" spans="1:11" x14ac:dyDescent="0.3">
      <c r="A469" s="1">
        <v>45203.950694444437</v>
      </c>
      <c r="B469" s="2">
        <v>45203.950694444437</v>
      </c>
      <c r="C469" t="s">
        <v>894</v>
      </c>
      <c r="D469">
        <v>8</v>
      </c>
      <c r="E469">
        <f>Logs_Reseau_Part56[[#This Row],[Duree_Panne_Min]]/60</f>
        <v>0.13333333333333333</v>
      </c>
      <c r="F469" t="s">
        <v>737</v>
      </c>
      <c r="G469" t="str">
        <f>IFERROR(VLOOKUP(Logs_Reseau_Part56[[#This Row],[Cell_ID]],Registre_Maintenance_Part[[ID_Antenne]:[Colonne2]],2,FALSE),"")</f>
        <v>Tshuapa</v>
      </c>
      <c r="H469">
        <f>IFERROR(VLOOKUP(Logs_Reseau_Part56[[#This Row],[Cell_ID]],Registre_Maintenance_Part[[ID_Antenne]:[Colonne2]],3,FALSE),"")</f>
        <v>-0.79406600000000005</v>
      </c>
      <c r="I469">
        <f>IFERROR(VLOOKUP(Logs_Reseau_Part56[[#This Row],[Cell_ID]],Registre_Maintenance_Part[[ID_Antenne]:[Colonne2]],4,FALSE),"")</f>
        <v>12.534793000000001</v>
      </c>
      <c r="J469" t="str">
        <f>IFERROR(VLOOKUP(Logs_Reseau_Part56[[#This Row],[Cell_ID]],Registre_Maintenance_Part[[ID_Antenne]:[Colonne2]],5,FALSE),"")</f>
        <v>3G</v>
      </c>
      <c r="K469" t="str">
        <f>IFERROR(VLOOKUP(Logs_Reseau_Part56[[#This Row],[Cell_ID]],Registre_Maintenance_Part[[ID_Antenne]:[Colonne2]],6,FALSE),"")</f>
        <v>Huawei</v>
      </c>
    </row>
    <row r="470" spans="1:11" x14ac:dyDescent="0.3">
      <c r="A470" s="1">
        <v>45216.701388888891</v>
      </c>
      <c r="B470" s="2">
        <v>45216.701388888891</v>
      </c>
      <c r="C470" t="s">
        <v>864</v>
      </c>
      <c r="D470">
        <v>80</v>
      </c>
      <c r="E470">
        <f>Logs_Reseau_Part56[[#This Row],[Duree_Panne_Min]]/60</f>
        <v>1.3333333333333333</v>
      </c>
      <c r="F470" t="s">
        <v>734</v>
      </c>
      <c r="G470" t="str">
        <f>IFERROR(VLOOKUP(Logs_Reseau_Part56[[#This Row],[Cell_ID]],Registre_Maintenance_Part[[ID_Antenne]:[Colonne2]],2,FALSE),"")</f>
        <v>Tshuapa</v>
      </c>
      <c r="H470">
        <f>IFERROR(VLOOKUP(Logs_Reseau_Part56[[#This Row],[Cell_ID]],Registre_Maintenance_Part[[ID_Antenne]:[Colonne2]],3,FALSE),"")</f>
        <v>-11.622688999999999</v>
      </c>
      <c r="I470">
        <f>IFERROR(VLOOKUP(Logs_Reseau_Part56[[#This Row],[Cell_ID]],Registre_Maintenance_Part[[ID_Antenne]:[Colonne2]],4,FALSE),"")</f>
        <v>18.483874</v>
      </c>
      <c r="J470" t="str">
        <f>IFERROR(VLOOKUP(Logs_Reseau_Part56[[#This Row],[Cell_ID]],Registre_Maintenance_Part[[ID_Antenne]:[Colonne2]],5,FALSE),"")</f>
        <v>5G</v>
      </c>
      <c r="K470" t="str">
        <f>IFERROR(VLOOKUP(Logs_Reseau_Part56[[#This Row],[Cell_ID]],Registre_Maintenance_Part[[ID_Antenne]:[Colonne2]],6,FALSE),"")</f>
        <v>ZTE</v>
      </c>
    </row>
    <row r="471" spans="1:11" x14ac:dyDescent="0.3">
      <c r="A471" s="1">
        <v>45219.65625</v>
      </c>
      <c r="B471" s="2">
        <v>45219.65625</v>
      </c>
      <c r="C471" t="s">
        <v>1019</v>
      </c>
      <c r="D471">
        <v>118</v>
      </c>
      <c r="E471">
        <f>Logs_Reseau_Part56[[#This Row],[Duree_Panne_Min]]/60</f>
        <v>1.9666666666666666</v>
      </c>
      <c r="F471" t="s">
        <v>737</v>
      </c>
      <c r="G471" t="str">
        <f>IFERROR(VLOOKUP(Logs_Reseau_Part56[[#This Row],[Cell_ID]],Registre_Maintenance_Part[[ID_Antenne]:[Colonne2]],2,FALSE),"")</f>
        <v>Tshuapa</v>
      </c>
      <c r="H471">
        <f>IFERROR(VLOOKUP(Logs_Reseau_Part56[[#This Row],[Cell_ID]],Registre_Maintenance_Part[[ID_Antenne]:[Colonne2]],3,FALSE),"")</f>
        <v>-10.577049000000001</v>
      </c>
      <c r="I471">
        <f>IFERROR(VLOOKUP(Logs_Reseau_Part56[[#This Row],[Cell_ID]],Registre_Maintenance_Part[[ID_Antenne]:[Colonne2]],4,FALSE),"")</f>
        <v>23.721854</v>
      </c>
      <c r="J471" t="str">
        <f>IFERROR(VLOOKUP(Logs_Reseau_Part56[[#This Row],[Cell_ID]],Registre_Maintenance_Part[[ID_Antenne]:[Colonne2]],5,FALSE),"")</f>
        <v>4G</v>
      </c>
      <c r="K471" t="str">
        <f>IFERROR(VLOOKUP(Logs_Reseau_Part56[[#This Row],[Cell_ID]],Registre_Maintenance_Part[[ID_Antenne]:[Colonne2]],6,FALSE),"")</f>
        <v>ZTE</v>
      </c>
    </row>
    <row r="472" spans="1:11" x14ac:dyDescent="0.3">
      <c r="A472" s="1">
        <v>45219.801388888889</v>
      </c>
      <c r="B472" s="2">
        <v>45219.801388888889</v>
      </c>
      <c r="C472" t="s">
        <v>914</v>
      </c>
      <c r="D472">
        <v>65</v>
      </c>
      <c r="E472">
        <f>Logs_Reseau_Part56[[#This Row],[Duree_Panne_Min]]/60</f>
        <v>1.0833333333333333</v>
      </c>
      <c r="F472" t="s">
        <v>737</v>
      </c>
      <c r="G472" t="str">
        <f>IFERROR(VLOOKUP(Logs_Reseau_Part56[[#This Row],[Cell_ID]],Registre_Maintenance_Part[[ID_Antenne]:[Colonne2]],2,FALSE),"")</f>
        <v>Tshuapa</v>
      </c>
      <c r="H472">
        <f>IFERROR(VLOOKUP(Logs_Reseau_Part56[[#This Row],[Cell_ID]],Registre_Maintenance_Part[[ID_Antenne]:[Colonne2]],3,FALSE),"")</f>
        <v>0.52897499999999997</v>
      </c>
      <c r="I472">
        <f>IFERROR(VLOOKUP(Logs_Reseau_Part56[[#This Row],[Cell_ID]],Registre_Maintenance_Part[[ID_Antenne]:[Colonne2]],4,FALSE),"")</f>
        <v>13.849651</v>
      </c>
      <c r="J472" t="str">
        <f>IFERROR(VLOOKUP(Logs_Reseau_Part56[[#This Row],[Cell_ID]],Registre_Maintenance_Part[[ID_Antenne]:[Colonne2]],5,FALSE),"")</f>
        <v>3G</v>
      </c>
      <c r="K472" t="str">
        <f>IFERROR(VLOOKUP(Logs_Reseau_Part56[[#This Row],[Cell_ID]],Registre_Maintenance_Part[[ID_Antenne]:[Colonne2]],6,FALSE),"")</f>
        <v>ZTE</v>
      </c>
    </row>
    <row r="473" spans="1:11" x14ac:dyDescent="0.3">
      <c r="A473" s="1">
        <v>45221.27847222222</v>
      </c>
      <c r="B473" s="2">
        <v>45221.27847222222</v>
      </c>
      <c r="C473" t="s">
        <v>993</v>
      </c>
      <c r="D473">
        <v>83</v>
      </c>
      <c r="E473">
        <f>Logs_Reseau_Part56[[#This Row],[Duree_Panne_Min]]/60</f>
        <v>1.3833333333333333</v>
      </c>
      <c r="F473" t="s">
        <v>739</v>
      </c>
      <c r="G473" t="str">
        <f>IFERROR(VLOOKUP(Logs_Reseau_Part56[[#This Row],[Cell_ID]],Registre_Maintenance_Part[[ID_Antenne]:[Colonne2]],2,FALSE),"")</f>
        <v>Tshuapa</v>
      </c>
      <c r="H473">
        <f>IFERROR(VLOOKUP(Logs_Reseau_Part56[[#This Row],[Cell_ID]],Registre_Maintenance_Part[[ID_Antenne]:[Colonne2]],3,FALSE),"")</f>
        <v>-12.292039000000001</v>
      </c>
      <c r="I473">
        <f>IFERROR(VLOOKUP(Logs_Reseau_Part56[[#This Row],[Cell_ID]],Registre_Maintenance_Part[[ID_Antenne]:[Colonne2]],4,FALSE),"")</f>
        <v>27.538202999999999</v>
      </c>
      <c r="J473" t="str">
        <f>IFERROR(VLOOKUP(Logs_Reseau_Part56[[#This Row],[Cell_ID]],Registre_Maintenance_Part[[ID_Antenne]:[Colonne2]],5,FALSE),"")</f>
        <v>3G</v>
      </c>
      <c r="K473" t="str">
        <f>IFERROR(VLOOKUP(Logs_Reseau_Part56[[#This Row],[Cell_ID]],Registre_Maintenance_Part[[ID_Antenne]:[Colonne2]],6,FALSE),"")</f>
        <v>Huawei</v>
      </c>
    </row>
    <row r="474" spans="1:11" x14ac:dyDescent="0.3">
      <c r="A474" s="1">
        <v>45221.780555555553</v>
      </c>
      <c r="B474" s="2">
        <v>45221.780555555553</v>
      </c>
      <c r="C474" t="s">
        <v>1145</v>
      </c>
      <c r="D474">
        <v>67</v>
      </c>
      <c r="E474">
        <f>Logs_Reseau_Part56[[#This Row],[Duree_Panne_Min]]/60</f>
        <v>1.1166666666666667</v>
      </c>
      <c r="F474" t="s">
        <v>734</v>
      </c>
      <c r="G474" t="str">
        <f>IFERROR(VLOOKUP(Logs_Reseau_Part56[[#This Row],[Cell_ID]],Registre_Maintenance_Part[[ID_Antenne]:[Colonne2]],2,FALSE),"")</f>
        <v>Tshuapa</v>
      </c>
      <c r="H474">
        <f>IFERROR(VLOOKUP(Logs_Reseau_Part56[[#This Row],[Cell_ID]],Registre_Maintenance_Part[[ID_Antenne]:[Colonne2]],3,FALSE),"")</f>
        <v>-7.789663</v>
      </c>
      <c r="I474">
        <f>IFERROR(VLOOKUP(Logs_Reseau_Part56[[#This Row],[Cell_ID]],Registre_Maintenance_Part[[ID_Antenne]:[Colonne2]],4,FALSE),"")</f>
        <v>26.529098000000001</v>
      </c>
      <c r="J474" t="str">
        <f>IFERROR(VLOOKUP(Logs_Reseau_Part56[[#This Row],[Cell_ID]],Registre_Maintenance_Part[[ID_Antenne]:[Colonne2]],5,FALSE),"")</f>
        <v>5G</v>
      </c>
      <c r="K474" t="str">
        <f>IFERROR(VLOOKUP(Logs_Reseau_Part56[[#This Row],[Cell_ID]],Registre_Maintenance_Part[[ID_Antenne]:[Colonne2]],6,FALSE),"")</f>
        <v>Nokia</v>
      </c>
    </row>
    <row r="475" spans="1:11" x14ac:dyDescent="0.3">
      <c r="A475" s="1">
        <v>45223.450694444437</v>
      </c>
      <c r="B475" s="2">
        <v>45223.450694444437</v>
      </c>
      <c r="C475" t="s">
        <v>1017</v>
      </c>
      <c r="D475">
        <v>14</v>
      </c>
      <c r="E475">
        <f>Logs_Reseau_Part56[[#This Row],[Duree_Panne_Min]]/60</f>
        <v>0.23333333333333334</v>
      </c>
      <c r="F475" t="s">
        <v>739</v>
      </c>
      <c r="G475" t="str">
        <f>IFERROR(VLOOKUP(Logs_Reseau_Part56[[#This Row],[Cell_ID]],Registre_Maintenance_Part[[ID_Antenne]:[Colonne2]],2,FALSE),"")</f>
        <v>Tshuapa</v>
      </c>
      <c r="H475">
        <f>IFERROR(VLOOKUP(Logs_Reseau_Part56[[#This Row],[Cell_ID]],Registre_Maintenance_Part[[ID_Antenne]:[Colonne2]],3,FALSE),"")</f>
        <v>-2.571777</v>
      </c>
      <c r="I475">
        <f>IFERROR(VLOOKUP(Logs_Reseau_Part56[[#This Row],[Cell_ID]],Registre_Maintenance_Part[[ID_Antenne]:[Colonne2]],4,FALSE),"")</f>
        <v>12.120642</v>
      </c>
      <c r="J475" t="str">
        <f>IFERROR(VLOOKUP(Logs_Reseau_Part56[[#This Row],[Cell_ID]],Registre_Maintenance_Part[[ID_Antenne]:[Colonne2]],5,FALSE),"")</f>
        <v>3G</v>
      </c>
      <c r="K475" t="str">
        <f>IFERROR(VLOOKUP(Logs_Reseau_Part56[[#This Row],[Cell_ID]],Registre_Maintenance_Part[[ID_Antenne]:[Colonne2]],6,FALSE),"")</f>
        <v>Huawei</v>
      </c>
    </row>
    <row r="476" spans="1:11" x14ac:dyDescent="0.3">
      <c r="A476" s="1">
        <v>45224.347916666673</v>
      </c>
      <c r="B476" s="2">
        <v>45224.347916666673</v>
      </c>
      <c r="C476" t="s">
        <v>1145</v>
      </c>
      <c r="D476">
        <v>14</v>
      </c>
      <c r="E476">
        <f>Logs_Reseau_Part56[[#This Row],[Duree_Panne_Min]]/60</f>
        <v>0.23333333333333334</v>
      </c>
      <c r="F476" t="s">
        <v>734</v>
      </c>
      <c r="G476" t="str">
        <f>IFERROR(VLOOKUP(Logs_Reseau_Part56[[#This Row],[Cell_ID]],Registre_Maintenance_Part[[ID_Antenne]:[Colonne2]],2,FALSE),"")</f>
        <v>Tshuapa</v>
      </c>
      <c r="H476">
        <f>IFERROR(VLOOKUP(Logs_Reseau_Part56[[#This Row],[Cell_ID]],Registre_Maintenance_Part[[ID_Antenne]:[Colonne2]],3,FALSE),"")</f>
        <v>-7.789663</v>
      </c>
      <c r="I476">
        <f>IFERROR(VLOOKUP(Logs_Reseau_Part56[[#This Row],[Cell_ID]],Registre_Maintenance_Part[[ID_Antenne]:[Colonne2]],4,FALSE),"")</f>
        <v>26.529098000000001</v>
      </c>
      <c r="J476" t="str">
        <f>IFERROR(VLOOKUP(Logs_Reseau_Part56[[#This Row],[Cell_ID]],Registre_Maintenance_Part[[ID_Antenne]:[Colonne2]],5,FALSE),"")</f>
        <v>5G</v>
      </c>
      <c r="K476" t="str">
        <f>IFERROR(VLOOKUP(Logs_Reseau_Part56[[#This Row],[Cell_ID]],Registre_Maintenance_Part[[ID_Antenne]:[Colonne2]],6,FALSE),"")</f>
        <v>Nokia</v>
      </c>
    </row>
    <row r="477" spans="1:11" x14ac:dyDescent="0.3">
      <c r="A477" s="1">
        <v>45225.979166666657</v>
      </c>
      <c r="B477" s="2">
        <v>45225.979166666657</v>
      </c>
      <c r="C477" t="s">
        <v>1019</v>
      </c>
      <c r="D477">
        <v>6</v>
      </c>
      <c r="E477">
        <f>Logs_Reseau_Part56[[#This Row],[Duree_Panne_Min]]/60</f>
        <v>0.1</v>
      </c>
      <c r="F477" t="s">
        <v>734</v>
      </c>
      <c r="G477" t="str">
        <f>IFERROR(VLOOKUP(Logs_Reseau_Part56[[#This Row],[Cell_ID]],Registre_Maintenance_Part[[ID_Antenne]:[Colonne2]],2,FALSE),"")</f>
        <v>Tshuapa</v>
      </c>
      <c r="H477">
        <f>IFERROR(VLOOKUP(Logs_Reseau_Part56[[#This Row],[Cell_ID]],Registre_Maintenance_Part[[ID_Antenne]:[Colonne2]],3,FALSE),"")</f>
        <v>-10.577049000000001</v>
      </c>
      <c r="I477">
        <f>IFERROR(VLOOKUP(Logs_Reseau_Part56[[#This Row],[Cell_ID]],Registre_Maintenance_Part[[ID_Antenne]:[Colonne2]],4,FALSE),"")</f>
        <v>23.721854</v>
      </c>
      <c r="J477" t="str">
        <f>IFERROR(VLOOKUP(Logs_Reseau_Part56[[#This Row],[Cell_ID]],Registre_Maintenance_Part[[ID_Antenne]:[Colonne2]],5,FALSE),"")</f>
        <v>4G</v>
      </c>
      <c r="K477" t="str">
        <f>IFERROR(VLOOKUP(Logs_Reseau_Part56[[#This Row],[Cell_ID]],Registre_Maintenance_Part[[ID_Antenne]:[Colonne2]],6,FALSE),"")</f>
        <v>ZTE</v>
      </c>
    </row>
    <row r="478" spans="1:11" x14ac:dyDescent="0.3">
      <c r="A478" s="1">
        <v>45229.631249999999</v>
      </c>
      <c r="B478" s="2">
        <v>45229.631249999999</v>
      </c>
      <c r="C478" t="s">
        <v>1315</v>
      </c>
      <c r="D478">
        <v>81</v>
      </c>
      <c r="E478">
        <f>Logs_Reseau_Part56[[#This Row],[Duree_Panne_Min]]/60</f>
        <v>1.35</v>
      </c>
      <c r="F478" t="s">
        <v>734</v>
      </c>
      <c r="G478" t="str">
        <f>IFERROR(VLOOKUP(Logs_Reseau_Part56[[#This Row],[Cell_ID]],Registre_Maintenance_Part[[ID_Antenne]:[Colonne2]],2,FALSE),"")</f>
        <v>Tshuapa</v>
      </c>
      <c r="H478">
        <f>IFERROR(VLOOKUP(Logs_Reseau_Part56[[#This Row],[Cell_ID]],Registre_Maintenance_Part[[ID_Antenne]:[Colonne2]],3,FALSE),"")</f>
        <v>-10.574821</v>
      </c>
      <c r="I478">
        <f>IFERROR(VLOOKUP(Logs_Reseau_Part56[[#This Row],[Cell_ID]],Registre_Maintenance_Part[[ID_Antenne]:[Colonne2]],4,FALSE),"")</f>
        <v>25.324966</v>
      </c>
      <c r="J478" t="str">
        <f>IFERROR(VLOOKUP(Logs_Reseau_Part56[[#This Row],[Cell_ID]],Registre_Maintenance_Part[[ID_Antenne]:[Colonne2]],5,FALSE),"")</f>
        <v>5G</v>
      </c>
      <c r="K478" t="str">
        <f>IFERROR(VLOOKUP(Logs_Reseau_Part56[[#This Row],[Cell_ID]],Registre_Maintenance_Part[[ID_Antenne]:[Colonne2]],6,FALSE),"")</f>
        <v>Ericsson</v>
      </c>
    </row>
    <row r="479" spans="1:11" x14ac:dyDescent="0.3">
      <c r="A479" s="1">
        <v>45230.913194444453</v>
      </c>
      <c r="B479" s="2">
        <v>45230.913194444453</v>
      </c>
      <c r="C479" t="s">
        <v>1148</v>
      </c>
      <c r="D479">
        <v>62</v>
      </c>
      <c r="E479">
        <f>Logs_Reseau_Part56[[#This Row],[Duree_Panne_Min]]/60</f>
        <v>1.0333333333333334</v>
      </c>
      <c r="F479" t="s">
        <v>734</v>
      </c>
      <c r="G479" t="str">
        <f>IFERROR(VLOOKUP(Logs_Reseau_Part56[[#This Row],[Cell_ID]],Registre_Maintenance_Part[[ID_Antenne]:[Colonne2]],2,FALSE),"")</f>
        <v>Tshuapa</v>
      </c>
      <c r="H479">
        <f>IFERROR(VLOOKUP(Logs_Reseau_Part56[[#This Row],[Cell_ID]],Registre_Maintenance_Part[[ID_Antenne]:[Colonne2]],3,FALSE),"")</f>
        <v>-1.9540519999999999</v>
      </c>
      <c r="I479">
        <f>IFERROR(VLOOKUP(Logs_Reseau_Part56[[#This Row],[Cell_ID]],Registre_Maintenance_Part[[ID_Antenne]:[Colonne2]],4,FALSE),"")</f>
        <v>12.667945</v>
      </c>
      <c r="J479" t="str">
        <f>IFERROR(VLOOKUP(Logs_Reseau_Part56[[#This Row],[Cell_ID]],Registre_Maintenance_Part[[ID_Antenne]:[Colonne2]],5,FALSE),"")</f>
        <v>4G</v>
      </c>
      <c r="K479" t="str">
        <f>IFERROR(VLOOKUP(Logs_Reseau_Part56[[#This Row],[Cell_ID]],Registre_Maintenance_Part[[ID_Antenne]:[Colonne2]],6,FALSE),"")</f>
        <v>Huawei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8124A-95C7-4B5C-8E32-30F6C2250EE6}">
  <dimension ref="A1:N674"/>
  <sheetViews>
    <sheetView topLeftCell="C1" workbookViewId="0">
      <selection activeCell="I11" sqref="I11"/>
    </sheetView>
  </sheetViews>
  <sheetFormatPr baseColWidth="10" defaultRowHeight="14.4" x14ac:dyDescent="0.3"/>
  <cols>
    <col min="1" max="1" width="29.44140625" customWidth="1"/>
    <col min="2" max="2" width="14.5546875" customWidth="1"/>
    <col min="3" max="3" width="19.88671875" customWidth="1"/>
    <col min="4" max="4" width="19.109375" bestFit="1" customWidth="1"/>
    <col min="5" max="5" width="19.109375" style="7" customWidth="1"/>
    <col min="6" max="6" width="17.88671875" bestFit="1" customWidth="1"/>
    <col min="7" max="7" width="17.88671875" customWidth="1"/>
    <col min="8" max="8" width="29.33203125" bestFit="1" customWidth="1"/>
    <col min="9" max="9" width="29.33203125" style="2" customWidth="1"/>
    <col min="10" max="10" width="20.5546875" bestFit="1" customWidth="1"/>
    <col min="11" max="11" width="24.44140625" bestFit="1" customWidth="1"/>
    <col min="12" max="12" width="19.21875" customWidth="1"/>
    <col min="13" max="13" width="24.44140625" customWidth="1"/>
    <col min="14" max="14" width="19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s="7" t="s">
        <v>1582</v>
      </c>
      <c r="F1" t="s">
        <v>4</v>
      </c>
      <c r="G1" t="s">
        <v>1580</v>
      </c>
      <c r="H1" t="s">
        <v>5</v>
      </c>
      <c r="I1" s="2" t="s">
        <v>1583</v>
      </c>
      <c r="J1" t="s">
        <v>6</v>
      </c>
      <c r="K1" t="s">
        <v>7</v>
      </c>
      <c r="L1" t="s">
        <v>1584</v>
      </c>
      <c r="M1" t="s">
        <v>1585</v>
      </c>
      <c r="N1" t="s">
        <v>727</v>
      </c>
    </row>
    <row r="2" spans="1:14" x14ac:dyDescent="0.3">
      <c r="A2" t="s">
        <v>220</v>
      </c>
      <c r="B2" t="s">
        <v>236</v>
      </c>
      <c r="C2" t="s">
        <v>35</v>
      </c>
      <c r="D2">
        <v>110</v>
      </c>
      <c r="E2" s="7">
        <f>Clients_Churn_Part[[#This Row],[Anciennete_Mois]]/12</f>
        <v>9.1666666666666661</v>
      </c>
      <c r="F2" t="s">
        <v>18</v>
      </c>
      <c r="G2" t="str">
        <f>IF(Clients_Churn_Part[[#This Row],[Type_Forfait]]="pro Monde","B2B","B2C")</f>
        <v>B2C</v>
      </c>
      <c r="H2">
        <v>112</v>
      </c>
      <c r="I2" s="2">
        <f>Clients_Churn_Part[[#This Row],[Duree_Cumulee_Panne_Min]]/60</f>
        <v>1.8666666666666667</v>
      </c>
      <c r="J2">
        <v>98.95</v>
      </c>
      <c r="K2">
        <v>5</v>
      </c>
      <c r="L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">
        <f>Clients_Churn_Part[[#This Row],[Facture_Mensuelle]]*Clients_Churn_Part[[#This Row],[Remise]]</f>
        <v>69.265000000000001</v>
      </c>
      <c r="N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" spans="1:14" x14ac:dyDescent="0.3">
      <c r="A3" t="s">
        <v>452</v>
      </c>
      <c r="B3" t="s">
        <v>461</v>
      </c>
      <c r="C3" t="s">
        <v>48</v>
      </c>
      <c r="D3">
        <v>105</v>
      </c>
      <c r="E3" s="7">
        <f>Clients_Churn_Part[[#This Row],[Anciennete_Mois]]/12</f>
        <v>8.75</v>
      </c>
      <c r="F3" t="s">
        <v>13</v>
      </c>
      <c r="G3" t="str">
        <f>IF(Clients_Churn_Part[[#This Row],[Type_Forfait]]="pro Monde","B2B","B2C")</f>
        <v>B2B</v>
      </c>
      <c r="H3">
        <v>297</v>
      </c>
      <c r="I3" s="2">
        <f>Clients_Churn_Part[[#This Row],[Duree_Cumulee_Panne_Min]]/60</f>
        <v>4.95</v>
      </c>
      <c r="J3">
        <v>84.66</v>
      </c>
      <c r="K3">
        <v>2</v>
      </c>
      <c r="L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">
        <f>Clients_Churn_Part[[#This Row],[Facture_Mensuelle]]*Clients_Churn_Part[[#This Row],[Remise]]</f>
        <v>59.261999999999993</v>
      </c>
      <c r="N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" spans="1:14" x14ac:dyDescent="0.3">
      <c r="A4" t="s">
        <v>452</v>
      </c>
      <c r="B4" t="s">
        <v>488</v>
      </c>
      <c r="C4" t="s">
        <v>59</v>
      </c>
      <c r="D4">
        <v>105</v>
      </c>
      <c r="E4" s="7">
        <f>Clients_Churn_Part[[#This Row],[Anciennete_Mois]]/12</f>
        <v>8.75</v>
      </c>
      <c r="F4" t="s">
        <v>21</v>
      </c>
      <c r="G4" t="str">
        <f>IF(Clients_Churn_Part[[#This Row],[Type_Forfait]]="pro Monde","B2B","B2C")</f>
        <v>B2C</v>
      </c>
      <c r="H4">
        <v>172</v>
      </c>
      <c r="I4" s="2">
        <f>Clients_Churn_Part[[#This Row],[Duree_Cumulee_Panne_Min]]/60</f>
        <v>2.8666666666666667</v>
      </c>
      <c r="J4">
        <v>15.88</v>
      </c>
      <c r="K4">
        <v>5</v>
      </c>
      <c r="L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">
        <f>Clients_Churn_Part[[#This Row],[Facture_Mensuelle]]*Clients_Churn_Part[[#This Row],[Remise]]</f>
        <v>11.116</v>
      </c>
      <c r="N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" spans="1:14" x14ac:dyDescent="0.3">
      <c r="A5" t="s">
        <v>129</v>
      </c>
      <c r="B5" t="s">
        <v>173</v>
      </c>
      <c r="C5" t="s">
        <v>35</v>
      </c>
      <c r="D5">
        <v>29</v>
      </c>
      <c r="E5" s="7">
        <f>Clients_Churn_Part[[#This Row],[Anciennete_Mois]]/12</f>
        <v>2.4166666666666665</v>
      </c>
      <c r="F5" t="s">
        <v>21</v>
      </c>
      <c r="G5" t="str">
        <f>IF(Clients_Churn_Part[[#This Row],[Type_Forfait]]="pro Monde","B2B","B2C")</f>
        <v>B2C</v>
      </c>
      <c r="H5">
        <v>124</v>
      </c>
      <c r="I5" s="2">
        <f>Clients_Churn_Part[[#This Row],[Duree_Cumulee_Panne_Min]]/60</f>
        <v>2.0666666666666669</v>
      </c>
      <c r="J5">
        <v>43.83</v>
      </c>
      <c r="K5">
        <v>5</v>
      </c>
      <c r="L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">
        <f>Clients_Churn_Part[[#This Row],[Facture_Mensuelle]]*Clients_Churn_Part[[#This Row],[Remise]]</f>
        <v>0</v>
      </c>
      <c r="N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" spans="1:14" x14ac:dyDescent="0.3">
      <c r="A6" t="s">
        <v>314</v>
      </c>
      <c r="B6" t="s">
        <v>345</v>
      </c>
      <c r="C6" t="s">
        <v>17</v>
      </c>
      <c r="D6">
        <v>77</v>
      </c>
      <c r="E6" s="7">
        <f>Clients_Churn_Part[[#This Row],[Anciennete_Mois]]/12</f>
        <v>6.416666666666667</v>
      </c>
      <c r="F6" t="s">
        <v>10</v>
      </c>
      <c r="G6" t="str">
        <f>IF(Clients_Churn_Part[[#This Row],[Type_Forfait]]="pro Monde","B2B","B2C")</f>
        <v>B2C</v>
      </c>
      <c r="H6">
        <v>488</v>
      </c>
      <c r="I6" s="2">
        <f>Clients_Churn_Part[[#This Row],[Duree_Cumulee_Panne_Min]]/60</f>
        <v>8.1333333333333329</v>
      </c>
      <c r="J6">
        <v>21.17</v>
      </c>
      <c r="K6">
        <v>0</v>
      </c>
      <c r="L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">
        <f>Clients_Churn_Part[[#This Row],[Facture_Mensuelle]]*Clients_Churn_Part[[#This Row],[Remise]]</f>
        <v>14.819000000000001</v>
      </c>
      <c r="N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7" spans="1:14" x14ac:dyDescent="0.3">
      <c r="A7" t="s">
        <v>589</v>
      </c>
      <c r="B7" t="s">
        <v>629</v>
      </c>
      <c r="C7" t="s">
        <v>48</v>
      </c>
      <c r="D7">
        <v>18</v>
      </c>
      <c r="E7" s="7">
        <f>Clients_Churn_Part[[#This Row],[Anciennete_Mois]]/12</f>
        <v>1.5</v>
      </c>
      <c r="F7" t="s">
        <v>13</v>
      </c>
      <c r="G7" t="str">
        <f>IF(Clients_Churn_Part[[#This Row],[Type_Forfait]]="pro Monde","B2B","B2C")</f>
        <v>B2B</v>
      </c>
      <c r="H7">
        <v>216</v>
      </c>
      <c r="I7" s="2">
        <f>Clients_Churn_Part[[#This Row],[Duree_Cumulee_Panne_Min]]/60</f>
        <v>3.6</v>
      </c>
      <c r="J7">
        <v>33.74</v>
      </c>
      <c r="K7">
        <v>5</v>
      </c>
      <c r="L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7">
        <f>Clients_Churn_Part[[#This Row],[Facture_Mensuelle]]*Clients_Churn_Part[[#This Row],[Remise]]</f>
        <v>3.3740000000000006</v>
      </c>
      <c r="N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8" spans="1:14" x14ac:dyDescent="0.3">
      <c r="A8" t="s">
        <v>267</v>
      </c>
      <c r="B8" t="s">
        <v>301</v>
      </c>
      <c r="C8" t="s">
        <v>24</v>
      </c>
      <c r="D8">
        <v>119</v>
      </c>
      <c r="E8" s="7">
        <f>Clients_Churn_Part[[#This Row],[Anciennete_Mois]]/12</f>
        <v>9.9166666666666661</v>
      </c>
      <c r="F8" t="s">
        <v>13</v>
      </c>
      <c r="G8" t="str">
        <f>IF(Clients_Churn_Part[[#This Row],[Type_Forfait]]="pro Monde","B2B","B2C")</f>
        <v>B2B</v>
      </c>
      <c r="H8">
        <v>344</v>
      </c>
      <c r="I8" s="2">
        <f>Clients_Churn_Part[[#This Row],[Duree_Cumulee_Panne_Min]]/60</f>
        <v>5.7333333333333334</v>
      </c>
      <c r="J8">
        <v>10.28</v>
      </c>
      <c r="K8">
        <v>0</v>
      </c>
      <c r="L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8">
        <f>Clients_Churn_Part[[#This Row],[Facture_Mensuelle]]*Clients_Churn_Part[[#This Row],[Remise]]</f>
        <v>7.1959999999999988</v>
      </c>
      <c r="N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9" spans="1:14" x14ac:dyDescent="0.3">
      <c r="A9" t="s">
        <v>589</v>
      </c>
      <c r="B9" t="s">
        <v>599</v>
      </c>
      <c r="C9" t="s">
        <v>59</v>
      </c>
      <c r="D9">
        <v>25</v>
      </c>
      <c r="E9" s="7">
        <f>Clients_Churn_Part[[#This Row],[Anciennete_Mois]]/12</f>
        <v>2.0833333333333335</v>
      </c>
      <c r="F9" t="s">
        <v>18</v>
      </c>
      <c r="G9" t="str">
        <f>IF(Clients_Churn_Part[[#This Row],[Type_Forfait]]="pro Monde","B2B","B2C")</f>
        <v>B2C</v>
      </c>
      <c r="H9">
        <v>95</v>
      </c>
      <c r="I9" s="2">
        <f>Clients_Churn_Part[[#This Row],[Duree_Cumulee_Panne_Min]]/60</f>
        <v>1.5833333333333333</v>
      </c>
      <c r="J9">
        <v>15.93</v>
      </c>
      <c r="K9">
        <v>4</v>
      </c>
      <c r="L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9">
        <f>Clients_Churn_Part[[#This Row],[Facture_Mensuelle]]*Clients_Churn_Part[[#This Row],[Remise]]</f>
        <v>0</v>
      </c>
      <c r="N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0" spans="1:14" x14ac:dyDescent="0.3">
      <c r="A10" t="s">
        <v>589</v>
      </c>
      <c r="B10" t="s">
        <v>625</v>
      </c>
      <c r="C10" t="s">
        <v>35</v>
      </c>
      <c r="D10">
        <v>35</v>
      </c>
      <c r="E10" s="7">
        <f>Clients_Churn_Part[[#This Row],[Anciennete_Mois]]/12</f>
        <v>2.9166666666666665</v>
      </c>
      <c r="F10" t="s">
        <v>10</v>
      </c>
      <c r="G10" t="str">
        <f>IF(Clients_Churn_Part[[#This Row],[Type_Forfait]]="pro Monde","B2B","B2C")</f>
        <v>B2C</v>
      </c>
      <c r="H10">
        <v>332</v>
      </c>
      <c r="I10" s="2">
        <f>Clients_Churn_Part[[#This Row],[Duree_Cumulee_Panne_Min]]/60</f>
        <v>5.5333333333333332</v>
      </c>
      <c r="J10">
        <v>11.15</v>
      </c>
      <c r="K10">
        <v>0</v>
      </c>
      <c r="L1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10">
        <f>Clients_Churn_Part[[#This Row],[Facture_Mensuelle]]*Clients_Churn_Part[[#This Row],[Remise]]</f>
        <v>5.0175000000000001</v>
      </c>
      <c r="N1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1" spans="1:14" x14ac:dyDescent="0.3">
      <c r="A11" t="s">
        <v>682</v>
      </c>
      <c r="B11" t="s">
        <v>700</v>
      </c>
      <c r="C11" t="s">
        <v>72</v>
      </c>
      <c r="D11">
        <v>119</v>
      </c>
      <c r="E11" s="7">
        <f>Clients_Churn_Part[[#This Row],[Anciennete_Mois]]/12</f>
        <v>9.9166666666666661</v>
      </c>
      <c r="F11" t="s">
        <v>13</v>
      </c>
      <c r="G11" t="str">
        <f>IF(Clients_Churn_Part[[#This Row],[Type_Forfait]]="pro Monde","B2B","B2C")</f>
        <v>B2B</v>
      </c>
      <c r="H11">
        <v>31</v>
      </c>
      <c r="I11" s="2">
        <f>Clients_Churn_Part[[#This Row],[Duree_Cumulee_Panne_Min]]/60</f>
        <v>0.51666666666666672</v>
      </c>
      <c r="J11">
        <v>21.27</v>
      </c>
      <c r="K11">
        <v>5</v>
      </c>
      <c r="L1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1">
        <f>Clients_Churn_Part[[#This Row],[Facture_Mensuelle]]*Clients_Churn_Part[[#This Row],[Remise]]</f>
        <v>14.888999999999999</v>
      </c>
      <c r="N1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2" spans="1:14" x14ac:dyDescent="0.3">
      <c r="A12" t="s">
        <v>8</v>
      </c>
      <c r="B12" t="s">
        <v>50</v>
      </c>
      <c r="C12" t="s">
        <v>9</v>
      </c>
      <c r="D12">
        <v>103</v>
      </c>
      <c r="E12" s="7">
        <f>Clients_Churn_Part[[#This Row],[Anciennete_Mois]]/12</f>
        <v>8.5833333333333339</v>
      </c>
      <c r="F12" t="s">
        <v>13</v>
      </c>
      <c r="G12" t="str">
        <f>IF(Clients_Churn_Part[[#This Row],[Type_Forfait]]="pro Monde","B2B","B2C")</f>
        <v>B2B</v>
      </c>
      <c r="H12">
        <v>105</v>
      </c>
      <c r="I12" s="2">
        <f>Clients_Churn_Part[[#This Row],[Duree_Cumulee_Panne_Min]]/60</f>
        <v>1.75</v>
      </c>
      <c r="J12">
        <v>61.52</v>
      </c>
      <c r="K12">
        <v>3</v>
      </c>
      <c r="L1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2">
        <f>Clients_Churn_Part[[#This Row],[Facture_Mensuelle]]*Clients_Churn_Part[[#This Row],[Remise]]</f>
        <v>43.064</v>
      </c>
      <c r="N1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3" spans="1:14" x14ac:dyDescent="0.3">
      <c r="A13" t="s">
        <v>267</v>
      </c>
      <c r="B13" t="s">
        <v>277</v>
      </c>
      <c r="C13" t="s">
        <v>122</v>
      </c>
      <c r="D13">
        <v>118</v>
      </c>
      <c r="E13" s="7">
        <f>Clients_Churn_Part[[#This Row],[Anciennete_Mois]]/12</f>
        <v>9.8333333333333339</v>
      </c>
      <c r="F13" t="s">
        <v>13</v>
      </c>
      <c r="G13" t="str">
        <f>IF(Clients_Churn_Part[[#This Row],[Type_Forfait]]="pro Monde","B2B","B2C")</f>
        <v>B2B</v>
      </c>
      <c r="H13">
        <v>132</v>
      </c>
      <c r="I13" s="2">
        <f>Clients_Churn_Part[[#This Row],[Duree_Cumulee_Panne_Min]]/60</f>
        <v>2.2000000000000002</v>
      </c>
      <c r="J13">
        <v>40.880000000000003</v>
      </c>
      <c r="K13">
        <v>4</v>
      </c>
      <c r="L1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3">
        <f>Clients_Churn_Part[[#This Row],[Facture_Mensuelle]]*Clients_Churn_Part[[#This Row],[Remise]]</f>
        <v>28.616</v>
      </c>
      <c r="N1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4" spans="1:14" x14ac:dyDescent="0.3">
      <c r="A14" t="s">
        <v>129</v>
      </c>
      <c r="B14" t="s">
        <v>144</v>
      </c>
      <c r="C14" t="s">
        <v>62</v>
      </c>
      <c r="D14">
        <v>53</v>
      </c>
      <c r="E14" s="7">
        <f>Clients_Churn_Part[[#This Row],[Anciennete_Mois]]/12</f>
        <v>4.416666666666667</v>
      </c>
      <c r="F14" t="s">
        <v>21</v>
      </c>
      <c r="G14" t="str">
        <f>IF(Clients_Churn_Part[[#This Row],[Type_Forfait]]="pro Monde","B2B","B2C")</f>
        <v>B2C</v>
      </c>
      <c r="H14">
        <v>345</v>
      </c>
      <c r="I14" s="2">
        <f>Clients_Churn_Part[[#This Row],[Duree_Cumulee_Panne_Min]]/60</f>
        <v>5.75</v>
      </c>
      <c r="J14">
        <v>83.73</v>
      </c>
      <c r="K14">
        <v>0</v>
      </c>
      <c r="L1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14">
        <f>Clients_Churn_Part[[#This Row],[Facture_Mensuelle]]*Clients_Churn_Part[[#This Row],[Remise]]</f>
        <v>0</v>
      </c>
      <c r="N1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5" spans="1:14" x14ac:dyDescent="0.3">
      <c r="A15" t="s">
        <v>637</v>
      </c>
      <c r="B15" t="s">
        <v>665</v>
      </c>
      <c r="C15" t="s">
        <v>35</v>
      </c>
      <c r="D15">
        <v>33</v>
      </c>
      <c r="E15" s="7">
        <f>Clients_Churn_Part[[#This Row],[Anciennete_Mois]]/12</f>
        <v>2.75</v>
      </c>
      <c r="F15" t="s">
        <v>18</v>
      </c>
      <c r="G15" t="str">
        <f>IF(Clients_Churn_Part[[#This Row],[Type_Forfait]]="pro Monde","B2B","B2C")</f>
        <v>B2C</v>
      </c>
      <c r="H15">
        <v>54</v>
      </c>
      <c r="I15" s="2">
        <f>Clients_Churn_Part[[#This Row],[Duree_Cumulee_Panne_Min]]/60</f>
        <v>0.9</v>
      </c>
      <c r="J15">
        <v>71.319999999999993</v>
      </c>
      <c r="K15">
        <v>4</v>
      </c>
      <c r="L1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15">
        <f>Clients_Churn_Part[[#This Row],[Facture_Mensuelle]]*Clients_Churn_Part[[#This Row],[Remise]]</f>
        <v>0</v>
      </c>
      <c r="N1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6" spans="1:14" x14ac:dyDescent="0.3">
      <c r="A16" t="s">
        <v>267</v>
      </c>
      <c r="B16" t="s">
        <v>278</v>
      </c>
      <c r="C16" t="s">
        <v>9</v>
      </c>
      <c r="D16">
        <v>16</v>
      </c>
      <c r="E16" s="7">
        <f>Clients_Churn_Part[[#This Row],[Anciennete_Mois]]/12</f>
        <v>1.3333333333333333</v>
      </c>
      <c r="F16" t="s">
        <v>18</v>
      </c>
      <c r="G16" t="str">
        <f>IF(Clients_Churn_Part[[#This Row],[Type_Forfait]]="pro Monde","B2B","B2C")</f>
        <v>B2C</v>
      </c>
      <c r="H16">
        <v>461</v>
      </c>
      <c r="I16" s="2">
        <f>Clients_Churn_Part[[#This Row],[Duree_Cumulee_Panne_Min]]/60</f>
        <v>7.6833333333333336</v>
      </c>
      <c r="J16">
        <v>38.369999999999997</v>
      </c>
      <c r="K16">
        <v>4</v>
      </c>
      <c r="L1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16">
        <f>Clients_Churn_Part[[#This Row],[Facture_Mensuelle]]*Clients_Churn_Part[[#This Row],[Remise]]</f>
        <v>0</v>
      </c>
      <c r="N1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7" spans="1:14" x14ac:dyDescent="0.3">
      <c r="A17" t="s">
        <v>452</v>
      </c>
      <c r="B17" t="s">
        <v>472</v>
      </c>
      <c r="C17" t="s">
        <v>20</v>
      </c>
      <c r="D17">
        <v>34</v>
      </c>
      <c r="E17" s="7">
        <f>Clients_Churn_Part[[#This Row],[Anciennete_Mois]]/12</f>
        <v>2.8333333333333335</v>
      </c>
      <c r="F17" t="s">
        <v>18</v>
      </c>
      <c r="G17" t="str">
        <f>IF(Clients_Churn_Part[[#This Row],[Type_Forfait]]="pro Monde","B2B","B2C")</f>
        <v>B2C</v>
      </c>
      <c r="H17">
        <v>40</v>
      </c>
      <c r="I17" s="2">
        <f>Clients_Churn_Part[[#This Row],[Duree_Cumulee_Panne_Min]]/60</f>
        <v>0.66666666666666663</v>
      </c>
      <c r="J17">
        <v>65.709999999999994</v>
      </c>
      <c r="K17">
        <v>5</v>
      </c>
      <c r="L1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17">
        <f>Clients_Churn_Part[[#This Row],[Facture_Mensuelle]]*Clients_Churn_Part[[#This Row],[Remise]]</f>
        <v>0</v>
      </c>
      <c r="N1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8" spans="1:14" x14ac:dyDescent="0.3">
      <c r="A18" t="s">
        <v>220</v>
      </c>
      <c r="B18" t="s">
        <v>225</v>
      </c>
      <c r="C18" t="s">
        <v>27</v>
      </c>
      <c r="D18">
        <v>4</v>
      </c>
      <c r="E18" s="7">
        <f>Clients_Churn_Part[[#This Row],[Anciennete_Mois]]/12</f>
        <v>0.33333333333333331</v>
      </c>
      <c r="F18" t="s">
        <v>18</v>
      </c>
      <c r="G18" t="str">
        <f>IF(Clients_Churn_Part[[#This Row],[Type_Forfait]]="pro Monde","B2B","B2C")</f>
        <v>B2C</v>
      </c>
      <c r="H18">
        <v>182</v>
      </c>
      <c r="I18" s="2">
        <f>Clients_Churn_Part[[#This Row],[Duree_Cumulee_Panne_Min]]/60</f>
        <v>3.0333333333333332</v>
      </c>
      <c r="J18">
        <v>89.56</v>
      </c>
      <c r="K18">
        <v>4</v>
      </c>
      <c r="L1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18">
        <f>Clients_Churn_Part[[#This Row],[Facture_Mensuelle]]*Clients_Churn_Part[[#This Row],[Remise]]</f>
        <v>0</v>
      </c>
      <c r="N1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9" spans="1:14" x14ac:dyDescent="0.3">
      <c r="A19" t="s">
        <v>8</v>
      </c>
      <c r="B19" t="s">
        <v>30</v>
      </c>
      <c r="C19" t="s">
        <v>31</v>
      </c>
      <c r="D19">
        <v>72</v>
      </c>
      <c r="E19" s="7">
        <f>Clients_Churn_Part[[#This Row],[Anciennete_Mois]]/12</f>
        <v>6</v>
      </c>
      <c r="F19" t="s">
        <v>13</v>
      </c>
      <c r="G19" t="str">
        <f>IF(Clients_Churn_Part[[#This Row],[Type_Forfait]]="pro Monde","B2B","B2C")</f>
        <v>B2B</v>
      </c>
      <c r="H19">
        <v>160</v>
      </c>
      <c r="I19" s="2">
        <f>Clients_Churn_Part[[#This Row],[Duree_Cumulee_Panne_Min]]/60</f>
        <v>2.6666666666666665</v>
      </c>
      <c r="J19">
        <v>90.13</v>
      </c>
      <c r="K19">
        <v>2</v>
      </c>
      <c r="L1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9">
        <f>Clients_Churn_Part[[#This Row],[Facture_Mensuelle]]*Clients_Churn_Part[[#This Row],[Remise]]</f>
        <v>63.090999999999994</v>
      </c>
      <c r="N1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0" spans="1:14" x14ac:dyDescent="0.3">
      <c r="A20" t="s">
        <v>174</v>
      </c>
      <c r="B20" t="s">
        <v>194</v>
      </c>
      <c r="C20" t="s">
        <v>29</v>
      </c>
      <c r="D20">
        <v>52</v>
      </c>
      <c r="E20" s="7">
        <f>Clients_Churn_Part[[#This Row],[Anciennete_Mois]]/12</f>
        <v>4.333333333333333</v>
      </c>
      <c r="F20" t="s">
        <v>21</v>
      </c>
      <c r="G20" t="str">
        <f>IF(Clients_Churn_Part[[#This Row],[Type_Forfait]]="pro Monde","B2B","B2C")</f>
        <v>B2C</v>
      </c>
      <c r="H20">
        <v>119</v>
      </c>
      <c r="I20" s="2">
        <f>Clients_Churn_Part[[#This Row],[Duree_Cumulee_Panne_Min]]/60</f>
        <v>1.9833333333333334</v>
      </c>
      <c r="J20">
        <v>64.709999999999994</v>
      </c>
      <c r="K20">
        <v>4</v>
      </c>
      <c r="L2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0">
        <f>Clients_Churn_Part[[#This Row],[Facture_Mensuelle]]*Clients_Churn_Part[[#This Row],[Remise]]</f>
        <v>0</v>
      </c>
      <c r="N2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1" spans="1:14" x14ac:dyDescent="0.3">
      <c r="A21" t="s">
        <v>129</v>
      </c>
      <c r="B21" t="s">
        <v>148</v>
      </c>
      <c r="C21" t="s">
        <v>27</v>
      </c>
      <c r="D21">
        <v>67</v>
      </c>
      <c r="E21" s="7">
        <f>Clients_Churn_Part[[#This Row],[Anciennete_Mois]]/12</f>
        <v>5.583333333333333</v>
      </c>
      <c r="F21" t="s">
        <v>21</v>
      </c>
      <c r="G21" t="str">
        <f>IF(Clients_Churn_Part[[#This Row],[Type_Forfait]]="pro Monde","B2B","B2C")</f>
        <v>B2C</v>
      </c>
      <c r="H21">
        <v>264</v>
      </c>
      <c r="I21" s="2">
        <f>Clients_Churn_Part[[#This Row],[Duree_Cumulee_Panne_Min]]/60</f>
        <v>4.4000000000000004</v>
      </c>
      <c r="J21">
        <v>97.89</v>
      </c>
      <c r="K21">
        <v>1</v>
      </c>
      <c r="L2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1">
        <f>Clients_Churn_Part[[#This Row],[Facture_Mensuelle]]*Clients_Churn_Part[[#This Row],[Remise]]</f>
        <v>68.522999999999996</v>
      </c>
      <c r="N2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2" spans="1:14" x14ac:dyDescent="0.3">
      <c r="A22" t="s">
        <v>405</v>
      </c>
      <c r="B22" t="s">
        <v>431</v>
      </c>
      <c r="C22" t="s">
        <v>59</v>
      </c>
      <c r="D22">
        <v>78</v>
      </c>
      <c r="E22" s="7">
        <f>Clients_Churn_Part[[#This Row],[Anciennete_Mois]]/12</f>
        <v>6.5</v>
      </c>
      <c r="F22" t="s">
        <v>10</v>
      </c>
      <c r="G22" t="str">
        <f>IF(Clients_Churn_Part[[#This Row],[Type_Forfait]]="pro Monde","B2B","B2C")</f>
        <v>B2C</v>
      </c>
      <c r="H22">
        <v>60</v>
      </c>
      <c r="I22" s="2">
        <f>Clients_Churn_Part[[#This Row],[Duree_Cumulee_Panne_Min]]/60</f>
        <v>1</v>
      </c>
      <c r="J22">
        <v>33.159999999999997</v>
      </c>
      <c r="K22">
        <v>5</v>
      </c>
      <c r="L2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2">
        <f>Clients_Churn_Part[[#This Row],[Facture_Mensuelle]]*Clients_Churn_Part[[#This Row],[Remise]]</f>
        <v>23.211999999999996</v>
      </c>
      <c r="N2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3" spans="1:14" x14ac:dyDescent="0.3">
      <c r="A23" t="s">
        <v>8</v>
      </c>
      <c r="B23" t="s">
        <v>22</v>
      </c>
      <c r="C23" t="s">
        <v>23</v>
      </c>
      <c r="D23">
        <v>46</v>
      </c>
      <c r="E23" s="7">
        <f>Clients_Churn_Part[[#This Row],[Anciennete_Mois]]/12</f>
        <v>3.8333333333333335</v>
      </c>
      <c r="F23" t="s">
        <v>10</v>
      </c>
      <c r="G23" t="str">
        <f>IF(Clients_Churn_Part[[#This Row],[Type_Forfait]]="pro Monde","B2B","B2C")</f>
        <v>B2C</v>
      </c>
      <c r="H23">
        <v>283</v>
      </c>
      <c r="I23" s="2">
        <f>Clients_Churn_Part[[#This Row],[Duree_Cumulee_Panne_Min]]/60</f>
        <v>4.7166666666666668</v>
      </c>
      <c r="J23">
        <v>56.05</v>
      </c>
      <c r="K23">
        <v>1</v>
      </c>
      <c r="L2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23">
        <f>Clients_Churn_Part[[#This Row],[Facture_Mensuelle]]*Clients_Churn_Part[[#This Row],[Remise]]</f>
        <v>25.2225</v>
      </c>
      <c r="N2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4" spans="1:14" x14ac:dyDescent="0.3">
      <c r="A24" t="s">
        <v>538</v>
      </c>
      <c r="B24" t="s">
        <v>550</v>
      </c>
      <c r="C24" t="s">
        <v>118</v>
      </c>
      <c r="D24">
        <v>17</v>
      </c>
      <c r="E24" s="7">
        <f>Clients_Churn_Part[[#This Row],[Anciennete_Mois]]/12</f>
        <v>1.4166666666666667</v>
      </c>
      <c r="F24" t="s">
        <v>10</v>
      </c>
      <c r="G24" t="str">
        <f>IF(Clients_Churn_Part[[#This Row],[Type_Forfait]]="pro Monde","B2B","B2C")</f>
        <v>B2C</v>
      </c>
      <c r="H24">
        <v>499</v>
      </c>
      <c r="I24" s="2">
        <f>Clients_Churn_Part[[#This Row],[Duree_Cumulee_Panne_Min]]/60</f>
        <v>8.3166666666666664</v>
      </c>
      <c r="J24">
        <v>27.81</v>
      </c>
      <c r="K24">
        <v>2</v>
      </c>
      <c r="L2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24">
        <f>Clients_Churn_Part[[#This Row],[Facture_Mensuelle]]*Clients_Churn_Part[[#This Row],[Remise]]</f>
        <v>12.5145</v>
      </c>
      <c r="N2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5" spans="1:14" x14ac:dyDescent="0.3">
      <c r="A25" t="s">
        <v>405</v>
      </c>
      <c r="B25" t="s">
        <v>439</v>
      </c>
      <c r="C25" t="s">
        <v>59</v>
      </c>
      <c r="D25">
        <v>15</v>
      </c>
      <c r="E25" s="7">
        <f>Clients_Churn_Part[[#This Row],[Anciennete_Mois]]/12</f>
        <v>1.25</v>
      </c>
      <c r="F25" t="s">
        <v>10</v>
      </c>
      <c r="G25" t="str">
        <f>IF(Clients_Churn_Part[[#This Row],[Type_Forfait]]="pro Monde","B2B","B2C")</f>
        <v>B2C</v>
      </c>
      <c r="H25">
        <v>75</v>
      </c>
      <c r="I25" s="2">
        <f>Clients_Churn_Part[[#This Row],[Duree_Cumulee_Panne_Min]]/60</f>
        <v>1.25</v>
      </c>
      <c r="J25">
        <v>45.59</v>
      </c>
      <c r="K25">
        <v>0</v>
      </c>
      <c r="L2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25">
        <f>Clients_Churn_Part[[#This Row],[Facture_Mensuelle]]*Clients_Churn_Part[[#This Row],[Remise]]</f>
        <v>20.515500000000003</v>
      </c>
      <c r="N2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6" spans="1:14" x14ac:dyDescent="0.3">
      <c r="A26" t="s">
        <v>360</v>
      </c>
      <c r="B26" t="s">
        <v>384</v>
      </c>
      <c r="C26" t="s">
        <v>15</v>
      </c>
      <c r="D26">
        <v>106</v>
      </c>
      <c r="E26" s="7">
        <f>Clients_Churn_Part[[#This Row],[Anciennete_Mois]]/12</f>
        <v>8.8333333333333339</v>
      </c>
      <c r="F26" t="s">
        <v>13</v>
      </c>
      <c r="G26" t="str">
        <f>IF(Clients_Churn_Part[[#This Row],[Type_Forfait]]="pro Monde","B2B","B2C")</f>
        <v>B2B</v>
      </c>
      <c r="H26">
        <v>429</v>
      </c>
      <c r="I26" s="2">
        <f>Clients_Churn_Part[[#This Row],[Duree_Cumulee_Panne_Min]]/60</f>
        <v>7.15</v>
      </c>
      <c r="J26">
        <v>23.83</v>
      </c>
      <c r="K26">
        <v>1</v>
      </c>
      <c r="L2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6">
        <f>Clients_Churn_Part[[#This Row],[Facture_Mensuelle]]*Clients_Churn_Part[[#This Row],[Remise]]</f>
        <v>16.680999999999997</v>
      </c>
      <c r="N2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7" spans="1:14" x14ac:dyDescent="0.3">
      <c r="A27" t="s">
        <v>8</v>
      </c>
      <c r="B27" t="s">
        <v>44</v>
      </c>
      <c r="C27" t="s">
        <v>27</v>
      </c>
      <c r="D27">
        <v>14</v>
      </c>
      <c r="E27" s="7">
        <f>Clients_Churn_Part[[#This Row],[Anciennete_Mois]]/12</f>
        <v>1.1666666666666667</v>
      </c>
      <c r="F27" t="s">
        <v>10</v>
      </c>
      <c r="G27" t="str">
        <f>IF(Clients_Churn_Part[[#This Row],[Type_Forfait]]="pro Monde","B2B","B2C")</f>
        <v>B2C</v>
      </c>
      <c r="H27">
        <v>75</v>
      </c>
      <c r="I27" s="2">
        <f>Clients_Churn_Part[[#This Row],[Duree_Cumulee_Panne_Min]]/60</f>
        <v>1.25</v>
      </c>
      <c r="J27">
        <v>55.67</v>
      </c>
      <c r="K27">
        <v>3</v>
      </c>
      <c r="L2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27">
        <f>Clients_Churn_Part[[#This Row],[Facture_Mensuelle]]*Clients_Churn_Part[[#This Row],[Remise]]</f>
        <v>25.051500000000001</v>
      </c>
      <c r="N2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8" spans="1:14" x14ac:dyDescent="0.3">
      <c r="A28" t="s">
        <v>452</v>
      </c>
      <c r="B28" t="s">
        <v>490</v>
      </c>
      <c r="C28" t="s">
        <v>41</v>
      </c>
      <c r="D28">
        <v>15</v>
      </c>
      <c r="E28" s="7">
        <f>Clients_Churn_Part[[#This Row],[Anciennete_Mois]]/12</f>
        <v>1.25</v>
      </c>
      <c r="F28" t="s">
        <v>18</v>
      </c>
      <c r="G28" t="str">
        <f>IF(Clients_Churn_Part[[#This Row],[Type_Forfait]]="pro Monde","B2B","B2C")</f>
        <v>B2C</v>
      </c>
      <c r="H28">
        <v>400</v>
      </c>
      <c r="I28" s="2">
        <f>Clients_Churn_Part[[#This Row],[Duree_Cumulee_Panne_Min]]/60</f>
        <v>6.666666666666667</v>
      </c>
      <c r="J28">
        <v>78.09</v>
      </c>
      <c r="K28">
        <v>0</v>
      </c>
      <c r="L2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8">
        <f>Clients_Churn_Part[[#This Row],[Facture_Mensuelle]]*Clients_Churn_Part[[#This Row],[Remise]]</f>
        <v>0</v>
      </c>
      <c r="N2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9" spans="1:14" x14ac:dyDescent="0.3">
      <c r="A29" t="s">
        <v>360</v>
      </c>
      <c r="B29" t="s">
        <v>401</v>
      </c>
      <c r="C29" t="s">
        <v>57</v>
      </c>
      <c r="D29">
        <v>50</v>
      </c>
      <c r="E29" s="7">
        <f>Clients_Churn_Part[[#This Row],[Anciennete_Mois]]/12</f>
        <v>4.166666666666667</v>
      </c>
      <c r="F29" t="s">
        <v>18</v>
      </c>
      <c r="G29" t="str">
        <f>IF(Clients_Churn_Part[[#This Row],[Type_Forfait]]="pro Monde","B2B","B2C")</f>
        <v>B2C</v>
      </c>
      <c r="H29">
        <v>435</v>
      </c>
      <c r="I29" s="2">
        <f>Clients_Churn_Part[[#This Row],[Duree_Cumulee_Panne_Min]]/60</f>
        <v>7.25</v>
      </c>
      <c r="J29">
        <v>27.86</v>
      </c>
      <c r="K29">
        <v>3</v>
      </c>
      <c r="L2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9">
        <f>Clients_Churn_Part[[#This Row],[Facture_Mensuelle]]*Clients_Churn_Part[[#This Row],[Remise]]</f>
        <v>0</v>
      </c>
      <c r="N2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0" spans="1:14" x14ac:dyDescent="0.3">
      <c r="A30" t="s">
        <v>538</v>
      </c>
      <c r="B30" t="s">
        <v>583</v>
      </c>
      <c r="C30" t="s">
        <v>72</v>
      </c>
      <c r="D30">
        <v>12</v>
      </c>
      <c r="E30" s="7">
        <f>Clients_Churn_Part[[#This Row],[Anciennete_Mois]]/12</f>
        <v>1</v>
      </c>
      <c r="F30" t="s">
        <v>13</v>
      </c>
      <c r="G30" t="str">
        <f>IF(Clients_Churn_Part[[#This Row],[Type_Forfait]]="pro Monde","B2B","B2C")</f>
        <v>B2B</v>
      </c>
      <c r="H30">
        <v>42</v>
      </c>
      <c r="I30" s="2">
        <f>Clients_Churn_Part[[#This Row],[Duree_Cumulee_Panne_Min]]/60</f>
        <v>0.7</v>
      </c>
      <c r="J30">
        <v>48.64</v>
      </c>
      <c r="K30">
        <v>0</v>
      </c>
      <c r="L3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30">
        <f>Clients_Churn_Part[[#This Row],[Facture_Mensuelle]]*Clients_Churn_Part[[#This Row],[Remise]]</f>
        <v>4.8640000000000008</v>
      </c>
      <c r="N3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1" spans="1:14" x14ac:dyDescent="0.3">
      <c r="A31" t="s">
        <v>360</v>
      </c>
      <c r="B31" t="s">
        <v>373</v>
      </c>
      <c r="C31" t="s">
        <v>37</v>
      </c>
      <c r="D31">
        <v>29</v>
      </c>
      <c r="E31" s="7">
        <f>Clients_Churn_Part[[#This Row],[Anciennete_Mois]]/12</f>
        <v>2.4166666666666665</v>
      </c>
      <c r="F31" t="s">
        <v>13</v>
      </c>
      <c r="G31" t="str">
        <f>IF(Clients_Churn_Part[[#This Row],[Type_Forfait]]="pro Monde","B2B","B2C")</f>
        <v>B2B</v>
      </c>
      <c r="H31">
        <v>493</v>
      </c>
      <c r="I31" s="2">
        <f>Clients_Churn_Part[[#This Row],[Duree_Cumulee_Panne_Min]]/60</f>
        <v>8.2166666666666668</v>
      </c>
      <c r="J31">
        <v>42.02</v>
      </c>
      <c r="K31">
        <v>1</v>
      </c>
      <c r="L3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31">
        <f>Clients_Churn_Part[[#This Row],[Facture_Mensuelle]]*Clients_Churn_Part[[#This Row],[Remise]]</f>
        <v>4.2020000000000008</v>
      </c>
      <c r="N3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2" spans="1:14" x14ac:dyDescent="0.3">
      <c r="A32" t="s">
        <v>538</v>
      </c>
      <c r="B32" t="s">
        <v>580</v>
      </c>
      <c r="C32" t="s">
        <v>17</v>
      </c>
      <c r="D32">
        <v>42</v>
      </c>
      <c r="E32" s="7">
        <f>Clients_Churn_Part[[#This Row],[Anciennete_Mois]]/12</f>
        <v>3.5</v>
      </c>
      <c r="F32" t="s">
        <v>13</v>
      </c>
      <c r="G32" t="str">
        <f>IF(Clients_Churn_Part[[#This Row],[Type_Forfait]]="pro Monde","B2B","B2C")</f>
        <v>B2B</v>
      </c>
      <c r="H32">
        <v>167</v>
      </c>
      <c r="I32" s="2">
        <f>Clients_Churn_Part[[#This Row],[Duree_Cumulee_Panne_Min]]/60</f>
        <v>2.7833333333333332</v>
      </c>
      <c r="J32">
        <v>45.85</v>
      </c>
      <c r="K32">
        <v>2</v>
      </c>
      <c r="L3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32">
        <f>Clients_Churn_Part[[#This Row],[Facture_Mensuelle]]*Clients_Churn_Part[[#This Row],[Remise]]</f>
        <v>4.585</v>
      </c>
      <c r="N3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3" spans="1:14" x14ac:dyDescent="0.3">
      <c r="A33" t="s">
        <v>494</v>
      </c>
      <c r="B33" t="s">
        <v>499</v>
      </c>
      <c r="C33" t="s">
        <v>68</v>
      </c>
      <c r="D33">
        <v>74</v>
      </c>
      <c r="E33" s="7">
        <f>Clients_Churn_Part[[#This Row],[Anciennete_Mois]]/12</f>
        <v>6.166666666666667</v>
      </c>
      <c r="F33" t="s">
        <v>18</v>
      </c>
      <c r="G33" t="str">
        <f>IF(Clients_Churn_Part[[#This Row],[Type_Forfait]]="pro Monde","B2B","B2C")</f>
        <v>B2C</v>
      </c>
      <c r="H33">
        <v>388</v>
      </c>
      <c r="I33" s="2">
        <f>Clients_Churn_Part[[#This Row],[Duree_Cumulee_Panne_Min]]/60</f>
        <v>6.4666666666666668</v>
      </c>
      <c r="J33">
        <v>10.89</v>
      </c>
      <c r="K33">
        <v>4</v>
      </c>
      <c r="L3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3">
        <f>Clients_Churn_Part[[#This Row],[Facture_Mensuelle]]*Clients_Churn_Part[[#This Row],[Remise]]</f>
        <v>7.6230000000000002</v>
      </c>
      <c r="N3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4" spans="1:14" x14ac:dyDescent="0.3">
      <c r="A34" t="s">
        <v>267</v>
      </c>
      <c r="B34" t="s">
        <v>290</v>
      </c>
      <c r="C34" t="s">
        <v>118</v>
      </c>
      <c r="D34">
        <v>93</v>
      </c>
      <c r="E34" s="7">
        <f>Clients_Churn_Part[[#This Row],[Anciennete_Mois]]/12</f>
        <v>7.75</v>
      </c>
      <c r="F34" t="s">
        <v>10</v>
      </c>
      <c r="G34" t="str">
        <f>IF(Clients_Churn_Part[[#This Row],[Type_Forfait]]="pro Monde","B2B","B2C")</f>
        <v>B2C</v>
      </c>
      <c r="H34">
        <v>150</v>
      </c>
      <c r="I34" s="2">
        <f>Clients_Churn_Part[[#This Row],[Duree_Cumulee_Panne_Min]]/60</f>
        <v>2.5</v>
      </c>
      <c r="J34">
        <v>93.25</v>
      </c>
      <c r="K34">
        <v>3</v>
      </c>
      <c r="L3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4">
        <f>Clients_Churn_Part[[#This Row],[Facture_Mensuelle]]*Clients_Churn_Part[[#This Row],[Remise]]</f>
        <v>65.274999999999991</v>
      </c>
      <c r="N3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5" spans="1:14" x14ac:dyDescent="0.3">
      <c r="A35" t="s">
        <v>637</v>
      </c>
      <c r="B35" t="s">
        <v>678</v>
      </c>
      <c r="C35" t="s">
        <v>12</v>
      </c>
      <c r="D35">
        <v>19</v>
      </c>
      <c r="E35" s="7">
        <f>Clients_Churn_Part[[#This Row],[Anciennete_Mois]]/12</f>
        <v>1.5833333333333333</v>
      </c>
      <c r="F35" t="s">
        <v>18</v>
      </c>
      <c r="G35" t="str">
        <f>IF(Clients_Churn_Part[[#This Row],[Type_Forfait]]="pro Monde","B2B","B2C")</f>
        <v>B2C</v>
      </c>
      <c r="H35">
        <v>345</v>
      </c>
      <c r="I35" s="2">
        <f>Clients_Churn_Part[[#This Row],[Duree_Cumulee_Panne_Min]]/60</f>
        <v>5.75</v>
      </c>
      <c r="J35">
        <v>54.37</v>
      </c>
      <c r="K35">
        <v>2</v>
      </c>
      <c r="L3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35">
        <f>Clients_Churn_Part[[#This Row],[Facture_Mensuelle]]*Clients_Churn_Part[[#This Row],[Remise]]</f>
        <v>0</v>
      </c>
      <c r="N3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6" spans="1:14" x14ac:dyDescent="0.3">
      <c r="A36" t="s">
        <v>220</v>
      </c>
      <c r="B36" t="s">
        <v>227</v>
      </c>
      <c r="C36" t="s">
        <v>54</v>
      </c>
      <c r="D36">
        <v>82</v>
      </c>
      <c r="E36" s="7">
        <f>Clients_Churn_Part[[#This Row],[Anciennete_Mois]]/12</f>
        <v>6.833333333333333</v>
      </c>
      <c r="F36" t="s">
        <v>10</v>
      </c>
      <c r="G36" t="str">
        <f>IF(Clients_Churn_Part[[#This Row],[Type_Forfait]]="pro Monde","B2B","B2C")</f>
        <v>B2C</v>
      </c>
      <c r="H36">
        <v>88</v>
      </c>
      <c r="I36" s="2">
        <f>Clients_Churn_Part[[#This Row],[Duree_Cumulee_Panne_Min]]/60</f>
        <v>1.4666666666666666</v>
      </c>
      <c r="J36">
        <v>86.64</v>
      </c>
      <c r="K36">
        <v>1</v>
      </c>
      <c r="L3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6">
        <f>Clients_Churn_Part[[#This Row],[Facture_Mensuelle]]*Clients_Churn_Part[[#This Row],[Remise]]</f>
        <v>60.647999999999996</v>
      </c>
      <c r="N3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7" spans="1:14" x14ac:dyDescent="0.3">
      <c r="A37" t="s">
        <v>405</v>
      </c>
      <c r="B37" t="s">
        <v>425</v>
      </c>
      <c r="C37" t="s">
        <v>15</v>
      </c>
      <c r="D37">
        <v>42</v>
      </c>
      <c r="E37" s="7">
        <f>Clients_Churn_Part[[#This Row],[Anciennete_Mois]]/12</f>
        <v>3.5</v>
      </c>
      <c r="F37" t="s">
        <v>18</v>
      </c>
      <c r="G37" t="str">
        <f>IF(Clients_Churn_Part[[#This Row],[Type_Forfait]]="pro Monde","B2B","B2C")</f>
        <v>B2C</v>
      </c>
      <c r="H37">
        <v>436</v>
      </c>
      <c r="I37" s="2">
        <f>Clients_Churn_Part[[#This Row],[Duree_Cumulee_Panne_Min]]/60</f>
        <v>7.2666666666666666</v>
      </c>
      <c r="J37">
        <v>88.12</v>
      </c>
      <c r="K37">
        <v>0</v>
      </c>
      <c r="L3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37">
        <f>Clients_Churn_Part[[#This Row],[Facture_Mensuelle]]*Clients_Churn_Part[[#This Row],[Remise]]</f>
        <v>0</v>
      </c>
      <c r="N3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8" spans="1:14" x14ac:dyDescent="0.3">
      <c r="A38" t="s">
        <v>129</v>
      </c>
      <c r="B38" t="s">
        <v>153</v>
      </c>
      <c r="C38" t="s">
        <v>83</v>
      </c>
      <c r="D38">
        <v>98</v>
      </c>
      <c r="E38" s="7">
        <f>Clients_Churn_Part[[#This Row],[Anciennete_Mois]]/12</f>
        <v>8.1666666666666661</v>
      </c>
      <c r="F38" t="s">
        <v>18</v>
      </c>
      <c r="G38" t="str">
        <f>IF(Clients_Churn_Part[[#This Row],[Type_Forfait]]="pro Monde","B2B","B2C")</f>
        <v>B2C</v>
      </c>
      <c r="H38">
        <v>52</v>
      </c>
      <c r="I38" s="2">
        <f>Clients_Churn_Part[[#This Row],[Duree_Cumulee_Panne_Min]]/60</f>
        <v>0.8666666666666667</v>
      </c>
      <c r="J38">
        <v>52.82</v>
      </c>
      <c r="K38">
        <v>2</v>
      </c>
      <c r="L3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8">
        <f>Clients_Churn_Part[[#This Row],[Facture_Mensuelle]]*Clients_Churn_Part[[#This Row],[Remise]]</f>
        <v>36.973999999999997</v>
      </c>
      <c r="N3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9" spans="1:14" x14ac:dyDescent="0.3">
      <c r="A39" t="s">
        <v>8</v>
      </c>
      <c r="B39" t="s">
        <v>51</v>
      </c>
      <c r="C39" t="s">
        <v>24</v>
      </c>
      <c r="D39">
        <v>59</v>
      </c>
      <c r="E39" s="7">
        <f>Clients_Churn_Part[[#This Row],[Anciennete_Mois]]/12</f>
        <v>4.916666666666667</v>
      </c>
      <c r="F39" t="s">
        <v>21</v>
      </c>
      <c r="G39" t="str">
        <f>IF(Clients_Churn_Part[[#This Row],[Type_Forfait]]="pro Monde","B2B","B2C")</f>
        <v>B2C</v>
      </c>
      <c r="H39">
        <v>454</v>
      </c>
      <c r="I39" s="2">
        <f>Clients_Churn_Part[[#This Row],[Duree_Cumulee_Panne_Min]]/60</f>
        <v>7.5666666666666664</v>
      </c>
      <c r="J39">
        <v>10.47</v>
      </c>
      <c r="K39">
        <v>5</v>
      </c>
      <c r="L3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39">
        <f>Clients_Churn_Part[[#This Row],[Facture_Mensuelle]]*Clients_Churn_Part[[#This Row],[Remise]]</f>
        <v>0</v>
      </c>
      <c r="N3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0" spans="1:14" x14ac:dyDescent="0.3">
      <c r="A40" t="s">
        <v>79</v>
      </c>
      <c r="B40" t="s">
        <v>124</v>
      </c>
      <c r="C40" t="s">
        <v>41</v>
      </c>
      <c r="D40">
        <v>25</v>
      </c>
      <c r="E40" s="7">
        <f>Clients_Churn_Part[[#This Row],[Anciennete_Mois]]/12</f>
        <v>2.0833333333333335</v>
      </c>
      <c r="F40" t="s">
        <v>10</v>
      </c>
      <c r="G40" t="str">
        <f>IF(Clients_Churn_Part[[#This Row],[Type_Forfait]]="pro Monde","B2B","B2C")</f>
        <v>B2C</v>
      </c>
      <c r="H40">
        <v>64</v>
      </c>
      <c r="I40" s="2">
        <f>Clients_Churn_Part[[#This Row],[Duree_Cumulee_Panne_Min]]/60</f>
        <v>1.0666666666666667</v>
      </c>
      <c r="J40">
        <v>38.950000000000003</v>
      </c>
      <c r="K40">
        <v>5</v>
      </c>
      <c r="L4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40">
        <f>Clients_Churn_Part[[#This Row],[Facture_Mensuelle]]*Clients_Churn_Part[[#This Row],[Remise]]</f>
        <v>17.527500000000003</v>
      </c>
      <c r="N4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1" spans="1:14" x14ac:dyDescent="0.3">
      <c r="A41" t="s">
        <v>360</v>
      </c>
      <c r="B41" t="s">
        <v>364</v>
      </c>
      <c r="C41" t="s">
        <v>27</v>
      </c>
      <c r="D41">
        <v>43</v>
      </c>
      <c r="E41" s="7">
        <f>Clients_Churn_Part[[#This Row],[Anciennete_Mois]]/12</f>
        <v>3.5833333333333335</v>
      </c>
      <c r="F41" t="s">
        <v>10</v>
      </c>
      <c r="G41" t="str">
        <f>IF(Clients_Churn_Part[[#This Row],[Type_Forfait]]="pro Monde","B2B","B2C")</f>
        <v>B2C</v>
      </c>
      <c r="H41">
        <v>486</v>
      </c>
      <c r="I41" s="2">
        <f>Clients_Churn_Part[[#This Row],[Duree_Cumulee_Panne_Min]]/60</f>
        <v>8.1</v>
      </c>
      <c r="J41">
        <v>76.42</v>
      </c>
      <c r="K41">
        <v>1</v>
      </c>
      <c r="L4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41">
        <f>Clients_Churn_Part[[#This Row],[Facture_Mensuelle]]*Clients_Churn_Part[[#This Row],[Remise]]</f>
        <v>34.389000000000003</v>
      </c>
      <c r="N4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2" spans="1:14" x14ac:dyDescent="0.3">
      <c r="A42" t="s">
        <v>682</v>
      </c>
      <c r="B42" t="s">
        <v>698</v>
      </c>
      <c r="C42" t="s">
        <v>41</v>
      </c>
      <c r="D42">
        <v>108</v>
      </c>
      <c r="E42" s="7">
        <f>Clients_Churn_Part[[#This Row],[Anciennete_Mois]]/12</f>
        <v>9</v>
      </c>
      <c r="F42" t="s">
        <v>18</v>
      </c>
      <c r="G42" t="str">
        <f>IF(Clients_Churn_Part[[#This Row],[Type_Forfait]]="pro Monde","B2B","B2C")</f>
        <v>B2C</v>
      </c>
      <c r="H42">
        <v>467</v>
      </c>
      <c r="I42" s="2">
        <f>Clients_Churn_Part[[#This Row],[Duree_Cumulee_Panne_Min]]/60</f>
        <v>7.7833333333333332</v>
      </c>
      <c r="J42">
        <v>44.84</v>
      </c>
      <c r="K42">
        <v>4</v>
      </c>
      <c r="L4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2">
        <f>Clients_Churn_Part[[#This Row],[Facture_Mensuelle]]*Clients_Churn_Part[[#This Row],[Remise]]</f>
        <v>31.388000000000002</v>
      </c>
      <c r="N4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3" spans="1:14" x14ac:dyDescent="0.3">
      <c r="A43" t="s">
        <v>174</v>
      </c>
      <c r="B43" t="s">
        <v>214</v>
      </c>
      <c r="C43" t="s">
        <v>23</v>
      </c>
      <c r="D43">
        <v>120</v>
      </c>
      <c r="E43" s="7">
        <f>Clients_Churn_Part[[#This Row],[Anciennete_Mois]]/12</f>
        <v>10</v>
      </c>
      <c r="F43" t="s">
        <v>21</v>
      </c>
      <c r="G43" t="str">
        <f>IF(Clients_Churn_Part[[#This Row],[Type_Forfait]]="pro Monde","B2B","B2C")</f>
        <v>B2C</v>
      </c>
      <c r="H43">
        <v>224</v>
      </c>
      <c r="I43" s="2">
        <f>Clients_Churn_Part[[#This Row],[Duree_Cumulee_Panne_Min]]/60</f>
        <v>3.7333333333333334</v>
      </c>
      <c r="J43">
        <v>69.36</v>
      </c>
      <c r="K43">
        <v>0</v>
      </c>
      <c r="L4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3">
        <f>Clients_Churn_Part[[#This Row],[Facture_Mensuelle]]*Clients_Churn_Part[[#This Row],[Remise]]</f>
        <v>48.552</v>
      </c>
      <c r="N4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4" spans="1:14" x14ac:dyDescent="0.3">
      <c r="A44" t="s">
        <v>494</v>
      </c>
      <c r="B44" t="s">
        <v>503</v>
      </c>
      <c r="C44" t="s">
        <v>68</v>
      </c>
      <c r="D44">
        <v>23</v>
      </c>
      <c r="E44" s="7">
        <f>Clients_Churn_Part[[#This Row],[Anciennete_Mois]]/12</f>
        <v>1.9166666666666667</v>
      </c>
      <c r="F44" t="s">
        <v>18</v>
      </c>
      <c r="G44" t="str">
        <f>IF(Clients_Churn_Part[[#This Row],[Type_Forfait]]="pro Monde","B2B","B2C")</f>
        <v>B2C</v>
      </c>
      <c r="H44">
        <v>325</v>
      </c>
      <c r="I44" s="2">
        <f>Clients_Churn_Part[[#This Row],[Duree_Cumulee_Panne_Min]]/60</f>
        <v>5.416666666666667</v>
      </c>
      <c r="J44">
        <v>65.489999999999995</v>
      </c>
      <c r="K44">
        <v>1</v>
      </c>
      <c r="L4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44">
        <f>Clients_Churn_Part[[#This Row],[Facture_Mensuelle]]*Clients_Churn_Part[[#This Row],[Remise]]</f>
        <v>0</v>
      </c>
      <c r="N4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5" spans="1:14" x14ac:dyDescent="0.3">
      <c r="A45" t="s">
        <v>360</v>
      </c>
      <c r="B45" t="s">
        <v>361</v>
      </c>
      <c r="C45" t="s">
        <v>62</v>
      </c>
      <c r="D45">
        <v>12</v>
      </c>
      <c r="E45" s="7">
        <f>Clients_Churn_Part[[#This Row],[Anciennete_Mois]]/12</f>
        <v>1</v>
      </c>
      <c r="F45" t="s">
        <v>13</v>
      </c>
      <c r="G45" t="str">
        <f>IF(Clients_Churn_Part[[#This Row],[Type_Forfait]]="pro Monde","B2B","B2C")</f>
        <v>B2B</v>
      </c>
      <c r="H45">
        <v>125</v>
      </c>
      <c r="I45" s="2">
        <f>Clients_Churn_Part[[#This Row],[Duree_Cumulee_Panne_Min]]/60</f>
        <v>2.0833333333333335</v>
      </c>
      <c r="J45">
        <v>36.93</v>
      </c>
      <c r="K45">
        <v>0</v>
      </c>
      <c r="L4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45">
        <f>Clients_Churn_Part[[#This Row],[Facture_Mensuelle]]*Clients_Churn_Part[[#This Row],[Remise]]</f>
        <v>3.6930000000000001</v>
      </c>
      <c r="N4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6" spans="1:14" x14ac:dyDescent="0.3">
      <c r="A46" t="s">
        <v>538</v>
      </c>
      <c r="B46" t="s">
        <v>582</v>
      </c>
      <c r="C46" t="s">
        <v>72</v>
      </c>
      <c r="D46">
        <v>12</v>
      </c>
      <c r="E46" s="7">
        <f>Clients_Churn_Part[[#This Row],[Anciennete_Mois]]/12</f>
        <v>1</v>
      </c>
      <c r="F46" t="s">
        <v>21</v>
      </c>
      <c r="G46" t="str">
        <f>IF(Clients_Churn_Part[[#This Row],[Type_Forfait]]="pro Monde","B2B","B2C")</f>
        <v>B2C</v>
      </c>
      <c r="H46">
        <v>112</v>
      </c>
      <c r="I46" s="2">
        <f>Clients_Churn_Part[[#This Row],[Duree_Cumulee_Panne_Min]]/60</f>
        <v>1.8666666666666667</v>
      </c>
      <c r="J46">
        <v>82.81</v>
      </c>
      <c r="K46">
        <v>0</v>
      </c>
      <c r="L4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46">
        <f>Clients_Churn_Part[[#This Row],[Facture_Mensuelle]]*Clients_Churn_Part[[#This Row],[Remise]]</f>
        <v>0</v>
      </c>
      <c r="N4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7" spans="1:14" x14ac:dyDescent="0.3">
      <c r="A47" t="s">
        <v>452</v>
      </c>
      <c r="B47" t="s">
        <v>466</v>
      </c>
      <c r="C47" t="s">
        <v>54</v>
      </c>
      <c r="D47">
        <v>35</v>
      </c>
      <c r="E47" s="7">
        <f>Clients_Churn_Part[[#This Row],[Anciennete_Mois]]/12</f>
        <v>2.9166666666666665</v>
      </c>
      <c r="F47" t="s">
        <v>13</v>
      </c>
      <c r="G47" t="str">
        <f>IF(Clients_Churn_Part[[#This Row],[Type_Forfait]]="pro Monde","B2B","B2C")</f>
        <v>B2B</v>
      </c>
      <c r="H47">
        <v>445</v>
      </c>
      <c r="I47" s="2">
        <f>Clients_Churn_Part[[#This Row],[Duree_Cumulee_Panne_Min]]/60</f>
        <v>7.416666666666667</v>
      </c>
      <c r="J47">
        <v>24.11</v>
      </c>
      <c r="K47">
        <v>2</v>
      </c>
      <c r="L4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47">
        <f>Clients_Churn_Part[[#This Row],[Facture_Mensuelle]]*Clients_Churn_Part[[#This Row],[Remise]]</f>
        <v>2.411</v>
      </c>
      <c r="N4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8" spans="1:14" x14ac:dyDescent="0.3">
      <c r="A48" t="s">
        <v>589</v>
      </c>
      <c r="B48" t="s">
        <v>620</v>
      </c>
      <c r="C48" t="s">
        <v>72</v>
      </c>
      <c r="D48">
        <v>43</v>
      </c>
      <c r="E48" s="7">
        <f>Clients_Churn_Part[[#This Row],[Anciennete_Mois]]/12</f>
        <v>3.5833333333333335</v>
      </c>
      <c r="F48" t="s">
        <v>10</v>
      </c>
      <c r="G48" t="str">
        <f>IF(Clients_Churn_Part[[#This Row],[Type_Forfait]]="pro Monde","B2B","B2C")</f>
        <v>B2C</v>
      </c>
      <c r="H48">
        <v>27</v>
      </c>
      <c r="I48" s="2">
        <f>Clients_Churn_Part[[#This Row],[Duree_Cumulee_Panne_Min]]/60</f>
        <v>0.45</v>
      </c>
      <c r="J48">
        <v>31.48</v>
      </c>
      <c r="K48">
        <v>5</v>
      </c>
      <c r="L4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48">
        <f>Clients_Churn_Part[[#This Row],[Facture_Mensuelle]]*Clients_Churn_Part[[#This Row],[Remise]]</f>
        <v>14.166</v>
      </c>
      <c r="N4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9" spans="1:14" x14ac:dyDescent="0.3">
      <c r="A49" t="s">
        <v>538</v>
      </c>
      <c r="B49" t="s">
        <v>568</v>
      </c>
      <c r="C49" t="s">
        <v>9</v>
      </c>
      <c r="D49">
        <v>81</v>
      </c>
      <c r="E49" s="7">
        <f>Clients_Churn_Part[[#This Row],[Anciennete_Mois]]/12</f>
        <v>6.75</v>
      </c>
      <c r="F49" t="s">
        <v>21</v>
      </c>
      <c r="G49" t="str">
        <f>IF(Clients_Churn_Part[[#This Row],[Type_Forfait]]="pro Monde","B2B","B2C")</f>
        <v>B2C</v>
      </c>
      <c r="H49">
        <v>11</v>
      </c>
      <c r="I49" s="2">
        <f>Clients_Churn_Part[[#This Row],[Duree_Cumulee_Panne_Min]]/60</f>
        <v>0.18333333333333332</v>
      </c>
      <c r="J49">
        <v>41.76</v>
      </c>
      <c r="K49">
        <v>5</v>
      </c>
      <c r="L4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49">
        <f>Clients_Churn_Part[[#This Row],[Facture_Mensuelle]]*Clients_Churn_Part[[#This Row],[Remise]]</f>
        <v>18.791999999999998</v>
      </c>
      <c r="N4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0" spans="1:14" x14ac:dyDescent="0.3">
      <c r="A50" t="s">
        <v>174</v>
      </c>
      <c r="B50" t="s">
        <v>197</v>
      </c>
      <c r="C50" t="s">
        <v>57</v>
      </c>
      <c r="D50">
        <v>102</v>
      </c>
      <c r="E50" s="7">
        <f>Clients_Churn_Part[[#This Row],[Anciennete_Mois]]/12</f>
        <v>8.5</v>
      </c>
      <c r="F50" t="s">
        <v>10</v>
      </c>
      <c r="G50" t="str">
        <f>IF(Clients_Churn_Part[[#This Row],[Type_Forfait]]="pro Monde","B2B","B2C")</f>
        <v>B2C</v>
      </c>
      <c r="H50">
        <v>402</v>
      </c>
      <c r="I50" s="2">
        <f>Clients_Churn_Part[[#This Row],[Duree_Cumulee_Panne_Min]]/60</f>
        <v>6.7</v>
      </c>
      <c r="J50">
        <v>28.38</v>
      </c>
      <c r="K50">
        <v>5</v>
      </c>
      <c r="L5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0">
        <f>Clients_Churn_Part[[#This Row],[Facture_Mensuelle]]*Clients_Churn_Part[[#This Row],[Remise]]</f>
        <v>19.866</v>
      </c>
      <c r="N5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1" spans="1:14" x14ac:dyDescent="0.3">
      <c r="A51" t="s">
        <v>589</v>
      </c>
      <c r="B51" t="s">
        <v>597</v>
      </c>
      <c r="C51" t="s">
        <v>41</v>
      </c>
      <c r="D51">
        <v>22</v>
      </c>
      <c r="E51" s="7">
        <f>Clients_Churn_Part[[#This Row],[Anciennete_Mois]]/12</f>
        <v>1.8333333333333333</v>
      </c>
      <c r="F51" t="s">
        <v>13</v>
      </c>
      <c r="G51" t="str">
        <f>IF(Clients_Churn_Part[[#This Row],[Type_Forfait]]="pro Monde","B2B","B2C")</f>
        <v>B2B</v>
      </c>
      <c r="H51">
        <v>457</v>
      </c>
      <c r="I51" s="2">
        <f>Clients_Churn_Part[[#This Row],[Duree_Cumulee_Panne_Min]]/60</f>
        <v>7.6166666666666663</v>
      </c>
      <c r="J51">
        <v>13.21</v>
      </c>
      <c r="K51">
        <v>1</v>
      </c>
      <c r="L5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51">
        <f>Clients_Churn_Part[[#This Row],[Facture_Mensuelle]]*Clients_Churn_Part[[#This Row],[Remise]]</f>
        <v>1.3210000000000002</v>
      </c>
      <c r="N5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2" spans="1:14" x14ac:dyDescent="0.3">
      <c r="A52" t="s">
        <v>220</v>
      </c>
      <c r="B52" t="s">
        <v>242</v>
      </c>
      <c r="C52" t="s">
        <v>27</v>
      </c>
      <c r="D52">
        <v>91</v>
      </c>
      <c r="E52" s="7">
        <f>Clients_Churn_Part[[#This Row],[Anciennete_Mois]]/12</f>
        <v>7.583333333333333</v>
      </c>
      <c r="F52" t="s">
        <v>18</v>
      </c>
      <c r="G52" t="str">
        <f>IF(Clients_Churn_Part[[#This Row],[Type_Forfait]]="pro Monde","B2B","B2C")</f>
        <v>B2C</v>
      </c>
      <c r="H52">
        <v>188</v>
      </c>
      <c r="I52" s="2">
        <f>Clients_Churn_Part[[#This Row],[Duree_Cumulee_Panne_Min]]/60</f>
        <v>3.1333333333333333</v>
      </c>
      <c r="J52">
        <v>65.78</v>
      </c>
      <c r="K52">
        <v>4</v>
      </c>
      <c r="L5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2">
        <f>Clients_Churn_Part[[#This Row],[Facture_Mensuelle]]*Clients_Churn_Part[[#This Row],[Remise]]</f>
        <v>46.045999999999999</v>
      </c>
      <c r="N5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3" spans="1:14" x14ac:dyDescent="0.3">
      <c r="A53" t="s">
        <v>589</v>
      </c>
      <c r="B53" t="s">
        <v>607</v>
      </c>
      <c r="C53" t="s">
        <v>24</v>
      </c>
      <c r="D53">
        <v>1</v>
      </c>
      <c r="E53" s="7">
        <f>Clients_Churn_Part[[#This Row],[Anciennete_Mois]]/12</f>
        <v>8.3333333333333329E-2</v>
      </c>
      <c r="F53" t="s">
        <v>18</v>
      </c>
      <c r="G53" t="str">
        <f>IF(Clients_Churn_Part[[#This Row],[Type_Forfait]]="pro Monde","B2B","B2C")</f>
        <v>B2C</v>
      </c>
      <c r="H53">
        <v>135</v>
      </c>
      <c r="I53" s="2">
        <f>Clients_Churn_Part[[#This Row],[Duree_Cumulee_Panne_Min]]/60</f>
        <v>2.25</v>
      </c>
      <c r="J53">
        <v>89.16</v>
      </c>
      <c r="K53">
        <v>3</v>
      </c>
      <c r="L5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3">
        <f>Clients_Churn_Part[[#This Row],[Facture_Mensuelle]]*Clients_Churn_Part[[#This Row],[Remise]]</f>
        <v>0</v>
      </c>
      <c r="N5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4" spans="1:14" x14ac:dyDescent="0.3">
      <c r="A54" t="s">
        <v>8</v>
      </c>
      <c r="B54" t="s">
        <v>55</v>
      </c>
      <c r="C54" t="s">
        <v>31</v>
      </c>
      <c r="D54">
        <v>15</v>
      </c>
      <c r="E54" s="7">
        <f>Clients_Churn_Part[[#This Row],[Anciennete_Mois]]/12</f>
        <v>1.25</v>
      </c>
      <c r="F54" t="s">
        <v>13</v>
      </c>
      <c r="G54" t="str">
        <f>IF(Clients_Churn_Part[[#This Row],[Type_Forfait]]="pro Monde","B2B","B2C")</f>
        <v>B2B</v>
      </c>
      <c r="H54">
        <v>403</v>
      </c>
      <c r="I54" s="2">
        <f>Clients_Churn_Part[[#This Row],[Duree_Cumulee_Panne_Min]]/60</f>
        <v>6.7166666666666668</v>
      </c>
      <c r="J54">
        <v>77.12</v>
      </c>
      <c r="K54">
        <v>1</v>
      </c>
      <c r="L5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54">
        <f>Clients_Churn_Part[[#This Row],[Facture_Mensuelle]]*Clients_Churn_Part[[#This Row],[Remise]]</f>
        <v>7.7120000000000006</v>
      </c>
      <c r="N5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5" spans="1:14" x14ac:dyDescent="0.3">
      <c r="A55" t="s">
        <v>267</v>
      </c>
      <c r="B55" t="s">
        <v>269</v>
      </c>
      <c r="C55" t="s">
        <v>29</v>
      </c>
      <c r="D55">
        <v>50</v>
      </c>
      <c r="E55" s="7">
        <f>Clients_Churn_Part[[#This Row],[Anciennete_Mois]]/12</f>
        <v>4.166666666666667</v>
      </c>
      <c r="F55" t="s">
        <v>13</v>
      </c>
      <c r="G55" t="str">
        <f>IF(Clients_Churn_Part[[#This Row],[Type_Forfait]]="pro Monde","B2B","B2C")</f>
        <v>B2B</v>
      </c>
      <c r="H55">
        <v>108</v>
      </c>
      <c r="I55" s="2">
        <f>Clients_Churn_Part[[#This Row],[Duree_Cumulee_Panne_Min]]/60</f>
        <v>1.8</v>
      </c>
      <c r="J55">
        <v>43.81</v>
      </c>
      <c r="K55">
        <v>5</v>
      </c>
      <c r="L5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55">
        <f>Clients_Churn_Part[[#This Row],[Facture_Mensuelle]]*Clients_Churn_Part[[#This Row],[Remise]]</f>
        <v>4.3810000000000002</v>
      </c>
      <c r="N5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6" spans="1:14" x14ac:dyDescent="0.3">
      <c r="A56" t="s">
        <v>314</v>
      </c>
      <c r="B56" t="s">
        <v>344</v>
      </c>
      <c r="C56" t="s">
        <v>72</v>
      </c>
      <c r="D56">
        <v>19</v>
      </c>
      <c r="E56" s="7">
        <f>Clients_Churn_Part[[#This Row],[Anciennete_Mois]]/12</f>
        <v>1.5833333333333333</v>
      </c>
      <c r="F56" t="s">
        <v>18</v>
      </c>
      <c r="G56" t="str">
        <f>IF(Clients_Churn_Part[[#This Row],[Type_Forfait]]="pro Monde","B2B","B2C")</f>
        <v>B2C</v>
      </c>
      <c r="H56">
        <v>305</v>
      </c>
      <c r="I56" s="2">
        <f>Clients_Churn_Part[[#This Row],[Duree_Cumulee_Panne_Min]]/60</f>
        <v>5.083333333333333</v>
      </c>
      <c r="J56">
        <v>81.11</v>
      </c>
      <c r="K56">
        <v>1</v>
      </c>
      <c r="L5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6">
        <f>Clients_Churn_Part[[#This Row],[Facture_Mensuelle]]*Clients_Churn_Part[[#This Row],[Remise]]</f>
        <v>0</v>
      </c>
      <c r="N5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7" spans="1:14" x14ac:dyDescent="0.3">
      <c r="A57" t="s">
        <v>637</v>
      </c>
      <c r="B57" t="s">
        <v>660</v>
      </c>
      <c r="C57" t="s">
        <v>62</v>
      </c>
      <c r="D57">
        <v>56</v>
      </c>
      <c r="E57" s="7">
        <f>Clients_Churn_Part[[#This Row],[Anciennete_Mois]]/12</f>
        <v>4.666666666666667</v>
      </c>
      <c r="F57" t="s">
        <v>18</v>
      </c>
      <c r="G57" t="str">
        <f>IF(Clients_Churn_Part[[#This Row],[Type_Forfait]]="pro Monde","B2B","B2C")</f>
        <v>B2C</v>
      </c>
      <c r="H57">
        <v>27</v>
      </c>
      <c r="I57" s="2">
        <f>Clients_Churn_Part[[#This Row],[Duree_Cumulee_Panne_Min]]/60</f>
        <v>0.45</v>
      </c>
      <c r="J57">
        <v>46.41</v>
      </c>
      <c r="K57">
        <v>3</v>
      </c>
      <c r="L5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57">
        <f>Clients_Churn_Part[[#This Row],[Facture_Mensuelle]]*Clients_Churn_Part[[#This Row],[Remise]]</f>
        <v>20.884499999999999</v>
      </c>
      <c r="N5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8" spans="1:14" x14ac:dyDescent="0.3">
      <c r="A58" t="s">
        <v>267</v>
      </c>
      <c r="B58" t="s">
        <v>284</v>
      </c>
      <c r="C58" t="s">
        <v>41</v>
      </c>
      <c r="D58">
        <v>98</v>
      </c>
      <c r="E58" s="7">
        <f>Clients_Churn_Part[[#This Row],[Anciennete_Mois]]/12</f>
        <v>8.1666666666666661</v>
      </c>
      <c r="F58" t="s">
        <v>10</v>
      </c>
      <c r="G58" t="str">
        <f>IF(Clients_Churn_Part[[#This Row],[Type_Forfait]]="pro Monde","B2B","B2C")</f>
        <v>B2C</v>
      </c>
      <c r="H58">
        <v>319</v>
      </c>
      <c r="I58" s="2">
        <f>Clients_Churn_Part[[#This Row],[Duree_Cumulee_Panne_Min]]/60</f>
        <v>5.3166666666666664</v>
      </c>
      <c r="J58">
        <v>88.58</v>
      </c>
      <c r="K58">
        <v>0</v>
      </c>
      <c r="L5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8">
        <f>Clients_Churn_Part[[#This Row],[Facture_Mensuelle]]*Clients_Churn_Part[[#This Row],[Remise]]</f>
        <v>62.005999999999993</v>
      </c>
      <c r="N5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9" spans="1:14" x14ac:dyDescent="0.3">
      <c r="A59" t="s">
        <v>360</v>
      </c>
      <c r="B59" t="s">
        <v>392</v>
      </c>
      <c r="C59" t="s">
        <v>61</v>
      </c>
      <c r="D59">
        <v>71</v>
      </c>
      <c r="E59" s="7">
        <f>Clients_Churn_Part[[#This Row],[Anciennete_Mois]]/12</f>
        <v>5.916666666666667</v>
      </c>
      <c r="F59" t="s">
        <v>10</v>
      </c>
      <c r="G59" t="str">
        <f>IF(Clients_Churn_Part[[#This Row],[Type_Forfait]]="pro Monde","B2B","B2C")</f>
        <v>B2C</v>
      </c>
      <c r="H59">
        <v>191</v>
      </c>
      <c r="I59" s="2">
        <f>Clients_Churn_Part[[#This Row],[Duree_Cumulee_Panne_Min]]/60</f>
        <v>3.1833333333333331</v>
      </c>
      <c r="J59">
        <v>83.04</v>
      </c>
      <c r="K59">
        <v>4</v>
      </c>
      <c r="L5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9">
        <f>Clients_Churn_Part[[#This Row],[Facture_Mensuelle]]*Clients_Churn_Part[[#This Row],[Remise]]</f>
        <v>58.128</v>
      </c>
      <c r="N5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0" spans="1:14" x14ac:dyDescent="0.3">
      <c r="A60" t="s">
        <v>8</v>
      </c>
      <c r="B60" t="s">
        <v>71</v>
      </c>
      <c r="C60" t="s">
        <v>72</v>
      </c>
      <c r="D60">
        <v>81</v>
      </c>
      <c r="E60" s="7">
        <f>Clients_Churn_Part[[#This Row],[Anciennete_Mois]]/12</f>
        <v>6.75</v>
      </c>
      <c r="F60" t="s">
        <v>13</v>
      </c>
      <c r="G60" t="str">
        <f>IF(Clients_Churn_Part[[#This Row],[Type_Forfait]]="pro Monde","B2B","B2C")</f>
        <v>B2B</v>
      </c>
      <c r="H60">
        <v>154</v>
      </c>
      <c r="I60" s="2">
        <f>Clients_Churn_Part[[#This Row],[Duree_Cumulee_Panne_Min]]/60</f>
        <v>2.5666666666666669</v>
      </c>
      <c r="J60">
        <v>19.47</v>
      </c>
      <c r="K60">
        <v>3</v>
      </c>
      <c r="L6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0">
        <f>Clients_Churn_Part[[#This Row],[Facture_Mensuelle]]*Clients_Churn_Part[[#This Row],[Remise]]</f>
        <v>13.628999999999998</v>
      </c>
      <c r="N6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1" spans="1:14" x14ac:dyDescent="0.3">
      <c r="A61" t="s">
        <v>494</v>
      </c>
      <c r="B61" t="s">
        <v>507</v>
      </c>
      <c r="C61" t="s">
        <v>23</v>
      </c>
      <c r="D61">
        <v>34</v>
      </c>
      <c r="E61" s="7">
        <f>Clients_Churn_Part[[#This Row],[Anciennete_Mois]]/12</f>
        <v>2.8333333333333335</v>
      </c>
      <c r="F61" t="s">
        <v>18</v>
      </c>
      <c r="G61" t="str">
        <f>IF(Clients_Churn_Part[[#This Row],[Type_Forfait]]="pro Monde","B2B","B2C")</f>
        <v>B2C</v>
      </c>
      <c r="H61">
        <v>35</v>
      </c>
      <c r="I61" s="2">
        <f>Clients_Churn_Part[[#This Row],[Duree_Cumulee_Panne_Min]]/60</f>
        <v>0.58333333333333337</v>
      </c>
      <c r="J61">
        <v>76.86</v>
      </c>
      <c r="K61">
        <v>1</v>
      </c>
      <c r="L6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61">
        <f>Clients_Churn_Part[[#This Row],[Facture_Mensuelle]]*Clients_Churn_Part[[#This Row],[Remise]]</f>
        <v>0</v>
      </c>
      <c r="N6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2" spans="1:14" x14ac:dyDescent="0.3">
      <c r="A62" t="s">
        <v>538</v>
      </c>
      <c r="B62" t="s">
        <v>549</v>
      </c>
      <c r="C62" t="s">
        <v>23</v>
      </c>
      <c r="D62">
        <v>55</v>
      </c>
      <c r="E62" s="7">
        <f>Clients_Churn_Part[[#This Row],[Anciennete_Mois]]/12</f>
        <v>4.583333333333333</v>
      </c>
      <c r="F62" t="s">
        <v>21</v>
      </c>
      <c r="G62" t="str">
        <f>IF(Clients_Churn_Part[[#This Row],[Type_Forfait]]="pro Monde","B2B","B2C")</f>
        <v>B2C</v>
      </c>
      <c r="H62">
        <v>60</v>
      </c>
      <c r="I62" s="2">
        <f>Clients_Churn_Part[[#This Row],[Duree_Cumulee_Panne_Min]]/60</f>
        <v>1</v>
      </c>
      <c r="J62">
        <v>32.51</v>
      </c>
      <c r="K62">
        <v>4</v>
      </c>
      <c r="L6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62">
        <f>Clients_Churn_Part[[#This Row],[Facture_Mensuelle]]*Clients_Churn_Part[[#This Row],[Remise]]</f>
        <v>0</v>
      </c>
      <c r="N6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3" spans="1:14" x14ac:dyDescent="0.3">
      <c r="A63" t="s">
        <v>405</v>
      </c>
      <c r="B63" t="s">
        <v>450</v>
      </c>
      <c r="C63" t="s">
        <v>68</v>
      </c>
      <c r="D63">
        <v>47</v>
      </c>
      <c r="E63" s="7">
        <f>Clients_Churn_Part[[#This Row],[Anciennete_Mois]]/12</f>
        <v>3.9166666666666665</v>
      </c>
      <c r="F63" t="s">
        <v>13</v>
      </c>
      <c r="G63" t="str">
        <f>IF(Clients_Churn_Part[[#This Row],[Type_Forfait]]="pro Monde","B2B","B2C")</f>
        <v>B2B</v>
      </c>
      <c r="H63">
        <v>107</v>
      </c>
      <c r="I63" s="2">
        <f>Clients_Churn_Part[[#This Row],[Duree_Cumulee_Panne_Min]]/60</f>
        <v>1.7833333333333334</v>
      </c>
      <c r="J63">
        <v>35.380000000000003</v>
      </c>
      <c r="K63">
        <v>1</v>
      </c>
      <c r="L6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63">
        <f>Clients_Churn_Part[[#This Row],[Facture_Mensuelle]]*Clients_Churn_Part[[#This Row],[Remise]]</f>
        <v>3.5380000000000003</v>
      </c>
      <c r="N6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4" spans="1:14" x14ac:dyDescent="0.3">
      <c r="A64" t="s">
        <v>452</v>
      </c>
      <c r="B64" t="s">
        <v>470</v>
      </c>
      <c r="C64" t="s">
        <v>122</v>
      </c>
      <c r="D64">
        <v>48</v>
      </c>
      <c r="E64" s="7">
        <f>Clients_Churn_Part[[#This Row],[Anciennete_Mois]]/12</f>
        <v>4</v>
      </c>
      <c r="F64" t="s">
        <v>21</v>
      </c>
      <c r="G64" t="str">
        <f>IF(Clients_Churn_Part[[#This Row],[Type_Forfait]]="pro Monde","B2B","B2C")</f>
        <v>B2C</v>
      </c>
      <c r="H64">
        <v>187</v>
      </c>
      <c r="I64" s="2">
        <f>Clients_Churn_Part[[#This Row],[Duree_Cumulee_Panne_Min]]/60</f>
        <v>3.1166666666666667</v>
      </c>
      <c r="J64">
        <v>21.26</v>
      </c>
      <c r="K64">
        <v>2</v>
      </c>
      <c r="L6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64">
        <f>Clients_Churn_Part[[#This Row],[Facture_Mensuelle]]*Clients_Churn_Part[[#This Row],[Remise]]</f>
        <v>0</v>
      </c>
      <c r="N6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5" spans="1:14" x14ac:dyDescent="0.3">
      <c r="A65" t="s">
        <v>360</v>
      </c>
      <c r="B65" t="s">
        <v>362</v>
      </c>
      <c r="C65" t="s">
        <v>122</v>
      </c>
      <c r="D65">
        <v>47</v>
      </c>
      <c r="E65" s="7">
        <f>Clients_Churn_Part[[#This Row],[Anciennete_Mois]]/12</f>
        <v>3.9166666666666665</v>
      </c>
      <c r="F65" t="s">
        <v>13</v>
      </c>
      <c r="G65" t="str">
        <f>IF(Clients_Churn_Part[[#This Row],[Type_Forfait]]="pro Monde","B2B","B2C")</f>
        <v>B2B</v>
      </c>
      <c r="H65">
        <v>378</v>
      </c>
      <c r="I65" s="2">
        <f>Clients_Churn_Part[[#This Row],[Duree_Cumulee_Panne_Min]]/60</f>
        <v>6.3</v>
      </c>
      <c r="J65">
        <v>36.42</v>
      </c>
      <c r="K65">
        <v>1</v>
      </c>
      <c r="L6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65">
        <f>Clients_Churn_Part[[#This Row],[Facture_Mensuelle]]*Clients_Churn_Part[[#This Row],[Remise]]</f>
        <v>3.6420000000000003</v>
      </c>
      <c r="N6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6" spans="1:14" x14ac:dyDescent="0.3">
      <c r="A66" t="s">
        <v>494</v>
      </c>
      <c r="B66" t="s">
        <v>531</v>
      </c>
      <c r="C66" t="s">
        <v>33</v>
      </c>
      <c r="D66">
        <v>109</v>
      </c>
      <c r="E66" s="7">
        <f>Clients_Churn_Part[[#This Row],[Anciennete_Mois]]/12</f>
        <v>9.0833333333333339</v>
      </c>
      <c r="F66" t="s">
        <v>21</v>
      </c>
      <c r="G66" t="str">
        <f>IF(Clients_Churn_Part[[#This Row],[Type_Forfait]]="pro Monde","B2B","B2C")</f>
        <v>B2C</v>
      </c>
      <c r="H66">
        <v>84</v>
      </c>
      <c r="I66" s="2">
        <f>Clients_Churn_Part[[#This Row],[Duree_Cumulee_Panne_Min]]/60</f>
        <v>1.4</v>
      </c>
      <c r="J66">
        <v>97.46</v>
      </c>
      <c r="K66">
        <v>5</v>
      </c>
      <c r="L6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6">
        <f>Clients_Churn_Part[[#This Row],[Facture_Mensuelle]]*Clients_Churn_Part[[#This Row],[Remise]]</f>
        <v>68.221999999999994</v>
      </c>
      <c r="N6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7" spans="1:14" x14ac:dyDescent="0.3">
      <c r="A67" t="s">
        <v>174</v>
      </c>
      <c r="B67" t="s">
        <v>209</v>
      </c>
      <c r="C67" t="s">
        <v>24</v>
      </c>
      <c r="D67">
        <v>40</v>
      </c>
      <c r="E67" s="7">
        <f>Clients_Churn_Part[[#This Row],[Anciennete_Mois]]/12</f>
        <v>3.3333333333333335</v>
      </c>
      <c r="F67" t="s">
        <v>21</v>
      </c>
      <c r="G67" t="str">
        <f>IF(Clients_Churn_Part[[#This Row],[Type_Forfait]]="pro Monde","B2B","B2C")</f>
        <v>B2C</v>
      </c>
      <c r="H67">
        <v>219</v>
      </c>
      <c r="I67" s="2">
        <f>Clients_Churn_Part[[#This Row],[Duree_Cumulee_Panne_Min]]/60</f>
        <v>3.65</v>
      </c>
      <c r="J67">
        <v>53.98</v>
      </c>
      <c r="K67">
        <v>2</v>
      </c>
      <c r="L6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67">
        <f>Clients_Churn_Part[[#This Row],[Facture_Mensuelle]]*Clients_Churn_Part[[#This Row],[Remise]]</f>
        <v>0</v>
      </c>
      <c r="N6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8" spans="1:14" x14ac:dyDescent="0.3">
      <c r="A68" t="s">
        <v>637</v>
      </c>
      <c r="B68" t="s">
        <v>681</v>
      </c>
      <c r="C68" t="s">
        <v>12</v>
      </c>
      <c r="D68">
        <v>56</v>
      </c>
      <c r="E68" s="7">
        <f>Clients_Churn_Part[[#This Row],[Anciennete_Mois]]/12</f>
        <v>4.666666666666667</v>
      </c>
      <c r="F68" t="s">
        <v>21</v>
      </c>
      <c r="G68" t="str">
        <f>IF(Clients_Churn_Part[[#This Row],[Type_Forfait]]="pro Monde","B2B","B2C")</f>
        <v>B2C</v>
      </c>
      <c r="H68">
        <v>367</v>
      </c>
      <c r="I68" s="2">
        <f>Clients_Churn_Part[[#This Row],[Duree_Cumulee_Panne_Min]]/60</f>
        <v>6.1166666666666663</v>
      </c>
      <c r="J68">
        <v>72.790000000000006</v>
      </c>
      <c r="K68">
        <v>1</v>
      </c>
      <c r="L6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68">
        <f>Clients_Churn_Part[[#This Row],[Facture_Mensuelle]]*Clients_Churn_Part[[#This Row],[Remise]]</f>
        <v>0</v>
      </c>
      <c r="N6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9" spans="1:14" x14ac:dyDescent="0.3">
      <c r="A69" t="s">
        <v>452</v>
      </c>
      <c r="B69" t="s">
        <v>479</v>
      </c>
      <c r="C69" t="s">
        <v>48</v>
      </c>
      <c r="D69">
        <v>111</v>
      </c>
      <c r="E69" s="7">
        <f>Clients_Churn_Part[[#This Row],[Anciennete_Mois]]/12</f>
        <v>9.25</v>
      </c>
      <c r="F69" t="s">
        <v>18</v>
      </c>
      <c r="G69" t="str">
        <f>IF(Clients_Churn_Part[[#This Row],[Type_Forfait]]="pro Monde","B2B","B2C")</f>
        <v>B2C</v>
      </c>
      <c r="H69">
        <v>76</v>
      </c>
      <c r="I69" s="2">
        <f>Clients_Churn_Part[[#This Row],[Duree_Cumulee_Panne_Min]]/60</f>
        <v>1.2666666666666666</v>
      </c>
      <c r="J69">
        <v>38.19</v>
      </c>
      <c r="K69">
        <v>5</v>
      </c>
      <c r="L6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9">
        <f>Clients_Churn_Part[[#This Row],[Facture_Mensuelle]]*Clients_Churn_Part[[#This Row],[Remise]]</f>
        <v>26.732999999999997</v>
      </c>
      <c r="N6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70" spans="1:14" x14ac:dyDescent="0.3">
      <c r="A70" t="s">
        <v>79</v>
      </c>
      <c r="B70" t="s">
        <v>115</v>
      </c>
      <c r="C70" t="s">
        <v>33</v>
      </c>
      <c r="D70">
        <v>99</v>
      </c>
      <c r="E70" s="7">
        <f>Clients_Churn_Part[[#This Row],[Anciennete_Mois]]/12</f>
        <v>8.25</v>
      </c>
      <c r="F70" t="s">
        <v>21</v>
      </c>
      <c r="G70" t="str">
        <f>IF(Clients_Churn_Part[[#This Row],[Type_Forfait]]="pro Monde","B2B","B2C")</f>
        <v>B2C</v>
      </c>
      <c r="H70">
        <v>493</v>
      </c>
      <c r="I70" s="2">
        <f>Clients_Churn_Part[[#This Row],[Duree_Cumulee_Panne_Min]]/60</f>
        <v>8.2166666666666668</v>
      </c>
      <c r="J70">
        <v>55.43</v>
      </c>
      <c r="K70">
        <v>2</v>
      </c>
      <c r="L7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70">
        <f>Clients_Churn_Part[[#This Row],[Facture_Mensuelle]]*Clients_Churn_Part[[#This Row],[Remise]]</f>
        <v>38.800999999999995</v>
      </c>
      <c r="N7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71" spans="1:14" x14ac:dyDescent="0.3">
      <c r="A71" t="s">
        <v>538</v>
      </c>
      <c r="B71" t="s">
        <v>585</v>
      </c>
      <c r="C71" t="s">
        <v>83</v>
      </c>
      <c r="D71">
        <v>56</v>
      </c>
      <c r="E71" s="7">
        <f>Clients_Churn_Part[[#This Row],[Anciennete_Mois]]/12</f>
        <v>4.666666666666667</v>
      </c>
      <c r="F71" t="s">
        <v>10</v>
      </c>
      <c r="G71" t="str">
        <f>IF(Clients_Churn_Part[[#This Row],[Type_Forfait]]="pro Monde","B2B","B2C")</f>
        <v>B2C</v>
      </c>
      <c r="H71">
        <v>354</v>
      </c>
      <c r="I71" s="2">
        <f>Clients_Churn_Part[[#This Row],[Duree_Cumulee_Panne_Min]]/60</f>
        <v>5.9</v>
      </c>
      <c r="J71">
        <v>32.08</v>
      </c>
      <c r="K71">
        <v>1</v>
      </c>
      <c r="L7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71">
        <f>Clients_Churn_Part[[#This Row],[Facture_Mensuelle]]*Clients_Churn_Part[[#This Row],[Remise]]</f>
        <v>14.436</v>
      </c>
      <c r="N7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72" spans="1:14" x14ac:dyDescent="0.3">
      <c r="A72" t="s">
        <v>220</v>
      </c>
      <c r="B72" t="s">
        <v>243</v>
      </c>
      <c r="C72" t="s">
        <v>62</v>
      </c>
      <c r="D72">
        <v>118</v>
      </c>
      <c r="E72" s="7">
        <f>Clients_Churn_Part[[#This Row],[Anciennete_Mois]]/12</f>
        <v>9.8333333333333339</v>
      </c>
      <c r="F72" t="s">
        <v>13</v>
      </c>
      <c r="G72" t="str">
        <f>IF(Clients_Churn_Part[[#This Row],[Type_Forfait]]="pro Monde","B2B","B2C")</f>
        <v>B2B</v>
      </c>
      <c r="H72">
        <v>22</v>
      </c>
      <c r="I72" s="2">
        <f>Clients_Churn_Part[[#This Row],[Duree_Cumulee_Panne_Min]]/60</f>
        <v>0.36666666666666664</v>
      </c>
      <c r="J72">
        <v>15.39</v>
      </c>
      <c r="K72">
        <v>1</v>
      </c>
      <c r="L7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72">
        <f>Clients_Churn_Part[[#This Row],[Facture_Mensuelle]]*Clients_Churn_Part[[#This Row],[Remise]]</f>
        <v>6.9255000000000004</v>
      </c>
      <c r="N7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73" spans="1:14" x14ac:dyDescent="0.3">
      <c r="A73" t="s">
        <v>79</v>
      </c>
      <c r="B73" t="s">
        <v>81</v>
      </c>
      <c r="C73" t="s">
        <v>20</v>
      </c>
      <c r="D73">
        <v>59</v>
      </c>
      <c r="E73" s="7">
        <f>Clients_Churn_Part[[#This Row],[Anciennete_Mois]]/12</f>
        <v>4.916666666666667</v>
      </c>
      <c r="F73" t="s">
        <v>21</v>
      </c>
      <c r="G73" t="str">
        <f>IF(Clients_Churn_Part[[#This Row],[Type_Forfait]]="pro Monde","B2B","B2C")</f>
        <v>B2C</v>
      </c>
      <c r="H73">
        <v>192</v>
      </c>
      <c r="I73" s="2">
        <f>Clients_Churn_Part[[#This Row],[Duree_Cumulee_Panne_Min]]/60</f>
        <v>3.2</v>
      </c>
      <c r="J73">
        <v>86.17</v>
      </c>
      <c r="K73">
        <v>1</v>
      </c>
      <c r="L7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73">
        <f>Clients_Churn_Part[[#This Row],[Facture_Mensuelle]]*Clients_Churn_Part[[#This Row],[Remise]]</f>
        <v>0</v>
      </c>
      <c r="N7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74" spans="1:14" x14ac:dyDescent="0.3">
      <c r="A74" t="s">
        <v>129</v>
      </c>
      <c r="B74" t="s">
        <v>131</v>
      </c>
      <c r="C74" t="s">
        <v>35</v>
      </c>
      <c r="D74">
        <v>69</v>
      </c>
      <c r="E74" s="7">
        <f>Clients_Churn_Part[[#This Row],[Anciennete_Mois]]/12</f>
        <v>5.75</v>
      </c>
      <c r="F74" t="s">
        <v>18</v>
      </c>
      <c r="G74" t="str">
        <f>IF(Clients_Churn_Part[[#This Row],[Type_Forfait]]="pro Monde","B2B","B2C")</f>
        <v>B2C</v>
      </c>
      <c r="H74">
        <v>306</v>
      </c>
      <c r="I74" s="2">
        <f>Clients_Churn_Part[[#This Row],[Duree_Cumulee_Panne_Min]]/60</f>
        <v>5.0999999999999996</v>
      </c>
      <c r="J74">
        <v>13.97</v>
      </c>
      <c r="K74">
        <v>1</v>
      </c>
      <c r="L7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74">
        <f>Clients_Churn_Part[[#This Row],[Facture_Mensuelle]]*Clients_Churn_Part[[#This Row],[Remise]]</f>
        <v>9.7789999999999999</v>
      </c>
      <c r="N7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75" spans="1:14" x14ac:dyDescent="0.3">
      <c r="A75" t="s">
        <v>589</v>
      </c>
      <c r="B75" t="s">
        <v>600</v>
      </c>
      <c r="C75" t="s">
        <v>57</v>
      </c>
      <c r="D75">
        <v>93</v>
      </c>
      <c r="E75" s="7">
        <f>Clients_Churn_Part[[#This Row],[Anciennete_Mois]]/12</f>
        <v>7.75</v>
      </c>
      <c r="F75" t="s">
        <v>10</v>
      </c>
      <c r="G75" t="str">
        <f>IF(Clients_Churn_Part[[#This Row],[Type_Forfait]]="pro Monde","B2B","B2C")</f>
        <v>B2C</v>
      </c>
      <c r="H75">
        <v>136</v>
      </c>
      <c r="I75" s="2">
        <f>Clients_Churn_Part[[#This Row],[Duree_Cumulee_Panne_Min]]/60</f>
        <v>2.2666666666666666</v>
      </c>
      <c r="J75">
        <v>19.09</v>
      </c>
      <c r="K75">
        <v>1</v>
      </c>
      <c r="L7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75">
        <f>Clients_Churn_Part[[#This Row],[Facture_Mensuelle]]*Clients_Churn_Part[[#This Row],[Remise]]</f>
        <v>13.363</v>
      </c>
      <c r="N7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76" spans="1:14" x14ac:dyDescent="0.3">
      <c r="A76" t="s">
        <v>405</v>
      </c>
      <c r="B76" t="s">
        <v>437</v>
      </c>
      <c r="C76" t="s">
        <v>31</v>
      </c>
      <c r="D76">
        <v>43</v>
      </c>
      <c r="E76" s="7">
        <f>Clients_Churn_Part[[#This Row],[Anciennete_Mois]]/12</f>
        <v>3.5833333333333335</v>
      </c>
      <c r="F76" t="s">
        <v>18</v>
      </c>
      <c r="G76" t="str">
        <f>IF(Clients_Churn_Part[[#This Row],[Type_Forfait]]="pro Monde","B2B","B2C")</f>
        <v>B2C</v>
      </c>
      <c r="H76">
        <v>20</v>
      </c>
      <c r="I76" s="2">
        <f>Clients_Churn_Part[[#This Row],[Duree_Cumulee_Panne_Min]]/60</f>
        <v>0.33333333333333331</v>
      </c>
      <c r="J76">
        <v>66.680000000000007</v>
      </c>
      <c r="K76">
        <v>5</v>
      </c>
      <c r="L7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76">
        <f>Clients_Churn_Part[[#This Row],[Facture_Mensuelle]]*Clients_Churn_Part[[#This Row],[Remise]]</f>
        <v>30.006000000000004</v>
      </c>
      <c r="N7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77" spans="1:14" x14ac:dyDescent="0.3">
      <c r="A77" t="s">
        <v>589</v>
      </c>
      <c r="B77" t="s">
        <v>628</v>
      </c>
      <c r="C77" t="s">
        <v>15</v>
      </c>
      <c r="D77">
        <v>119</v>
      </c>
      <c r="E77" s="7">
        <f>Clients_Churn_Part[[#This Row],[Anciennete_Mois]]/12</f>
        <v>9.9166666666666661</v>
      </c>
      <c r="F77" t="s">
        <v>21</v>
      </c>
      <c r="G77" t="str">
        <f>IF(Clients_Churn_Part[[#This Row],[Type_Forfait]]="pro Monde","B2B","B2C")</f>
        <v>B2C</v>
      </c>
      <c r="H77">
        <v>475</v>
      </c>
      <c r="I77" s="2">
        <f>Clients_Churn_Part[[#This Row],[Duree_Cumulee_Panne_Min]]/60</f>
        <v>7.916666666666667</v>
      </c>
      <c r="J77">
        <v>25.98</v>
      </c>
      <c r="K77">
        <v>4</v>
      </c>
      <c r="L7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77">
        <f>Clients_Churn_Part[[#This Row],[Facture_Mensuelle]]*Clients_Churn_Part[[#This Row],[Remise]]</f>
        <v>18.186</v>
      </c>
      <c r="N7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78" spans="1:14" x14ac:dyDescent="0.3">
      <c r="A78" t="s">
        <v>360</v>
      </c>
      <c r="B78" t="s">
        <v>399</v>
      </c>
      <c r="C78" t="s">
        <v>48</v>
      </c>
      <c r="D78">
        <v>41</v>
      </c>
      <c r="E78" s="7">
        <f>Clients_Churn_Part[[#This Row],[Anciennete_Mois]]/12</f>
        <v>3.4166666666666665</v>
      </c>
      <c r="F78" t="s">
        <v>18</v>
      </c>
      <c r="G78" t="str">
        <f>IF(Clients_Churn_Part[[#This Row],[Type_Forfait]]="pro Monde","B2B","B2C")</f>
        <v>B2C</v>
      </c>
      <c r="H78">
        <v>425</v>
      </c>
      <c r="I78" s="2">
        <f>Clients_Churn_Part[[#This Row],[Duree_Cumulee_Panne_Min]]/60</f>
        <v>7.083333333333333</v>
      </c>
      <c r="J78">
        <v>42.33</v>
      </c>
      <c r="K78">
        <v>3</v>
      </c>
      <c r="L7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78">
        <f>Clients_Churn_Part[[#This Row],[Facture_Mensuelle]]*Clients_Churn_Part[[#This Row],[Remise]]</f>
        <v>0</v>
      </c>
      <c r="N7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79" spans="1:14" x14ac:dyDescent="0.3">
      <c r="A79" t="s">
        <v>267</v>
      </c>
      <c r="B79" t="s">
        <v>300</v>
      </c>
      <c r="C79" t="s">
        <v>35</v>
      </c>
      <c r="D79">
        <v>50</v>
      </c>
      <c r="E79" s="7">
        <f>Clients_Churn_Part[[#This Row],[Anciennete_Mois]]/12</f>
        <v>4.166666666666667</v>
      </c>
      <c r="F79" t="s">
        <v>18</v>
      </c>
      <c r="G79" t="str">
        <f>IF(Clients_Churn_Part[[#This Row],[Type_Forfait]]="pro Monde","B2B","B2C")</f>
        <v>B2C</v>
      </c>
      <c r="H79">
        <v>248</v>
      </c>
      <c r="I79" s="2">
        <f>Clients_Churn_Part[[#This Row],[Duree_Cumulee_Panne_Min]]/60</f>
        <v>4.1333333333333337</v>
      </c>
      <c r="J79">
        <v>69.42</v>
      </c>
      <c r="K79">
        <v>0</v>
      </c>
      <c r="L7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79">
        <f>Clients_Churn_Part[[#This Row],[Facture_Mensuelle]]*Clients_Churn_Part[[#This Row],[Remise]]</f>
        <v>0</v>
      </c>
      <c r="N7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80" spans="1:14" x14ac:dyDescent="0.3">
      <c r="A80" t="s">
        <v>267</v>
      </c>
      <c r="B80" t="s">
        <v>309</v>
      </c>
      <c r="C80" t="s">
        <v>20</v>
      </c>
      <c r="D80">
        <v>47</v>
      </c>
      <c r="E80" s="7">
        <f>Clients_Churn_Part[[#This Row],[Anciennete_Mois]]/12</f>
        <v>3.9166666666666665</v>
      </c>
      <c r="F80" t="s">
        <v>21</v>
      </c>
      <c r="G80" t="str">
        <f>IF(Clients_Churn_Part[[#This Row],[Type_Forfait]]="pro Monde","B2B","B2C")</f>
        <v>B2C</v>
      </c>
      <c r="H80">
        <v>340</v>
      </c>
      <c r="I80" s="2">
        <f>Clients_Churn_Part[[#This Row],[Duree_Cumulee_Panne_Min]]/60</f>
        <v>5.666666666666667</v>
      </c>
      <c r="J80">
        <v>31.02</v>
      </c>
      <c r="K80">
        <v>5</v>
      </c>
      <c r="L8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80">
        <f>Clients_Churn_Part[[#This Row],[Facture_Mensuelle]]*Clients_Churn_Part[[#This Row],[Remise]]</f>
        <v>0</v>
      </c>
      <c r="N8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81" spans="1:14" x14ac:dyDescent="0.3">
      <c r="A81" t="s">
        <v>494</v>
      </c>
      <c r="B81" t="s">
        <v>521</v>
      </c>
      <c r="C81" t="s">
        <v>37</v>
      </c>
      <c r="D81">
        <v>52</v>
      </c>
      <c r="E81" s="7">
        <f>Clients_Churn_Part[[#This Row],[Anciennete_Mois]]/12</f>
        <v>4.333333333333333</v>
      </c>
      <c r="F81" t="s">
        <v>10</v>
      </c>
      <c r="G81" t="str">
        <f>IF(Clients_Churn_Part[[#This Row],[Type_Forfait]]="pro Monde","B2B","B2C")</f>
        <v>B2C</v>
      </c>
      <c r="H81">
        <v>425</v>
      </c>
      <c r="I81" s="2">
        <f>Clients_Churn_Part[[#This Row],[Duree_Cumulee_Panne_Min]]/60</f>
        <v>7.083333333333333</v>
      </c>
      <c r="J81">
        <v>97.25</v>
      </c>
      <c r="K81">
        <v>0</v>
      </c>
      <c r="L8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81">
        <f>Clients_Churn_Part[[#This Row],[Facture_Mensuelle]]*Clients_Churn_Part[[#This Row],[Remise]]</f>
        <v>43.762500000000003</v>
      </c>
      <c r="N8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82" spans="1:14" x14ac:dyDescent="0.3">
      <c r="A82" t="s">
        <v>79</v>
      </c>
      <c r="B82" t="s">
        <v>87</v>
      </c>
      <c r="C82" t="s">
        <v>41</v>
      </c>
      <c r="D82">
        <v>20</v>
      </c>
      <c r="E82" s="7">
        <f>Clients_Churn_Part[[#This Row],[Anciennete_Mois]]/12</f>
        <v>1.6666666666666667</v>
      </c>
      <c r="F82" t="s">
        <v>18</v>
      </c>
      <c r="G82" t="str">
        <f>IF(Clients_Churn_Part[[#This Row],[Type_Forfait]]="pro Monde","B2B","B2C")</f>
        <v>B2C</v>
      </c>
      <c r="H82">
        <v>26</v>
      </c>
      <c r="I82" s="2">
        <f>Clients_Churn_Part[[#This Row],[Duree_Cumulee_Panne_Min]]/60</f>
        <v>0.43333333333333335</v>
      </c>
      <c r="J82">
        <v>25.14</v>
      </c>
      <c r="K82">
        <v>0</v>
      </c>
      <c r="L8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82">
        <f>Clients_Churn_Part[[#This Row],[Facture_Mensuelle]]*Clients_Churn_Part[[#This Row],[Remise]]</f>
        <v>11.313000000000001</v>
      </c>
      <c r="N8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83" spans="1:14" x14ac:dyDescent="0.3">
      <c r="A83" t="s">
        <v>129</v>
      </c>
      <c r="B83" t="s">
        <v>166</v>
      </c>
      <c r="C83" t="s">
        <v>68</v>
      </c>
      <c r="D83">
        <v>43</v>
      </c>
      <c r="E83" s="7">
        <f>Clients_Churn_Part[[#This Row],[Anciennete_Mois]]/12</f>
        <v>3.5833333333333335</v>
      </c>
      <c r="F83" t="s">
        <v>18</v>
      </c>
      <c r="G83" t="str">
        <f>IF(Clients_Churn_Part[[#This Row],[Type_Forfait]]="pro Monde","B2B","B2C")</f>
        <v>B2C</v>
      </c>
      <c r="H83">
        <v>181</v>
      </c>
      <c r="I83" s="2">
        <f>Clients_Churn_Part[[#This Row],[Duree_Cumulee_Panne_Min]]/60</f>
        <v>3.0166666666666666</v>
      </c>
      <c r="J83">
        <v>72.39</v>
      </c>
      <c r="K83">
        <v>2</v>
      </c>
      <c r="L8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83">
        <f>Clients_Churn_Part[[#This Row],[Facture_Mensuelle]]*Clients_Churn_Part[[#This Row],[Remise]]</f>
        <v>0</v>
      </c>
      <c r="N8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84" spans="1:14" x14ac:dyDescent="0.3">
      <c r="A84" t="s">
        <v>79</v>
      </c>
      <c r="B84" t="s">
        <v>99</v>
      </c>
      <c r="C84" t="s">
        <v>9</v>
      </c>
      <c r="D84">
        <v>44</v>
      </c>
      <c r="E84" s="7">
        <f>Clients_Churn_Part[[#This Row],[Anciennete_Mois]]/12</f>
        <v>3.6666666666666665</v>
      </c>
      <c r="F84" t="s">
        <v>13</v>
      </c>
      <c r="G84" t="str">
        <f>IF(Clients_Churn_Part[[#This Row],[Type_Forfait]]="pro Monde","B2B","B2C")</f>
        <v>B2B</v>
      </c>
      <c r="H84">
        <v>137</v>
      </c>
      <c r="I84" s="2">
        <f>Clients_Churn_Part[[#This Row],[Duree_Cumulee_Panne_Min]]/60</f>
        <v>2.2833333333333332</v>
      </c>
      <c r="J84">
        <v>32.58</v>
      </c>
      <c r="K84">
        <v>0</v>
      </c>
      <c r="L8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84">
        <f>Clients_Churn_Part[[#This Row],[Facture_Mensuelle]]*Clients_Churn_Part[[#This Row],[Remise]]</f>
        <v>3.258</v>
      </c>
      <c r="N8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85" spans="1:14" x14ac:dyDescent="0.3">
      <c r="A85" t="s">
        <v>637</v>
      </c>
      <c r="B85" t="s">
        <v>645</v>
      </c>
      <c r="C85" t="s">
        <v>122</v>
      </c>
      <c r="D85">
        <v>63</v>
      </c>
      <c r="E85" s="7">
        <f>Clients_Churn_Part[[#This Row],[Anciennete_Mois]]/12</f>
        <v>5.25</v>
      </c>
      <c r="F85" t="s">
        <v>13</v>
      </c>
      <c r="G85" t="str">
        <f>IF(Clients_Churn_Part[[#This Row],[Type_Forfait]]="pro Monde","B2B","B2C")</f>
        <v>B2B</v>
      </c>
      <c r="H85">
        <v>449</v>
      </c>
      <c r="I85" s="2">
        <f>Clients_Churn_Part[[#This Row],[Duree_Cumulee_Panne_Min]]/60</f>
        <v>7.4833333333333334</v>
      </c>
      <c r="J85">
        <v>37.08</v>
      </c>
      <c r="K85">
        <v>0</v>
      </c>
      <c r="L8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85">
        <f>Clients_Churn_Part[[#This Row],[Facture_Mensuelle]]*Clients_Churn_Part[[#This Row],[Remise]]</f>
        <v>25.955999999999996</v>
      </c>
      <c r="N8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86" spans="1:14" x14ac:dyDescent="0.3">
      <c r="A86" t="s">
        <v>360</v>
      </c>
      <c r="B86" t="s">
        <v>402</v>
      </c>
      <c r="C86" t="s">
        <v>9</v>
      </c>
      <c r="D86">
        <v>24</v>
      </c>
      <c r="E86" s="7">
        <f>Clients_Churn_Part[[#This Row],[Anciennete_Mois]]/12</f>
        <v>2</v>
      </c>
      <c r="F86" t="s">
        <v>21</v>
      </c>
      <c r="G86" t="str">
        <f>IF(Clients_Churn_Part[[#This Row],[Type_Forfait]]="pro Monde","B2B","B2C")</f>
        <v>B2C</v>
      </c>
      <c r="H86">
        <v>392</v>
      </c>
      <c r="I86" s="2">
        <f>Clients_Churn_Part[[#This Row],[Duree_Cumulee_Panne_Min]]/60</f>
        <v>6.5333333333333332</v>
      </c>
      <c r="J86">
        <v>27.06</v>
      </c>
      <c r="K86">
        <v>1</v>
      </c>
      <c r="L8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86">
        <f>Clients_Churn_Part[[#This Row],[Facture_Mensuelle]]*Clients_Churn_Part[[#This Row],[Remise]]</f>
        <v>0</v>
      </c>
      <c r="N8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87" spans="1:14" x14ac:dyDescent="0.3">
      <c r="A87" t="s">
        <v>494</v>
      </c>
      <c r="B87" t="s">
        <v>497</v>
      </c>
      <c r="C87" t="s">
        <v>35</v>
      </c>
      <c r="D87">
        <v>9</v>
      </c>
      <c r="E87" s="7">
        <f>Clients_Churn_Part[[#This Row],[Anciennete_Mois]]/12</f>
        <v>0.75</v>
      </c>
      <c r="F87" t="s">
        <v>18</v>
      </c>
      <c r="G87" t="str">
        <f>IF(Clients_Churn_Part[[#This Row],[Type_Forfait]]="pro Monde","B2B","B2C")</f>
        <v>B2C</v>
      </c>
      <c r="H87">
        <v>11</v>
      </c>
      <c r="I87" s="2">
        <f>Clients_Churn_Part[[#This Row],[Duree_Cumulee_Panne_Min]]/60</f>
        <v>0.18333333333333332</v>
      </c>
      <c r="J87">
        <v>72.36</v>
      </c>
      <c r="K87">
        <v>2</v>
      </c>
      <c r="L8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87">
        <f>Clients_Churn_Part[[#This Row],[Facture_Mensuelle]]*Clients_Churn_Part[[#This Row],[Remise]]</f>
        <v>32.561999999999998</v>
      </c>
      <c r="N8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88" spans="1:14" x14ac:dyDescent="0.3">
      <c r="A88" t="s">
        <v>220</v>
      </c>
      <c r="B88" t="s">
        <v>251</v>
      </c>
      <c r="C88" t="s">
        <v>31</v>
      </c>
      <c r="D88">
        <v>11</v>
      </c>
      <c r="E88" s="7">
        <f>Clients_Churn_Part[[#This Row],[Anciennete_Mois]]/12</f>
        <v>0.91666666666666663</v>
      </c>
      <c r="F88" t="s">
        <v>18</v>
      </c>
      <c r="G88" t="str">
        <f>IF(Clients_Churn_Part[[#This Row],[Type_Forfait]]="pro Monde","B2B","B2C")</f>
        <v>B2C</v>
      </c>
      <c r="H88">
        <v>52</v>
      </c>
      <c r="I88" s="2">
        <f>Clients_Churn_Part[[#This Row],[Duree_Cumulee_Panne_Min]]/60</f>
        <v>0.8666666666666667</v>
      </c>
      <c r="J88">
        <v>76.53</v>
      </c>
      <c r="K88">
        <v>5</v>
      </c>
      <c r="L8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88">
        <f>Clients_Churn_Part[[#This Row],[Facture_Mensuelle]]*Clients_Churn_Part[[#This Row],[Remise]]</f>
        <v>0</v>
      </c>
      <c r="N8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89" spans="1:14" x14ac:dyDescent="0.3">
      <c r="A89" t="s">
        <v>494</v>
      </c>
      <c r="B89" t="s">
        <v>528</v>
      </c>
      <c r="C89" t="s">
        <v>61</v>
      </c>
      <c r="D89">
        <v>57</v>
      </c>
      <c r="E89" s="7">
        <f>Clients_Churn_Part[[#This Row],[Anciennete_Mois]]/12</f>
        <v>4.75</v>
      </c>
      <c r="F89" t="s">
        <v>18</v>
      </c>
      <c r="G89" t="str">
        <f>IF(Clients_Churn_Part[[#This Row],[Type_Forfait]]="pro Monde","B2B","B2C")</f>
        <v>B2C</v>
      </c>
      <c r="H89">
        <v>493</v>
      </c>
      <c r="I89" s="2">
        <f>Clients_Churn_Part[[#This Row],[Duree_Cumulee_Panne_Min]]/60</f>
        <v>8.2166666666666668</v>
      </c>
      <c r="J89">
        <v>43.98</v>
      </c>
      <c r="K89">
        <v>3</v>
      </c>
      <c r="L8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89">
        <f>Clients_Churn_Part[[#This Row],[Facture_Mensuelle]]*Clients_Churn_Part[[#This Row],[Remise]]</f>
        <v>0</v>
      </c>
      <c r="N8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90" spans="1:14" x14ac:dyDescent="0.3">
      <c r="A90" t="s">
        <v>360</v>
      </c>
      <c r="B90" t="s">
        <v>382</v>
      </c>
      <c r="C90" t="s">
        <v>83</v>
      </c>
      <c r="D90">
        <v>40</v>
      </c>
      <c r="E90" s="7">
        <f>Clients_Churn_Part[[#This Row],[Anciennete_Mois]]/12</f>
        <v>3.3333333333333335</v>
      </c>
      <c r="F90" t="s">
        <v>18</v>
      </c>
      <c r="G90" t="str">
        <f>IF(Clients_Churn_Part[[#This Row],[Type_Forfait]]="pro Monde","B2B","B2C")</f>
        <v>B2C</v>
      </c>
      <c r="H90">
        <v>38</v>
      </c>
      <c r="I90" s="2">
        <f>Clients_Churn_Part[[#This Row],[Duree_Cumulee_Panne_Min]]/60</f>
        <v>0.6333333333333333</v>
      </c>
      <c r="J90">
        <v>17.63</v>
      </c>
      <c r="K90">
        <v>0</v>
      </c>
      <c r="L9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90">
        <f>Clients_Churn_Part[[#This Row],[Facture_Mensuelle]]*Clients_Churn_Part[[#This Row],[Remise]]</f>
        <v>0</v>
      </c>
      <c r="N9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91" spans="1:14" x14ac:dyDescent="0.3">
      <c r="A91" t="s">
        <v>314</v>
      </c>
      <c r="B91" t="s">
        <v>347</v>
      </c>
      <c r="C91" t="s">
        <v>31</v>
      </c>
      <c r="D91">
        <v>19</v>
      </c>
      <c r="E91" s="7">
        <f>Clients_Churn_Part[[#This Row],[Anciennete_Mois]]/12</f>
        <v>1.5833333333333333</v>
      </c>
      <c r="F91" t="s">
        <v>21</v>
      </c>
      <c r="G91" t="str">
        <f>IF(Clients_Churn_Part[[#This Row],[Type_Forfait]]="pro Monde","B2B","B2C")</f>
        <v>B2C</v>
      </c>
      <c r="H91">
        <v>334</v>
      </c>
      <c r="I91" s="2">
        <f>Clients_Churn_Part[[#This Row],[Duree_Cumulee_Panne_Min]]/60</f>
        <v>5.5666666666666664</v>
      </c>
      <c r="J91">
        <v>96.91</v>
      </c>
      <c r="K91">
        <v>1</v>
      </c>
      <c r="L9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91">
        <f>Clients_Churn_Part[[#This Row],[Facture_Mensuelle]]*Clients_Churn_Part[[#This Row],[Remise]]</f>
        <v>0</v>
      </c>
      <c r="N9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92" spans="1:14" x14ac:dyDescent="0.3">
      <c r="A92" t="s">
        <v>220</v>
      </c>
      <c r="B92" t="s">
        <v>261</v>
      </c>
      <c r="C92" t="s">
        <v>68</v>
      </c>
      <c r="D92">
        <v>108</v>
      </c>
      <c r="E92" s="7">
        <f>Clients_Churn_Part[[#This Row],[Anciennete_Mois]]/12</f>
        <v>9</v>
      </c>
      <c r="F92" t="s">
        <v>13</v>
      </c>
      <c r="G92" t="str">
        <f>IF(Clients_Churn_Part[[#This Row],[Type_Forfait]]="pro Monde","B2B","B2C")</f>
        <v>B2B</v>
      </c>
      <c r="H92">
        <v>48</v>
      </c>
      <c r="I92" s="2">
        <f>Clients_Churn_Part[[#This Row],[Duree_Cumulee_Panne_Min]]/60</f>
        <v>0.8</v>
      </c>
      <c r="J92">
        <v>86.22</v>
      </c>
      <c r="K92">
        <v>3</v>
      </c>
      <c r="L9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92">
        <f>Clients_Churn_Part[[#This Row],[Facture_Mensuelle]]*Clients_Churn_Part[[#This Row],[Remise]]</f>
        <v>60.353999999999992</v>
      </c>
      <c r="N9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93" spans="1:14" x14ac:dyDescent="0.3">
      <c r="A93" t="s">
        <v>637</v>
      </c>
      <c r="B93" t="s">
        <v>646</v>
      </c>
      <c r="C93" t="s">
        <v>15</v>
      </c>
      <c r="D93">
        <v>37</v>
      </c>
      <c r="E93" s="7">
        <f>Clients_Churn_Part[[#This Row],[Anciennete_Mois]]/12</f>
        <v>3.0833333333333335</v>
      </c>
      <c r="F93" t="s">
        <v>13</v>
      </c>
      <c r="G93" t="str">
        <f>IF(Clients_Churn_Part[[#This Row],[Type_Forfait]]="pro Monde","B2B","B2C")</f>
        <v>B2B</v>
      </c>
      <c r="H93">
        <v>150</v>
      </c>
      <c r="I93" s="2">
        <f>Clients_Churn_Part[[#This Row],[Duree_Cumulee_Panne_Min]]/60</f>
        <v>2.5</v>
      </c>
      <c r="J93">
        <v>37.979999999999997</v>
      </c>
      <c r="K93">
        <v>4</v>
      </c>
      <c r="L9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93">
        <f>Clients_Churn_Part[[#This Row],[Facture_Mensuelle]]*Clients_Churn_Part[[#This Row],[Remise]]</f>
        <v>3.798</v>
      </c>
      <c r="N9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94" spans="1:14" x14ac:dyDescent="0.3">
      <c r="A94" t="s">
        <v>220</v>
      </c>
      <c r="B94" t="s">
        <v>235</v>
      </c>
      <c r="C94" t="s">
        <v>27</v>
      </c>
      <c r="D94">
        <v>52</v>
      </c>
      <c r="E94" s="7">
        <f>Clients_Churn_Part[[#This Row],[Anciennete_Mois]]/12</f>
        <v>4.333333333333333</v>
      </c>
      <c r="F94" t="s">
        <v>13</v>
      </c>
      <c r="G94" t="str">
        <f>IF(Clients_Churn_Part[[#This Row],[Type_Forfait]]="pro Monde","B2B","B2C")</f>
        <v>B2B</v>
      </c>
      <c r="H94">
        <v>234</v>
      </c>
      <c r="I94" s="2">
        <f>Clients_Churn_Part[[#This Row],[Duree_Cumulee_Panne_Min]]/60</f>
        <v>3.9</v>
      </c>
      <c r="J94">
        <v>62.87</v>
      </c>
      <c r="K94">
        <v>0</v>
      </c>
      <c r="L9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94">
        <f>Clients_Churn_Part[[#This Row],[Facture_Mensuelle]]*Clients_Churn_Part[[#This Row],[Remise]]</f>
        <v>6.2869999999999999</v>
      </c>
      <c r="N9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95" spans="1:14" x14ac:dyDescent="0.3">
      <c r="A95" t="s">
        <v>8</v>
      </c>
      <c r="B95" t="s">
        <v>28</v>
      </c>
      <c r="C95" t="s">
        <v>29</v>
      </c>
      <c r="D95">
        <v>113</v>
      </c>
      <c r="E95" s="7">
        <f>Clients_Churn_Part[[#This Row],[Anciennete_Mois]]/12</f>
        <v>9.4166666666666661</v>
      </c>
      <c r="F95" t="s">
        <v>21</v>
      </c>
      <c r="G95" t="str">
        <f>IF(Clients_Churn_Part[[#This Row],[Type_Forfait]]="pro Monde","B2B","B2C")</f>
        <v>B2C</v>
      </c>
      <c r="H95">
        <v>380</v>
      </c>
      <c r="I95" s="2">
        <f>Clients_Churn_Part[[#This Row],[Duree_Cumulee_Panne_Min]]/60</f>
        <v>6.333333333333333</v>
      </c>
      <c r="J95">
        <v>12.11</v>
      </c>
      <c r="K95">
        <v>0</v>
      </c>
      <c r="L9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95">
        <f>Clients_Churn_Part[[#This Row],[Facture_Mensuelle]]*Clients_Churn_Part[[#This Row],[Remise]]</f>
        <v>8.4769999999999985</v>
      </c>
      <c r="N9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96" spans="1:14" x14ac:dyDescent="0.3">
      <c r="A96" t="s">
        <v>8</v>
      </c>
      <c r="B96" t="s">
        <v>78</v>
      </c>
      <c r="C96" t="s">
        <v>57</v>
      </c>
      <c r="D96">
        <v>21</v>
      </c>
      <c r="E96" s="7">
        <f>Clients_Churn_Part[[#This Row],[Anciennete_Mois]]/12</f>
        <v>1.75</v>
      </c>
      <c r="F96" t="s">
        <v>10</v>
      </c>
      <c r="G96" t="str">
        <f>IF(Clients_Churn_Part[[#This Row],[Type_Forfait]]="pro Monde","B2B","B2C")</f>
        <v>B2C</v>
      </c>
      <c r="H96">
        <v>371</v>
      </c>
      <c r="I96" s="2">
        <f>Clients_Churn_Part[[#This Row],[Duree_Cumulee_Panne_Min]]/60</f>
        <v>6.1833333333333336</v>
      </c>
      <c r="J96">
        <v>48.31</v>
      </c>
      <c r="K96">
        <v>0</v>
      </c>
      <c r="L9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96">
        <f>Clients_Churn_Part[[#This Row],[Facture_Mensuelle]]*Clients_Churn_Part[[#This Row],[Remise]]</f>
        <v>21.739500000000003</v>
      </c>
      <c r="N9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97" spans="1:14" x14ac:dyDescent="0.3">
      <c r="A97" t="s">
        <v>360</v>
      </c>
      <c r="B97" t="s">
        <v>397</v>
      </c>
      <c r="C97" t="s">
        <v>48</v>
      </c>
      <c r="D97">
        <v>7</v>
      </c>
      <c r="E97" s="7">
        <f>Clients_Churn_Part[[#This Row],[Anciennete_Mois]]/12</f>
        <v>0.58333333333333337</v>
      </c>
      <c r="F97" t="s">
        <v>13</v>
      </c>
      <c r="G97" t="str">
        <f>IF(Clients_Churn_Part[[#This Row],[Type_Forfait]]="pro Monde","B2B","B2C")</f>
        <v>B2B</v>
      </c>
      <c r="H97">
        <v>347</v>
      </c>
      <c r="I97" s="2">
        <f>Clients_Churn_Part[[#This Row],[Duree_Cumulee_Panne_Min]]/60</f>
        <v>5.7833333333333332</v>
      </c>
      <c r="J97">
        <v>41.84</v>
      </c>
      <c r="K97">
        <v>2</v>
      </c>
      <c r="L9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97">
        <f>Clients_Churn_Part[[#This Row],[Facture_Mensuelle]]*Clients_Churn_Part[[#This Row],[Remise]]</f>
        <v>4.1840000000000002</v>
      </c>
      <c r="N9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98" spans="1:14" x14ac:dyDescent="0.3">
      <c r="A98" t="s">
        <v>79</v>
      </c>
      <c r="B98" t="s">
        <v>114</v>
      </c>
      <c r="C98" t="s">
        <v>83</v>
      </c>
      <c r="D98">
        <v>102</v>
      </c>
      <c r="E98" s="7">
        <f>Clients_Churn_Part[[#This Row],[Anciennete_Mois]]/12</f>
        <v>8.5</v>
      </c>
      <c r="F98" t="s">
        <v>13</v>
      </c>
      <c r="G98" t="str">
        <f>IF(Clients_Churn_Part[[#This Row],[Type_Forfait]]="pro Monde","B2B","B2C")</f>
        <v>B2B</v>
      </c>
      <c r="H98">
        <v>283</v>
      </c>
      <c r="I98" s="2">
        <f>Clients_Churn_Part[[#This Row],[Duree_Cumulee_Panne_Min]]/60</f>
        <v>4.7166666666666668</v>
      </c>
      <c r="J98">
        <v>28.98</v>
      </c>
      <c r="K98">
        <v>3</v>
      </c>
      <c r="L9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98">
        <f>Clients_Churn_Part[[#This Row],[Facture_Mensuelle]]*Clients_Churn_Part[[#This Row],[Remise]]</f>
        <v>20.285999999999998</v>
      </c>
      <c r="N9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99" spans="1:14" x14ac:dyDescent="0.3">
      <c r="A99" t="s">
        <v>637</v>
      </c>
      <c r="B99" t="s">
        <v>654</v>
      </c>
      <c r="C99" t="s">
        <v>12</v>
      </c>
      <c r="D99">
        <v>76</v>
      </c>
      <c r="E99" s="7">
        <f>Clients_Churn_Part[[#This Row],[Anciennete_Mois]]/12</f>
        <v>6.333333333333333</v>
      </c>
      <c r="F99" t="s">
        <v>10</v>
      </c>
      <c r="G99" t="str">
        <f>IF(Clients_Churn_Part[[#This Row],[Type_Forfait]]="pro Monde","B2B","B2C")</f>
        <v>B2C</v>
      </c>
      <c r="H99">
        <v>413</v>
      </c>
      <c r="I99" s="2">
        <f>Clients_Churn_Part[[#This Row],[Duree_Cumulee_Panne_Min]]/60</f>
        <v>6.8833333333333337</v>
      </c>
      <c r="J99">
        <v>28.39</v>
      </c>
      <c r="K99">
        <v>3</v>
      </c>
      <c r="L9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99">
        <f>Clients_Churn_Part[[#This Row],[Facture_Mensuelle]]*Clients_Churn_Part[[#This Row],[Remise]]</f>
        <v>19.872999999999998</v>
      </c>
      <c r="N9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00" spans="1:14" x14ac:dyDescent="0.3">
      <c r="A100" t="s">
        <v>314</v>
      </c>
      <c r="B100" t="s">
        <v>334</v>
      </c>
      <c r="C100" t="s">
        <v>15</v>
      </c>
      <c r="D100">
        <v>2</v>
      </c>
      <c r="E100" s="7">
        <f>Clients_Churn_Part[[#This Row],[Anciennete_Mois]]/12</f>
        <v>0.16666666666666666</v>
      </c>
      <c r="F100" t="s">
        <v>13</v>
      </c>
      <c r="G100" t="str">
        <f>IF(Clients_Churn_Part[[#This Row],[Type_Forfait]]="pro Monde","B2B","B2C")</f>
        <v>B2B</v>
      </c>
      <c r="H100">
        <v>496</v>
      </c>
      <c r="I100" s="2">
        <f>Clients_Churn_Part[[#This Row],[Duree_Cumulee_Panne_Min]]/60</f>
        <v>8.2666666666666675</v>
      </c>
      <c r="J100">
        <v>15.71</v>
      </c>
      <c r="K100">
        <v>3</v>
      </c>
      <c r="L10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100">
        <f>Clients_Churn_Part[[#This Row],[Facture_Mensuelle]]*Clients_Churn_Part[[#This Row],[Remise]]</f>
        <v>1.5710000000000002</v>
      </c>
      <c r="N10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01" spans="1:14" x14ac:dyDescent="0.3">
      <c r="A101" t="s">
        <v>405</v>
      </c>
      <c r="B101" t="s">
        <v>448</v>
      </c>
      <c r="C101" t="s">
        <v>9</v>
      </c>
      <c r="D101">
        <v>47</v>
      </c>
      <c r="E101" s="7">
        <f>Clients_Churn_Part[[#This Row],[Anciennete_Mois]]/12</f>
        <v>3.9166666666666665</v>
      </c>
      <c r="F101" t="s">
        <v>13</v>
      </c>
      <c r="G101" t="str">
        <f>IF(Clients_Churn_Part[[#This Row],[Type_Forfait]]="pro Monde","B2B","B2C")</f>
        <v>B2B</v>
      </c>
      <c r="H101">
        <v>328</v>
      </c>
      <c r="I101" s="2">
        <f>Clients_Churn_Part[[#This Row],[Duree_Cumulee_Panne_Min]]/60</f>
        <v>5.4666666666666668</v>
      </c>
      <c r="J101">
        <v>61.27</v>
      </c>
      <c r="K101">
        <v>3</v>
      </c>
      <c r="L10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101">
        <f>Clients_Churn_Part[[#This Row],[Facture_Mensuelle]]*Clients_Churn_Part[[#This Row],[Remise]]</f>
        <v>6.1270000000000007</v>
      </c>
      <c r="N10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02" spans="1:14" x14ac:dyDescent="0.3">
      <c r="A102" t="s">
        <v>405</v>
      </c>
      <c r="B102" t="s">
        <v>427</v>
      </c>
      <c r="C102" t="s">
        <v>54</v>
      </c>
      <c r="D102">
        <v>37</v>
      </c>
      <c r="E102" s="7">
        <f>Clients_Churn_Part[[#This Row],[Anciennete_Mois]]/12</f>
        <v>3.0833333333333335</v>
      </c>
      <c r="F102" t="s">
        <v>21</v>
      </c>
      <c r="G102" t="str">
        <f>IF(Clients_Churn_Part[[#This Row],[Type_Forfait]]="pro Monde","B2B","B2C")</f>
        <v>B2C</v>
      </c>
      <c r="H102">
        <v>151</v>
      </c>
      <c r="I102" s="2">
        <f>Clients_Churn_Part[[#This Row],[Duree_Cumulee_Panne_Min]]/60</f>
        <v>2.5166666666666666</v>
      </c>
      <c r="J102">
        <v>62.49</v>
      </c>
      <c r="K102">
        <v>3</v>
      </c>
      <c r="L10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102">
        <f>Clients_Churn_Part[[#This Row],[Facture_Mensuelle]]*Clients_Churn_Part[[#This Row],[Remise]]</f>
        <v>0</v>
      </c>
      <c r="N10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03" spans="1:14" x14ac:dyDescent="0.3">
      <c r="A103" t="s">
        <v>267</v>
      </c>
      <c r="B103" t="s">
        <v>295</v>
      </c>
      <c r="C103" t="s">
        <v>29</v>
      </c>
      <c r="D103">
        <v>89</v>
      </c>
      <c r="E103" s="7">
        <f>Clients_Churn_Part[[#This Row],[Anciennete_Mois]]/12</f>
        <v>7.416666666666667</v>
      </c>
      <c r="F103" t="s">
        <v>18</v>
      </c>
      <c r="G103" t="str">
        <f>IF(Clients_Churn_Part[[#This Row],[Type_Forfait]]="pro Monde","B2B","B2C")</f>
        <v>B2C</v>
      </c>
      <c r="H103">
        <v>175</v>
      </c>
      <c r="I103" s="2">
        <f>Clients_Churn_Part[[#This Row],[Duree_Cumulee_Panne_Min]]/60</f>
        <v>2.9166666666666665</v>
      </c>
      <c r="J103">
        <v>32.369999999999997</v>
      </c>
      <c r="K103">
        <v>1</v>
      </c>
      <c r="L10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03">
        <f>Clients_Churn_Part[[#This Row],[Facture_Mensuelle]]*Clients_Churn_Part[[#This Row],[Remise]]</f>
        <v>22.658999999999995</v>
      </c>
      <c r="N10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04" spans="1:14" x14ac:dyDescent="0.3">
      <c r="A104" t="s">
        <v>405</v>
      </c>
      <c r="B104" t="s">
        <v>420</v>
      </c>
      <c r="C104" t="s">
        <v>29</v>
      </c>
      <c r="D104">
        <v>6</v>
      </c>
      <c r="E104" s="7">
        <f>Clients_Churn_Part[[#This Row],[Anciennete_Mois]]/12</f>
        <v>0.5</v>
      </c>
      <c r="F104" t="s">
        <v>10</v>
      </c>
      <c r="G104" t="str">
        <f>IF(Clients_Churn_Part[[#This Row],[Type_Forfait]]="pro Monde","B2B","B2C")</f>
        <v>B2C</v>
      </c>
      <c r="H104">
        <v>362</v>
      </c>
      <c r="I104" s="2">
        <f>Clients_Churn_Part[[#This Row],[Duree_Cumulee_Panne_Min]]/60</f>
        <v>6.0333333333333332</v>
      </c>
      <c r="J104">
        <v>75.739999999999995</v>
      </c>
      <c r="K104">
        <v>4</v>
      </c>
      <c r="L10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104">
        <f>Clients_Churn_Part[[#This Row],[Facture_Mensuelle]]*Clients_Churn_Part[[#This Row],[Remise]]</f>
        <v>34.082999999999998</v>
      </c>
      <c r="N10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05" spans="1:14" x14ac:dyDescent="0.3">
      <c r="A105" t="s">
        <v>637</v>
      </c>
      <c r="B105" t="s">
        <v>668</v>
      </c>
      <c r="C105" t="s">
        <v>48</v>
      </c>
      <c r="D105">
        <v>113</v>
      </c>
      <c r="E105" s="7">
        <f>Clients_Churn_Part[[#This Row],[Anciennete_Mois]]/12</f>
        <v>9.4166666666666661</v>
      </c>
      <c r="F105" t="s">
        <v>10</v>
      </c>
      <c r="G105" t="str">
        <f>IF(Clients_Churn_Part[[#This Row],[Type_Forfait]]="pro Monde","B2B","B2C")</f>
        <v>B2C</v>
      </c>
      <c r="H105">
        <v>49</v>
      </c>
      <c r="I105" s="2">
        <f>Clients_Churn_Part[[#This Row],[Duree_Cumulee_Panne_Min]]/60</f>
        <v>0.81666666666666665</v>
      </c>
      <c r="J105">
        <v>48.91</v>
      </c>
      <c r="K105">
        <v>5</v>
      </c>
      <c r="L10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05">
        <f>Clients_Churn_Part[[#This Row],[Facture_Mensuelle]]*Clients_Churn_Part[[#This Row],[Remise]]</f>
        <v>34.236999999999995</v>
      </c>
      <c r="N10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06" spans="1:14" x14ac:dyDescent="0.3">
      <c r="A106" t="s">
        <v>452</v>
      </c>
      <c r="B106" t="s">
        <v>481</v>
      </c>
      <c r="C106" t="s">
        <v>27</v>
      </c>
      <c r="D106">
        <v>20</v>
      </c>
      <c r="E106" s="7">
        <f>Clients_Churn_Part[[#This Row],[Anciennete_Mois]]/12</f>
        <v>1.6666666666666667</v>
      </c>
      <c r="F106" t="s">
        <v>13</v>
      </c>
      <c r="G106" t="str">
        <f>IF(Clients_Churn_Part[[#This Row],[Type_Forfait]]="pro Monde","B2B","B2C")</f>
        <v>B2B</v>
      </c>
      <c r="H106">
        <v>93</v>
      </c>
      <c r="I106" s="2">
        <f>Clients_Churn_Part[[#This Row],[Duree_Cumulee_Panne_Min]]/60</f>
        <v>1.55</v>
      </c>
      <c r="J106">
        <v>84.45</v>
      </c>
      <c r="K106">
        <v>0</v>
      </c>
      <c r="L10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106">
        <f>Clients_Churn_Part[[#This Row],[Facture_Mensuelle]]*Clients_Churn_Part[[#This Row],[Remise]]</f>
        <v>8.4450000000000003</v>
      </c>
      <c r="N10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07" spans="1:14" x14ac:dyDescent="0.3">
      <c r="A107" t="s">
        <v>494</v>
      </c>
      <c r="B107" t="s">
        <v>520</v>
      </c>
      <c r="C107" t="s">
        <v>29</v>
      </c>
      <c r="D107">
        <v>37</v>
      </c>
      <c r="E107" s="7">
        <f>Clients_Churn_Part[[#This Row],[Anciennete_Mois]]/12</f>
        <v>3.0833333333333335</v>
      </c>
      <c r="F107" t="s">
        <v>10</v>
      </c>
      <c r="G107" t="str">
        <f>IF(Clients_Churn_Part[[#This Row],[Type_Forfait]]="pro Monde","B2B","B2C")</f>
        <v>B2C</v>
      </c>
      <c r="H107">
        <v>94</v>
      </c>
      <c r="I107" s="2">
        <f>Clients_Churn_Part[[#This Row],[Duree_Cumulee_Panne_Min]]/60</f>
        <v>1.5666666666666667</v>
      </c>
      <c r="J107">
        <v>50.44</v>
      </c>
      <c r="K107">
        <v>4</v>
      </c>
      <c r="L10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107">
        <f>Clients_Churn_Part[[#This Row],[Facture_Mensuelle]]*Clients_Churn_Part[[#This Row],[Remise]]</f>
        <v>22.698</v>
      </c>
      <c r="N10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08" spans="1:14" x14ac:dyDescent="0.3">
      <c r="A108" t="s">
        <v>538</v>
      </c>
      <c r="B108" t="s">
        <v>558</v>
      </c>
      <c r="C108" t="s">
        <v>20</v>
      </c>
      <c r="D108">
        <v>67</v>
      </c>
      <c r="E108" s="7">
        <f>Clients_Churn_Part[[#This Row],[Anciennete_Mois]]/12</f>
        <v>5.583333333333333</v>
      </c>
      <c r="F108" t="s">
        <v>21</v>
      </c>
      <c r="G108" t="str">
        <f>IF(Clients_Churn_Part[[#This Row],[Type_Forfait]]="pro Monde","B2B","B2C")</f>
        <v>B2C</v>
      </c>
      <c r="H108">
        <v>81</v>
      </c>
      <c r="I108" s="2">
        <f>Clients_Churn_Part[[#This Row],[Duree_Cumulee_Panne_Min]]/60</f>
        <v>1.35</v>
      </c>
      <c r="J108">
        <v>28.52</v>
      </c>
      <c r="K108">
        <v>4</v>
      </c>
      <c r="L10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08">
        <f>Clients_Churn_Part[[#This Row],[Facture_Mensuelle]]*Clients_Churn_Part[[#This Row],[Remise]]</f>
        <v>19.963999999999999</v>
      </c>
      <c r="N10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09" spans="1:14" x14ac:dyDescent="0.3">
      <c r="A109" t="s">
        <v>220</v>
      </c>
      <c r="B109" t="s">
        <v>244</v>
      </c>
      <c r="C109" t="s">
        <v>15</v>
      </c>
      <c r="D109">
        <v>18</v>
      </c>
      <c r="E109" s="7">
        <f>Clients_Churn_Part[[#This Row],[Anciennete_Mois]]/12</f>
        <v>1.5</v>
      </c>
      <c r="F109" t="s">
        <v>21</v>
      </c>
      <c r="G109" t="str">
        <f>IF(Clients_Churn_Part[[#This Row],[Type_Forfait]]="pro Monde","B2B","B2C")</f>
        <v>B2C</v>
      </c>
      <c r="H109">
        <v>34</v>
      </c>
      <c r="I109" s="2">
        <f>Clients_Churn_Part[[#This Row],[Duree_Cumulee_Panne_Min]]/60</f>
        <v>0.56666666666666665</v>
      </c>
      <c r="J109">
        <v>43.71</v>
      </c>
      <c r="K109">
        <v>1</v>
      </c>
      <c r="L10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109">
        <f>Clients_Churn_Part[[#This Row],[Facture_Mensuelle]]*Clients_Churn_Part[[#This Row],[Remise]]</f>
        <v>0</v>
      </c>
      <c r="N10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10" spans="1:14" x14ac:dyDescent="0.3">
      <c r="A110" t="s">
        <v>8</v>
      </c>
      <c r="B110" t="s">
        <v>25</v>
      </c>
      <c r="C110" t="s">
        <v>23</v>
      </c>
      <c r="D110">
        <v>6</v>
      </c>
      <c r="E110" s="7">
        <f>Clients_Churn_Part[[#This Row],[Anciennete_Mois]]/12</f>
        <v>0.5</v>
      </c>
      <c r="F110" t="s">
        <v>21</v>
      </c>
      <c r="G110" t="str">
        <f>IF(Clients_Churn_Part[[#This Row],[Type_Forfait]]="pro Monde","B2B","B2C")</f>
        <v>B2C</v>
      </c>
      <c r="H110">
        <v>155</v>
      </c>
      <c r="I110" s="2">
        <f>Clients_Churn_Part[[#This Row],[Duree_Cumulee_Panne_Min]]/60</f>
        <v>2.5833333333333335</v>
      </c>
      <c r="J110">
        <v>40.659999999999997</v>
      </c>
      <c r="K110">
        <v>1</v>
      </c>
      <c r="L11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110">
        <f>Clients_Churn_Part[[#This Row],[Facture_Mensuelle]]*Clients_Churn_Part[[#This Row],[Remise]]</f>
        <v>0</v>
      </c>
      <c r="N11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11" spans="1:14" x14ac:dyDescent="0.3">
      <c r="A111" t="s">
        <v>174</v>
      </c>
      <c r="B111" t="s">
        <v>184</v>
      </c>
      <c r="C111" t="s">
        <v>122</v>
      </c>
      <c r="D111">
        <v>92</v>
      </c>
      <c r="E111" s="7">
        <f>Clients_Churn_Part[[#This Row],[Anciennete_Mois]]/12</f>
        <v>7.666666666666667</v>
      </c>
      <c r="F111" t="s">
        <v>13</v>
      </c>
      <c r="G111" t="str">
        <f>IF(Clients_Churn_Part[[#This Row],[Type_Forfait]]="pro Monde","B2B","B2C")</f>
        <v>B2B</v>
      </c>
      <c r="H111">
        <v>487</v>
      </c>
      <c r="I111" s="2">
        <f>Clients_Churn_Part[[#This Row],[Duree_Cumulee_Panne_Min]]/60</f>
        <v>8.1166666666666671</v>
      </c>
      <c r="J111">
        <v>58.38</v>
      </c>
      <c r="K111">
        <v>1</v>
      </c>
      <c r="L11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11">
        <f>Clients_Churn_Part[[#This Row],[Facture_Mensuelle]]*Clients_Churn_Part[[#This Row],[Remise]]</f>
        <v>40.866</v>
      </c>
      <c r="N11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12" spans="1:14" x14ac:dyDescent="0.3">
      <c r="A112" t="s">
        <v>494</v>
      </c>
      <c r="B112" t="s">
        <v>514</v>
      </c>
      <c r="C112" t="s">
        <v>126</v>
      </c>
      <c r="D112">
        <v>16</v>
      </c>
      <c r="E112" s="7">
        <f>Clients_Churn_Part[[#This Row],[Anciennete_Mois]]/12</f>
        <v>1.3333333333333333</v>
      </c>
      <c r="F112" t="s">
        <v>13</v>
      </c>
      <c r="G112" t="str">
        <f>IF(Clients_Churn_Part[[#This Row],[Type_Forfait]]="pro Monde","B2B","B2C")</f>
        <v>B2B</v>
      </c>
      <c r="H112">
        <v>214</v>
      </c>
      <c r="I112" s="2">
        <f>Clients_Churn_Part[[#This Row],[Duree_Cumulee_Panne_Min]]/60</f>
        <v>3.5666666666666669</v>
      </c>
      <c r="J112">
        <v>46.57</v>
      </c>
      <c r="K112">
        <v>5</v>
      </c>
      <c r="L11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112">
        <f>Clients_Churn_Part[[#This Row],[Facture_Mensuelle]]*Clients_Churn_Part[[#This Row],[Remise]]</f>
        <v>4.657</v>
      </c>
      <c r="N11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13" spans="1:14" x14ac:dyDescent="0.3">
      <c r="A113" t="s">
        <v>405</v>
      </c>
      <c r="B113" t="s">
        <v>434</v>
      </c>
      <c r="C113" t="s">
        <v>41</v>
      </c>
      <c r="D113">
        <v>24</v>
      </c>
      <c r="E113" s="7">
        <f>Clients_Churn_Part[[#This Row],[Anciennete_Mois]]/12</f>
        <v>2</v>
      </c>
      <c r="F113" t="s">
        <v>13</v>
      </c>
      <c r="G113" t="str">
        <f>IF(Clients_Churn_Part[[#This Row],[Type_Forfait]]="pro Monde","B2B","B2C")</f>
        <v>B2B</v>
      </c>
      <c r="H113">
        <v>23</v>
      </c>
      <c r="I113" s="2">
        <f>Clients_Churn_Part[[#This Row],[Duree_Cumulee_Panne_Min]]/60</f>
        <v>0.38333333333333336</v>
      </c>
      <c r="J113">
        <v>28.55</v>
      </c>
      <c r="K113">
        <v>1</v>
      </c>
      <c r="L11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113">
        <f>Clients_Churn_Part[[#This Row],[Facture_Mensuelle]]*Clients_Churn_Part[[#This Row],[Remise]]</f>
        <v>12.8475</v>
      </c>
      <c r="N11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14" spans="1:14" x14ac:dyDescent="0.3">
      <c r="A114" t="s">
        <v>405</v>
      </c>
      <c r="B114" t="s">
        <v>415</v>
      </c>
      <c r="C114" t="s">
        <v>23</v>
      </c>
      <c r="D114">
        <v>32</v>
      </c>
      <c r="E114" s="7">
        <f>Clients_Churn_Part[[#This Row],[Anciennete_Mois]]/12</f>
        <v>2.6666666666666665</v>
      </c>
      <c r="F114" t="s">
        <v>21</v>
      </c>
      <c r="G114" t="str">
        <f>IF(Clients_Churn_Part[[#This Row],[Type_Forfait]]="pro Monde","B2B","B2C")</f>
        <v>B2C</v>
      </c>
      <c r="H114">
        <v>475</v>
      </c>
      <c r="I114" s="2">
        <f>Clients_Churn_Part[[#This Row],[Duree_Cumulee_Panne_Min]]/60</f>
        <v>7.916666666666667</v>
      </c>
      <c r="J114">
        <v>36.54</v>
      </c>
      <c r="K114">
        <v>3</v>
      </c>
      <c r="L11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114">
        <f>Clients_Churn_Part[[#This Row],[Facture_Mensuelle]]*Clients_Churn_Part[[#This Row],[Remise]]</f>
        <v>0</v>
      </c>
      <c r="N11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15" spans="1:14" x14ac:dyDescent="0.3">
      <c r="A115" t="s">
        <v>637</v>
      </c>
      <c r="B115" t="s">
        <v>667</v>
      </c>
      <c r="C115" t="s">
        <v>29</v>
      </c>
      <c r="D115">
        <v>45</v>
      </c>
      <c r="E115" s="7">
        <f>Clients_Churn_Part[[#This Row],[Anciennete_Mois]]/12</f>
        <v>3.75</v>
      </c>
      <c r="F115" t="s">
        <v>13</v>
      </c>
      <c r="G115" t="str">
        <f>IF(Clients_Churn_Part[[#This Row],[Type_Forfait]]="pro Monde","B2B","B2C")</f>
        <v>B2B</v>
      </c>
      <c r="H115">
        <v>304</v>
      </c>
      <c r="I115" s="2">
        <f>Clients_Churn_Part[[#This Row],[Duree_Cumulee_Panne_Min]]/60</f>
        <v>5.0666666666666664</v>
      </c>
      <c r="J115">
        <v>65.540000000000006</v>
      </c>
      <c r="K115">
        <v>2</v>
      </c>
      <c r="L11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115">
        <f>Clients_Churn_Part[[#This Row],[Facture_Mensuelle]]*Clients_Churn_Part[[#This Row],[Remise]]</f>
        <v>6.5540000000000012</v>
      </c>
      <c r="N11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16" spans="1:14" x14ac:dyDescent="0.3">
      <c r="A116" t="s">
        <v>267</v>
      </c>
      <c r="B116" t="s">
        <v>289</v>
      </c>
      <c r="C116" t="s">
        <v>122</v>
      </c>
      <c r="D116">
        <v>97</v>
      </c>
      <c r="E116" s="7">
        <f>Clients_Churn_Part[[#This Row],[Anciennete_Mois]]/12</f>
        <v>8.0833333333333339</v>
      </c>
      <c r="F116" t="s">
        <v>18</v>
      </c>
      <c r="G116" t="str">
        <f>IF(Clients_Churn_Part[[#This Row],[Type_Forfait]]="pro Monde","B2B","B2C")</f>
        <v>B2C</v>
      </c>
      <c r="H116">
        <v>40</v>
      </c>
      <c r="I116" s="2">
        <f>Clients_Churn_Part[[#This Row],[Duree_Cumulee_Panne_Min]]/60</f>
        <v>0.66666666666666663</v>
      </c>
      <c r="J116">
        <v>85.19</v>
      </c>
      <c r="K116">
        <v>1</v>
      </c>
      <c r="L11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16">
        <f>Clients_Churn_Part[[#This Row],[Facture_Mensuelle]]*Clients_Churn_Part[[#This Row],[Remise]]</f>
        <v>59.632999999999996</v>
      </c>
      <c r="N11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17" spans="1:14" x14ac:dyDescent="0.3">
      <c r="A117" t="s">
        <v>267</v>
      </c>
      <c r="B117" t="s">
        <v>298</v>
      </c>
      <c r="C117" t="s">
        <v>72</v>
      </c>
      <c r="D117">
        <v>8</v>
      </c>
      <c r="E117" s="7">
        <f>Clients_Churn_Part[[#This Row],[Anciennete_Mois]]/12</f>
        <v>0.66666666666666663</v>
      </c>
      <c r="F117" t="s">
        <v>18</v>
      </c>
      <c r="G117" t="str">
        <f>IF(Clients_Churn_Part[[#This Row],[Type_Forfait]]="pro Monde","B2B","B2C")</f>
        <v>B2C</v>
      </c>
      <c r="H117">
        <v>120</v>
      </c>
      <c r="I117" s="2">
        <f>Clients_Churn_Part[[#This Row],[Duree_Cumulee_Panne_Min]]/60</f>
        <v>2</v>
      </c>
      <c r="J117">
        <v>88.29</v>
      </c>
      <c r="K117">
        <v>5</v>
      </c>
      <c r="L11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117">
        <f>Clients_Churn_Part[[#This Row],[Facture_Mensuelle]]*Clients_Churn_Part[[#This Row],[Remise]]</f>
        <v>0</v>
      </c>
      <c r="N11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18" spans="1:14" x14ac:dyDescent="0.3">
      <c r="A118" t="s">
        <v>589</v>
      </c>
      <c r="B118" t="s">
        <v>630</v>
      </c>
      <c r="C118" t="s">
        <v>20</v>
      </c>
      <c r="D118">
        <v>75</v>
      </c>
      <c r="E118" s="7">
        <f>Clients_Churn_Part[[#This Row],[Anciennete_Mois]]/12</f>
        <v>6.25</v>
      </c>
      <c r="F118" t="s">
        <v>21</v>
      </c>
      <c r="G118" t="str">
        <f>IF(Clients_Churn_Part[[#This Row],[Type_Forfait]]="pro Monde","B2B","B2C")</f>
        <v>B2C</v>
      </c>
      <c r="H118">
        <v>99</v>
      </c>
      <c r="I118" s="2">
        <f>Clients_Churn_Part[[#This Row],[Duree_Cumulee_Panne_Min]]/60</f>
        <v>1.65</v>
      </c>
      <c r="J118">
        <v>16.93</v>
      </c>
      <c r="K118">
        <v>5</v>
      </c>
      <c r="L11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18">
        <f>Clients_Churn_Part[[#This Row],[Facture_Mensuelle]]*Clients_Churn_Part[[#This Row],[Remise]]</f>
        <v>11.850999999999999</v>
      </c>
      <c r="N11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19" spans="1:14" x14ac:dyDescent="0.3">
      <c r="A119" t="s">
        <v>79</v>
      </c>
      <c r="B119" t="s">
        <v>116</v>
      </c>
      <c r="C119" t="s">
        <v>83</v>
      </c>
      <c r="D119">
        <v>91</v>
      </c>
      <c r="E119" s="7">
        <f>Clients_Churn_Part[[#This Row],[Anciennete_Mois]]/12</f>
        <v>7.583333333333333</v>
      </c>
      <c r="F119" t="s">
        <v>18</v>
      </c>
      <c r="G119" t="str">
        <f>IF(Clients_Churn_Part[[#This Row],[Type_Forfait]]="pro Monde","B2B","B2C")</f>
        <v>B2C</v>
      </c>
      <c r="H119">
        <v>300</v>
      </c>
      <c r="I119" s="2">
        <f>Clients_Churn_Part[[#This Row],[Duree_Cumulee_Panne_Min]]/60</f>
        <v>5</v>
      </c>
      <c r="J119">
        <v>82.19</v>
      </c>
      <c r="K119">
        <v>1</v>
      </c>
      <c r="L11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19">
        <f>Clients_Churn_Part[[#This Row],[Facture_Mensuelle]]*Clients_Churn_Part[[#This Row],[Remise]]</f>
        <v>57.532999999999994</v>
      </c>
      <c r="N11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20" spans="1:14" x14ac:dyDescent="0.3">
      <c r="A120" t="s">
        <v>8</v>
      </c>
      <c r="B120" t="s">
        <v>40</v>
      </c>
      <c r="C120" t="s">
        <v>41</v>
      </c>
      <c r="D120">
        <v>66</v>
      </c>
      <c r="E120" s="7">
        <f>Clients_Churn_Part[[#This Row],[Anciennete_Mois]]/12</f>
        <v>5.5</v>
      </c>
      <c r="F120" t="s">
        <v>21</v>
      </c>
      <c r="G120" t="str">
        <f>IF(Clients_Churn_Part[[#This Row],[Type_Forfait]]="pro Monde","B2B","B2C")</f>
        <v>B2C</v>
      </c>
      <c r="H120">
        <v>270</v>
      </c>
      <c r="I120" s="2">
        <f>Clients_Churn_Part[[#This Row],[Duree_Cumulee_Panne_Min]]/60</f>
        <v>4.5</v>
      </c>
      <c r="J120">
        <v>75.88</v>
      </c>
      <c r="K120">
        <v>3</v>
      </c>
      <c r="L12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20">
        <f>Clients_Churn_Part[[#This Row],[Facture_Mensuelle]]*Clients_Churn_Part[[#This Row],[Remise]]</f>
        <v>53.115999999999993</v>
      </c>
      <c r="N12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21" spans="1:14" x14ac:dyDescent="0.3">
      <c r="A121" t="s">
        <v>494</v>
      </c>
      <c r="B121" t="s">
        <v>509</v>
      </c>
      <c r="C121" t="s">
        <v>33</v>
      </c>
      <c r="D121">
        <v>98</v>
      </c>
      <c r="E121" s="7">
        <f>Clients_Churn_Part[[#This Row],[Anciennete_Mois]]/12</f>
        <v>8.1666666666666661</v>
      </c>
      <c r="F121" t="s">
        <v>13</v>
      </c>
      <c r="G121" t="str">
        <f>IF(Clients_Churn_Part[[#This Row],[Type_Forfait]]="pro Monde","B2B","B2C")</f>
        <v>B2B</v>
      </c>
      <c r="H121">
        <v>41</v>
      </c>
      <c r="I121" s="2">
        <f>Clients_Churn_Part[[#This Row],[Duree_Cumulee_Panne_Min]]/60</f>
        <v>0.68333333333333335</v>
      </c>
      <c r="J121">
        <v>23.55</v>
      </c>
      <c r="K121">
        <v>1</v>
      </c>
      <c r="L12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21">
        <f>Clients_Churn_Part[[#This Row],[Facture_Mensuelle]]*Clients_Churn_Part[[#This Row],[Remise]]</f>
        <v>16.484999999999999</v>
      </c>
      <c r="N12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22" spans="1:14" x14ac:dyDescent="0.3">
      <c r="A122" t="s">
        <v>360</v>
      </c>
      <c r="B122" t="s">
        <v>386</v>
      </c>
      <c r="C122" t="s">
        <v>29</v>
      </c>
      <c r="D122">
        <v>63</v>
      </c>
      <c r="E122" s="7">
        <f>Clients_Churn_Part[[#This Row],[Anciennete_Mois]]/12</f>
        <v>5.25</v>
      </c>
      <c r="F122" t="s">
        <v>18</v>
      </c>
      <c r="G122" t="str">
        <f>IF(Clients_Churn_Part[[#This Row],[Type_Forfait]]="pro Monde","B2B","B2C")</f>
        <v>B2C</v>
      </c>
      <c r="H122">
        <v>263</v>
      </c>
      <c r="I122" s="2">
        <f>Clients_Churn_Part[[#This Row],[Duree_Cumulee_Panne_Min]]/60</f>
        <v>4.3833333333333337</v>
      </c>
      <c r="J122">
        <v>53.87</v>
      </c>
      <c r="K122">
        <v>4</v>
      </c>
      <c r="L12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22">
        <f>Clients_Churn_Part[[#This Row],[Facture_Mensuelle]]*Clients_Churn_Part[[#This Row],[Remise]]</f>
        <v>37.708999999999996</v>
      </c>
      <c r="N12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23" spans="1:14" x14ac:dyDescent="0.3">
      <c r="A123" t="s">
        <v>314</v>
      </c>
      <c r="B123" t="s">
        <v>331</v>
      </c>
      <c r="C123" t="s">
        <v>17</v>
      </c>
      <c r="D123">
        <v>29</v>
      </c>
      <c r="E123" s="7">
        <f>Clients_Churn_Part[[#This Row],[Anciennete_Mois]]/12</f>
        <v>2.4166666666666665</v>
      </c>
      <c r="F123" t="s">
        <v>18</v>
      </c>
      <c r="G123" t="str">
        <f>IF(Clients_Churn_Part[[#This Row],[Type_Forfait]]="pro Monde","B2B","B2C")</f>
        <v>B2C</v>
      </c>
      <c r="H123">
        <v>173</v>
      </c>
      <c r="I123" s="2">
        <f>Clients_Churn_Part[[#This Row],[Duree_Cumulee_Panne_Min]]/60</f>
        <v>2.8833333333333333</v>
      </c>
      <c r="J123">
        <v>49.03</v>
      </c>
      <c r="K123">
        <v>3</v>
      </c>
      <c r="L12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123">
        <f>Clients_Churn_Part[[#This Row],[Facture_Mensuelle]]*Clients_Churn_Part[[#This Row],[Remise]]</f>
        <v>0</v>
      </c>
      <c r="N12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24" spans="1:14" x14ac:dyDescent="0.3">
      <c r="A124" t="s">
        <v>267</v>
      </c>
      <c r="B124" t="s">
        <v>272</v>
      </c>
      <c r="C124" t="s">
        <v>126</v>
      </c>
      <c r="D124">
        <v>83</v>
      </c>
      <c r="E124" s="7">
        <f>Clients_Churn_Part[[#This Row],[Anciennete_Mois]]/12</f>
        <v>6.916666666666667</v>
      </c>
      <c r="F124" t="s">
        <v>21</v>
      </c>
      <c r="G124" t="str">
        <f>IF(Clients_Churn_Part[[#This Row],[Type_Forfait]]="pro Monde","B2B","B2C")</f>
        <v>B2C</v>
      </c>
      <c r="H124">
        <v>30</v>
      </c>
      <c r="I124" s="2">
        <f>Clients_Churn_Part[[#This Row],[Duree_Cumulee_Panne_Min]]/60</f>
        <v>0.5</v>
      </c>
      <c r="J124">
        <v>33.93</v>
      </c>
      <c r="K124">
        <v>3</v>
      </c>
      <c r="L12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124">
        <f>Clients_Churn_Part[[#This Row],[Facture_Mensuelle]]*Clients_Churn_Part[[#This Row],[Remise]]</f>
        <v>15.2685</v>
      </c>
      <c r="N12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25" spans="1:14" x14ac:dyDescent="0.3">
      <c r="A125" t="s">
        <v>589</v>
      </c>
      <c r="B125" t="s">
        <v>604</v>
      </c>
      <c r="C125" t="s">
        <v>15</v>
      </c>
      <c r="D125">
        <v>105</v>
      </c>
      <c r="E125" s="7">
        <f>Clients_Churn_Part[[#This Row],[Anciennete_Mois]]/12</f>
        <v>8.75</v>
      </c>
      <c r="F125" t="s">
        <v>21</v>
      </c>
      <c r="G125" t="str">
        <f>IF(Clients_Churn_Part[[#This Row],[Type_Forfait]]="pro Monde","B2B","B2C")</f>
        <v>B2C</v>
      </c>
      <c r="H125">
        <v>271</v>
      </c>
      <c r="I125" s="2">
        <f>Clients_Churn_Part[[#This Row],[Duree_Cumulee_Panne_Min]]/60</f>
        <v>4.5166666666666666</v>
      </c>
      <c r="J125">
        <v>45.27</v>
      </c>
      <c r="K125">
        <v>2</v>
      </c>
      <c r="L12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25">
        <f>Clients_Churn_Part[[#This Row],[Facture_Mensuelle]]*Clients_Churn_Part[[#This Row],[Remise]]</f>
        <v>31.689</v>
      </c>
      <c r="N12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26" spans="1:14" x14ac:dyDescent="0.3">
      <c r="A126" t="s">
        <v>405</v>
      </c>
      <c r="B126" t="s">
        <v>430</v>
      </c>
      <c r="C126" t="s">
        <v>122</v>
      </c>
      <c r="D126">
        <v>117</v>
      </c>
      <c r="E126" s="7">
        <f>Clients_Churn_Part[[#This Row],[Anciennete_Mois]]/12</f>
        <v>9.75</v>
      </c>
      <c r="F126" t="s">
        <v>10</v>
      </c>
      <c r="G126" t="str">
        <f>IF(Clients_Churn_Part[[#This Row],[Type_Forfait]]="pro Monde","B2B","B2C")</f>
        <v>B2C</v>
      </c>
      <c r="H126">
        <v>282</v>
      </c>
      <c r="I126" s="2">
        <f>Clients_Churn_Part[[#This Row],[Duree_Cumulee_Panne_Min]]/60</f>
        <v>4.7</v>
      </c>
      <c r="J126">
        <v>95.11</v>
      </c>
      <c r="K126">
        <v>0</v>
      </c>
      <c r="L12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26">
        <f>Clients_Churn_Part[[#This Row],[Facture_Mensuelle]]*Clients_Churn_Part[[#This Row],[Remise]]</f>
        <v>66.576999999999998</v>
      </c>
      <c r="N12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27" spans="1:14" x14ac:dyDescent="0.3">
      <c r="A127" t="s">
        <v>220</v>
      </c>
      <c r="B127" t="s">
        <v>230</v>
      </c>
      <c r="C127" t="s">
        <v>17</v>
      </c>
      <c r="D127">
        <v>96</v>
      </c>
      <c r="E127" s="7">
        <f>Clients_Churn_Part[[#This Row],[Anciennete_Mois]]/12</f>
        <v>8</v>
      </c>
      <c r="F127" t="s">
        <v>10</v>
      </c>
      <c r="G127" t="str">
        <f>IF(Clients_Churn_Part[[#This Row],[Type_Forfait]]="pro Monde","B2B","B2C")</f>
        <v>B2C</v>
      </c>
      <c r="H127">
        <v>334</v>
      </c>
      <c r="I127" s="2">
        <f>Clients_Churn_Part[[#This Row],[Duree_Cumulee_Panne_Min]]/60</f>
        <v>5.5666666666666664</v>
      </c>
      <c r="J127">
        <v>64.77</v>
      </c>
      <c r="K127">
        <v>0</v>
      </c>
      <c r="L12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27">
        <f>Clients_Churn_Part[[#This Row],[Facture_Mensuelle]]*Clients_Churn_Part[[#This Row],[Remise]]</f>
        <v>45.338999999999992</v>
      </c>
      <c r="N12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28" spans="1:14" x14ac:dyDescent="0.3">
      <c r="A128" t="s">
        <v>538</v>
      </c>
      <c r="B128" t="s">
        <v>545</v>
      </c>
      <c r="C128" t="s">
        <v>31</v>
      </c>
      <c r="D128">
        <v>7</v>
      </c>
      <c r="E128" s="7">
        <f>Clients_Churn_Part[[#This Row],[Anciennete_Mois]]/12</f>
        <v>0.58333333333333337</v>
      </c>
      <c r="F128" t="s">
        <v>13</v>
      </c>
      <c r="G128" t="str">
        <f>IF(Clients_Churn_Part[[#This Row],[Type_Forfait]]="pro Monde","B2B","B2C")</f>
        <v>B2B</v>
      </c>
      <c r="H128">
        <v>323</v>
      </c>
      <c r="I128" s="2">
        <f>Clients_Churn_Part[[#This Row],[Duree_Cumulee_Panne_Min]]/60</f>
        <v>5.3833333333333337</v>
      </c>
      <c r="J128">
        <v>82.81</v>
      </c>
      <c r="K128">
        <v>5</v>
      </c>
      <c r="L12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128">
        <f>Clients_Churn_Part[[#This Row],[Facture_Mensuelle]]*Clients_Churn_Part[[#This Row],[Remise]]</f>
        <v>8.2810000000000006</v>
      </c>
      <c r="N12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29" spans="1:14" x14ac:dyDescent="0.3">
      <c r="A129" t="s">
        <v>589</v>
      </c>
      <c r="B129" t="s">
        <v>618</v>
      </c>
      <c r="C129" t="s">
        <v>37</v>
      </c>
      <c r="D129">
        <v>39</v>
      </c>
      <c r="E129" s="7">
        <f>Clients_Churn_Part[[#This Row],[Anciennete_Mois]]/12</f>
        <v>3.25</v>
      </c>
      <c r="F129" t="s">
        <v>10</v>
      </c>
      <c r="G129" t="str">
        <f>IF(Clients_Churn_Part[[#This Row],[Type_Forfait]]="pro Monde","B2B","B2C")</f>
        <v>B2C</v>
      </c>
      <c r="H129">
        <v>220</v>
      </c>
      <c r="I129" s="2">
        <f>Clients_Churn_Part[[#This Row],[Duree_Cumulee_Panne_Min]]/60</f>
        <v>3.6666666666666665</v>
      </c>
      <c r="J129">
        <v>52.91</v>
      </c>
      <c r="K129">
        <v>0</v>
      </c>
      <c r="L12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129">
        <f>Clients_Churn_Part[[#This Row],[Facture_Mensuelle]]*Clients_Churn_Part[[#This Row],[Remise]]</f>
        <v>23.8095</v>
      </c>
      <c r="N12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30" spans="1:14" x14ac:dyDescent="0.3">
      <c r="A130" t="s">
        <v>637</v>
      </c>
      <c r="B130" t="s">
        <v>650</v>
      </c>
      <c r="C130" t="s">
        <v>57</v>
      </c>
      <c r="D130">
        <v>59</v>
      </c>
      <c r="E130" s="7">
        <f>Clients_Churn_Part[[#This Row],[Anciennete_Mois]]/12</f>
        <v>4.916666666666667</v>
      </c>
      <c r="F130" t="s">
        <v>21</v>
      </c>
      <c r="G130" t="str">
        <f>IF(Clients_Churn_Part[[#This Row],[Type_Forfait]]="pro Monde","B2B","B2C")</f>
        <v>B2C</v>
      </c>
      <c r="H130">
        <v>64</v>
      </c>
      <c r="I130" s="2">
        <f>Clients_Churn_Part[[#This Row],[Duree_Cumulee_Panne_Min]]/60</f>
        <v>1.0666666666666667</v>
      </c>
      <c r="J130">
        <v>20.32</v>
      </c>
      <c r="K130">
        <v>0</v>
      </c>
      <c r="L13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130">
        <f>Clients_Churn_Part[[#This Row],[Facture_Mensuelle]]*Clients_Churn_Part[[#This Row],[Remise]]</f>
        <v>0</v>
      </c>
      <c r="N13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31" spans="1:14" x14ac:dyDescent="0.3">
      <c r="A131" t="s">
        <v>405</v>
      </c>
      <c r="B131" t="s">
        <v>426</v>
      </c>
      <c r="C131" t="s">
        <v>41</v>
      </c>
      <c r="D131">
        <v>28</v>
      </c>
      <c r="E131" s="7">
        <f>Clients_Churn_Part[[#This Row],[Anciennete_Mois]]/12</f>
        <v>2.3333333333333335</v>
      </c>
      <c r="F131" t="s">
        <v>21</v>
      </c>
      <c r="G131" t="str">
        <f>IF(Clients_Churn_Part[[#This Row],[Type_Forfait]]="pro Monde","B2B","B2C")</f>
        <v>B2C</v>
      </c>
      <c r="H131">
        <v>112</v>
      </c>
      <c r="I131" s="2">
        <f>Clients_Churn_Part[[#This Row],[Duree_Cumulee_Panne_Min]]/60</f>
        <v>1.8666666666666667</v>
      </c>
      <c r="J131">
        <v>94.51</v>
      </c>
      <c r="K131">
        <v>3</v>
      </c>
      <c r="L13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131">
        <f>Clients_Churn_Part[[#This Row],[Facture_Mensuelle]]*Clients_Churn_Part[[#This Row],[Remise]]</f>
        <v>0</v>
      </c>
      <c r="N13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32" spans="1:14" x14ac:dyDescent="0.3">
      <c r="A132" t="s">
        <v>314</v>
      </c>
      <c r="B132" t="s">
        <v>329</v>
      </c>
      <c r="C132" t="s">
        <v>17</v>
      </c>
      <c r="D132">
        <v>78</v>
      </c>
      <c r="E132" s="7">
        <f>Clients_Churn_Part[[#This Row],[Anciennete_Mois]]/12</f>
        <v>6.5</v>
      </c>
      <c r="F132" t="s">
        <v>10</v>
      </c>
      <c r="G132" t="str">
        <f>IF(Clients_Churn_Part[[#This Row],[Type_Forfait]]="pro Monde","B2B","B2C")</f>
        <v>B2C</v>
      </c>
      <c r="H132">
        <v>263</v>
      </c>
      <c r="I132" s="2">
        <f>Clients_Churn_Part[[#This Row],[Duree_Cumulee_Panne_Min]]/60</f>
        <v>4.3833333333333337</v>
      </c>
      <c r="J132">
        <v>53.58</v>
      </c>
      <c r="K132">
        <v>5</v>
      </c>
      <c r="L13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32">
        <f>Clients_Churn_Part[[#This Row],[Facture_Mensuelle]]*Clients_Churn_Part[[#This Row],[Remise]]</f>
        <v>37.505999999999993</v>
      </c>
      <c r="N13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33" spans="1:14" x14ac:dyDescent="0.3">
      <c r="A133" t="s">
        <v>267</v>
      </c>
      <c r="B133" t="s">
        <v>313</v>
      </c>
      <c r="C133" t="s">
        <v>122</v>
      </c>
      <c r="D133">
        <v>4</v>
      </c>
      <c r="E133" s="7">
        <f>Clients_Churn_Part[[#This Row],[Anciennete_Mois]]/12</f>
        <v>0.33333333333333331</v>
      </c>
      <c r="F133" t="s">
        <v>13</v>
      </c>
      <c r="G133" t="str">
        <f>IF(Clients_Churn_Part[[#This Row],[Type_Forfait]]="pro Monde","B2B","B2C")</f>
        <v>B2B</v>
      </c>
      <c r="H133">
        <v>49</v>
      </c>
      <c r="I133" s="2">
        <f>Clients_Churn_Part[[#This Row],[Duree_Cumulee_Panne_Min]]/60</f>
        <v>0.81666666666666665</v>
      </c>
      <c r="J133">
        <v>41.35</v>
      </c>
      <c r="K133">
        <v>5</v>
      </c>
      <c r="L13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133">
        <f>Clients_Churn_Part[[#This Row],[Facture_Mensuelle]]*Clients_Churn_Part[[#This Row],[Remise]]</f>
        <v>4.1350000000000007</v>
      </c>
      <c r="N13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34" spans="1:14" x14ac:dyDescent="0.3">
      <c r="A134" t="s">
        <v>682</v>
      </c>
      <c r="B134" t="s">
        <v>714</v>
      </c>
      <c r="C134" t="s">
        <v>12</v>
      </c>
      <c r="D134">
        <v>37</v>
      </c>
      <c r="E134" s="7">
        <f>Clients_Churn_Part[[#This Row],[Anciennete_Mois]]/12</f>
        <v>3.0833333333333335</v>
      </c>
      <c r="F134" t="s">
        <v>10</v>
      </c>
      <c r="G134" t="str">
        <f>IF(Clients_Churn_Part[[#This Row],[Type_Forfait]]="pro Monde","B2B","B2C")</f>
        <v>B2C</v>
      </c>
      <c r="H134">
        <v>213</v>
      </c>
      <c r="I134" s="2">
        <f>Clients_Churn_Part[[#This Row],[Duree_Cumulee_Panne_Min]]/60</f>
        <v>3.55</v>
      </c>
      <c r="J134">
        <v>14.12</v>
      </c>
      <c r="K134">
        <v>1</v>
      </c>
      <c r="L13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134">
        <f>Clients_Churn_Part[[#This Row],[Facture_Mensuelle]]*Clients_Churn_Part[[#This Row],[Remise]]</f>
        <v>6.3540000000000001</v>
      </c>
      <c r="N13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35" spans="1:14" x14ac:dyDescent="0.3">
      <c r="A135" t="s">
        <v>267</v>
      </c>
      <c r="B135" t="s">
        <v>268</v>
      </c>
      <c r="C135" t="s">
        <v>68</v>
      </c>
      <c r="D135">
        <v>48</v>
      </c>
      <c r="E135" s="7">
        <f>Clients_Churn_Part[[#This Row],[Anciennete_Mois]]/12</f>
        <v>4</v>
      </c>
      <c r="F135" t="s">
        <v>10</v>
      </c>
      <c r="G135" t="str">
        <f>IF(Clients_Churn_Part[[#This Row],[Type_Forfait]]="pro Monde","B2B","B2C")</f>
        <v>B2C</v>
      </c>
      <c r="H135">
        <v>416</v>
      </c>
      <c r="I135" s="2">
        <f>Clients_Churn_Part[[#This Row],[Duree_Cumulee_Panne_Min]]/60</f>
        <v>6.9333333333333336</v>
      </c>
      <c r="J135">
        <v>81.260000000000005</v>
      </c>
      <c r="K135">
        <v>5</v>
      </c>
      <c r="L13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135">
        <f>Clients_Churn_Part[[#This Row],[Facture_Mensuelle]]*Clients_Churn_Part[[#This Row],[Remise]]</f>
        <v>36.567</v>
      </c>
      <c r="N13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36" spans="1:14" x14ac:dyDescent="0.3">
      <c r="A136" t="s">
        <v>220</v>
      </c>
      <c r="B136" t="s">
        <v>238</v>
      </c>
      <c r="C136" t="s">
        <v>48</v>
      </c>
      <c r="D136">
        <v>51</v>
      </c>
      <c r="E136" s="7">
        <f>Clients_Churn_Part[[#This Row],[Anciennete_Mois]]/12</f>
        <v>4.25</v>
      </c>
      <c r="F136" t="s">
        <v>13</v>
      </c>
      <c r="G136" t="str">
        <f>IF(Clients_Churn_Part[[#This Row],[Type_Forfait]]="pro Monde","B2B","B2C")</f>
        <v>B2B</v>
      </c>
      <c r="H136">
        <v>336</v>
      </c>
      <c r="I136" s="2">
        <f>Clients_Churn_Part[[#This Row],[Duree_Cumulee_Panne_Min]]/60</f>
        <v>5.6</v>
      </c>
      <c r="J136">
        <v>65.47</v>
      </c>
      <c r="K136">
        <v>1</v>
      </c>
      <c r="L13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136">
        <f>Clients_Churn_Part[[#This Row],[Facture_Mensuelle]]*Clients_Churn_Part[[#This Row],[Remise]]</f>
        <v>6.5470000000000006</v>
      </c>
      <c r="N13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37" spans="1:14" x14ac:dyDescent="0.3">
      <c r="A137" t="s">
        <v>637</v>
      </c>
      <c r="B137" t="s">
        <v>675</v>
      </c>
      <c r="C137" t="s">
        <v>33</v>
      </c>
      <c r="D137">
        <v>20</v>
      </c>
      <c r="E137" s="7">
        <f>Clients_Churn_Part[[#This Row],[Anciennete_Mois]]/12</f>
        <v>1.6666666666666667</v>
      </c>
      <c r="F137" t="s">
        <v>13</v>
      </c>
      <c r="G137" t="str">
        <f>IF(Clients_Churn_Part[[#This Row],[Type_Forfait]]="pro Monde","B2B","B2C")</f>
        <v>B2B</v>
      </c>
      <c r="H137">
        <v>31</v>
      </c>
      <c r="I137" s="2">
        <f>Clients_Churn_Part[[#This Row],[Duree_Cumulee_Panne_Min]]/60</f>
        <v>0.51666666666666672</v>
      </c>
      <c r="J137">
        <v>52.85</v>
      </c>
      <c r="K137">
        <v>2</v>
      </c>
      <c r="L13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137">
        <f>Clients_Churn_Part[[#This Row],[Facture_Mensuelle]]*Clients_Churn_Part[[#This Row],[Remise]]</f>
        <v>5.2850000000000001</v>
      </c>
      <c r="N13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38" spans="1:14" x14ac:dyDescent="0.3">
      <c r="A138" t="s">
        <v>267</v>
      </c>
      <c r="B138" t="s">
        <v>312</v>
      </c>
      <c r="C138" t="s">
        <v>9</v>
      </c>
      <c r="D138">
        <v>87</v>
      </c>
      <c r="E138" s="7">
        <f>Clients_Churn_Part[[#This Row],[Anciennete_Mois]]/12</f>
        <v>7.25</v>
      </c>
      <c r="F138" t="s">
        <v>18</v>
      </c>
      <c r="G138" t="str">
        <f>IF(Clients_Churn_Part[[#This Row],[Type_Forfait]]="pro Monde","B2B","B2C")</f>
        <v>B2C</v>
      </c>
      <c r="H138">
        <v>21</v>
      </c>
      <c r="I138" s="2">
        <f>Clients_Churn_Part[[#This Row],[Duree_Cumulee_Panne_Min]]/60</f>
        <v>0.35</v>
      </c>
      <c r="J138">
        <v>81.459999999999994</v>
      </c>
      <c r="K138">
        <v>3</v>
      </c>
      <c r="L13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138">
        <f>Clients_Churn_Part[[#This Row],[Facture_Mensuelle]]*Clients_Churn_Part[[#This Row],[Remise]]</f>
        <v>36.656999999999996</v>
      </c>
      <c r="N13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39" spans="1:14" x14ac:dyDescent="0.3">
      <c r="A139" t="s">
        <v>405</v>
      </c>
      <c r="B139" t="s">
        <v>451</v>
      </c>
      <c r="C139" t="s">
        <v>9</v>
      </c>
      <c r="D139">
        <v>96</v>
      </c>
      <c r="E139" s="7">
        <f>Clients_Churn_Part[[#This Row],[Anciennete_Mois]]/12</f>
        <v>8</v>
      </c>
      <c r="F139" t="s">
        <v>10</v>
      </c>
      <c r="G139" t="str">
        <f>IF(Clients_Churn_Part[[#This Row],[Type_Forfait]]="pro Monde","B2B","B2C")</f>
        <v>B2C</v>
      </c>
      <c r="H139">
        <v>273</v>
      </c>
      <c r="I139" s="2">
        <f>Clients_Churn_Part[[#This Row],[Duree_Cumulee_Panne_Min]]/60</f>
        <v>4.55</v>
      </c>
      <c r="J139">
        <v>37.909999999999997</v>
      </c>
      <c r="K139">
        <v>2</v>
      </c>
      <c r="L13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39">
        <f>Clients_Churn_Part[[#This Row],[Facture_Mensuelle]]*Clients_Churn_Part[[#This Row],[Remise]]</f>
        <v>26.536999999999995</v>
      </c>
      <c r="N13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40" spans="1:14" x14ac:dyDescent="0.3">
      <c r="A140" t="s">
        <v>314</v>
      </c>
      <c r="B140" t="s">
        <v>323</v>
      </c>
      <c r="C140" t="s">
        <v>126</v>
      </c>
      <c r="D140">
        <v>103</v>
      </c>
      <c r="E140" s="7">
        <f>Clients_Churn_Part[[#This Row],[Anciennete_Mois]]/12</f>
        <v>8.5833333333333339</v>
      </c>
      <c r="F140" t="s">
        <v>21</v>
      </c>
      <c r="G140" t="str">
        <f>IF(Clients_Churn_Part[[#This Row],[Type_Forfait]]="pro Monde","B2B","B2C")</f>
        <v>B2C</v>
      </c>
      <c r="H140">
        <v>182</v>
      </c>
      <c r="I140" s="2">
        <f>Clients_Churn_Part[[#This Row],[Duree_Cumulee_Panne_Min]]/60</f>
        <v>3.0333333333333332</v>
      </c>
      <c r="J140">
        <v>12.07</v>
      </c>
      <c r="K140">
        <v>5</v>
      </c>
      <c r="L14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40">
        <f>Clients_Churn_Part[[#This Row],[Facture_Mensuelle]]*Clients_Churn_Part[[#This Row],[Remise]]</f>
        <v>8.4489999999999998</v>
      </c>
      <c r="N14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41" spans="1:14" x14ac:dyDescent="0.3">
      <c r="A141" t="s">
        <v>637</v>
      </c>
      <c r="B141" t="s">
        <v>651</v>
      </c>
      <c r="C141" t="s">
        <v>68</v>
      </c>
      <c r="D141">
        <v>28</v>
      </c>
      <c r="E141" s="7">
        <f>Clients_Churn_Part[[#This Row],[Anciennete_Mois]]/12</f>
        <v>2.3333333333333335</v>
      </c>
      <c r="F141" t="s">
        <v>10</v>
      </c>
      <c r="G141" t="str">
        <f>IF(Clients_Churn_Part[[#This Row],[Type_Forfait]]="pro Monde","B2B","B2C")</f>
        <v>B2C</v>
      </c>
      <c r="H141">
        <v>343</v>
      </c>
      <c r="I141" s="2">
        <f>Clients_Churn_Part[[#This Row],[Duree_Cumulee_Panne_Min]]/60</f>
        <v>5.7166666666666668</v>
      </c>
      <c r="J141">
        <v>64.34</v>
      </c>
      <c r="K141">
        <v>5</v>
      </c>
      <c r="L14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141">
        <f>Clients_Churn_Part[[#This Row],[Facture_Mensuelle]]*Clients_Churn_Part[[#This Row],[Remise]]</f>
        <v>28.953000000000003</v>
      </c>
      <c r="N14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42" spans="1:14" x14ac:dyDescent="0.3">
      <c r="A142" t="s">
        <v>174</v>
      </c>
      <c r="B142" t="s">
        <v>182</v>
      </c>
      <c r="C142" t="s">
        <v>31</v>
      </c>
      <c r="D142">
        <v>60</v>
      </c>
      <c r="E142" s="7">
        <f>Clients_Churn_Part[[#This Row],[Anciennete_Mois]]/12</f>
        <v>5</v>
      </c>
      <c r="F142" t="s">
        <v>13</v>
      </c>
      <c r="G142" t="str">
        <f>IF(Clients_Churn_Part[[#This Row],[Type_Forfait]]="pro Monde","B2B","B2C")</f>
        <v>B2B</v>
      </c>
      <c r="H142">
        <v>334</v>
      </c>
      <c r="I142" s="2">
        <f>Clients_Churn_Part[[#This Row],[Duree_Cumulee_Panne_Min]]/60</f>
        <v>5.5666666666666664</v>
      </c>
      <c r="J142">
        <v>71.72</v>
      </c>
      <c r="K142">
        <v>3</v>
      </c>
      <c r="L14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142">
        <f>Clients_Churn_Part[[#This Row],[Facture_Mensuelle]]*Clients_Churn_Part[[#This Row],[Remise]]</f>
        <v>7.1720000000000006</v>
      </c>
      <c r="N14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43" spans="1:14" x14ac:dyDescent="0.3">
      <c r="A143" t="s">
        <v>494</v>
      </c>
      <c r="B143" t="s">
        <v>498</v>
      </c>
      <c r="C143" t="s">
        <v>27</v>
      </c>
      <c r="D143">
        <v>36</v>
      </c>
      <c r="E143" s="7">
        <f>Clients_Churn_Part[[#This Row],[Anciennete_Mois]]/12</f>
        <v>3</v>
      </c>
      <c r="F143" t="s">
        <v>21</v>
      </c>
      <c r="G143" t="str">
        <f>IF(Clients_Churn_Part[[#This Row],[Type_Forfait]]="pro Monde","B2B","B2C")</f>
        <v>B2C</v>
      </c>
      <c r="H143">
        <v>487</v>
      </c>
      <c r="I143" s="2">
        <f>Clients_Churn_Part[[#This Row],[Duree_Cumulee_Panne_Min]]/60</f>
        <v>8.1166666666666671</v>
      </c>
      <c r="J143">
        <v>45.02</v>
      </c>
      <c r="K143">
        <v>2</v>
      </c>
      <c r="L14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143">
        <f>Clients_Churn_Part[[#This Row],[Facture_Mensuelle]]*Clients_Churn_Part[[#This Row],[Remise]]</f>
        <v>0</v>
      </c>
      <c r="N14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44" spans="1:14" x14ac:dyDescent="0.3">
      <c r="A144" t="s">
        <v>314</v>
      </c>
      <c r="B144" t="s">
        <v>352</v>
      </c>
      <c r="C144" t="s">
        <v>41</v>
      </c>
      <c r="D144">
        <v>106</v>
      </c>
      <c r="E144" s="7">
        <f>Clients_Churn_Part[[#This Row],[Anciennete_Mois]]/12</f>
        <v>8.8333333333333339</v>
      </c>
      <c r="F144" t="s">
        <v>21</v>
      </c>
      <c r="G144" t="str">
        <f>IF(Clients_Churn_Part[[#This Row],[Type_Forfait]]="pro Monde","B2B","B2C")</f>
        <v>B2C</v>
      </c>
      <c r="H144">
        <v>407</v>
      </c>
      <c r="I144" s="2">
        <f>Clients_Churn_Part[[#This Row],[Duree_Cumulee_Panne_Min]]/60</f>
        <v>6.7833333333333332</v>
      </c>
      <c r="J144">
        <v>59.92</v>
      </c>
      <c r="K144">
        <v>4</v>
      </c>
      <c r="L14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44">
        <f>Clients_Churn_Part[[#This Row],[Facture_Mensuelle]]*Clients_Churn_Part[[#This Row],[Remise]]</f>
        <v>41.943999999999996</v>
      </c>
      <c r="N14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45" spans="1:14" x14ac:dyDescent="0.3">
      <c r="A145" t="s">
        <v>79</v>
      </c>
      <c r="B145" t="s">
        <v>117</v>
      </c>
      <c r="C145" t="s">
        <v>118</v>
      </c>
      <c r="D145">
        <v>40</v>
      </c>
      <c r="E145" s="7">
        <f>Clients_Churn_Part[[#This Row],[Anciennete_Mois]]/12</f>
        <v>3.3333333333333335</v>
      </c>
      <c r="F145" t="s">
        <v>10</v>
      </c>
      <c r="G145" t="str">
        <f>IF(Clients_Churn_Part[[#This Row],[Type_Forfait]]="pro Monde","B2B","B2C")</f>
        <v>B2C</v>
      </c>
      <c r="H145">
        <v>345</v>
      </c>
      <c r="I145" s="2">
        <f>Clients_Churn_Part[[#This Row],[Duree_Cumulee_Panne_Min]]/60</f>
        <v>5.75</v>
      </c>
      <c r="J145">
        <v>89.55</v>
      </c>
      <c r="K145">
        <v>3</v>
      </c>
      <c r="L14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145">
        <f>Clients_Churn_Part[[#This Row],[Facture_Mensuelle]]*Clients_Churn_Part[[#This Row],[Remise]]</f>
        <v>40.297499999999999</v>
      </c>
      <c r="N14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46" spans="1:14" x14ac:dyDescent="0.3">
      <c r="A146" t="s">
        <v>314</v>
      </c>
      <c r="B146" t="s">
        <v>325</v>
      </c>
      <c r="C146" t="s">
        <v>37</v>
      </c>
      <c r="D146">
        <v>120</v>
      </c>
      <c r="E146" s="7">
        <f>Clients_Churn_Part[[#This Row],[Anciennete_Mois]]/12</f>
        <v>10</v>
      </c>
      <c r="F146" t="s">
        <v>21</v>
      </c>
      <c r="G146" t="str">
        <f>IF(Clients_Churn_Part[[#This Row],[Type_Forfait]]="pro Monde","B2B","B2C")</f>
        <v>B2C</v>
      </c>
      <c r="H146">
        <v>242</v>
      </c>
      <c r="I146" s="2">
        <f>Clients_Churn_Part[[#This Row],[Duree_Cumulee_Panne_Min]]/60</f>
        <v>4.0333333333333332</v>
      </c>
      <c r="J146">
        <v>61.54</v>
      </c>
      <c r="K146">
        <v>1</v>
      </c>
      <c r="L14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46">
        <f>Clients_Churn_Part[[#This Row],[Facture_Mensuelle]]*Clients_Churn_Part[[#This Row],[Remise]]</f>
        <v>43.077999999999996</v>
      </c>
      <c r="N14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47" spans="1:14" x14ac:dyDescent="0.3">
      <c r="A147" t="s">
        <v>79</v>
      </c>
      <c r="B147" t="s">
        <v>113</v>
      </c>
      <c r="C147" t="s">
        <v>24</v>
      </c>
      <c r="D147">
        <v>81</v>
      </c>
      <c r="E147" s="7">
        <f>Clients_Churn_Part[[#This Row],[Anciennete_Mois]]/12</f>
        <v>6.75</v>
      </c>
      <c r="F147" t="s">
        <v>10</v>
      </c>
      <c r="G147" t="str">
        <f>IF(Clients_Churn_Part[[#This Row],[Type_Forfait]]="pro Monde","B2B","B2C")</f>
        <v>B2C</v>
      </c>
      <c r="H147">
        <v>137</v>
      </c>
      <c r="I147" s="2">
        <f>Clients_Churn_Part[[#This Row],[Duree_Cumulee_Panne_Min]]/60</f>
        <v>2.2833333333333332</v>
      </c>
      <c r="J147">
        <v>89.05</v>
      </c>
      <c r="K147">
        <v>0</v>
      </c>
      <c r="L14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47">
        <f>Clients_Churn_Part[[#This Row],[Facture_Mensuelle]]*Clients_Churn_Part[[#This Row],[Remise]]</f>
        <v>62.334999999999994</v>
      </c>
      <c r="N14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48" spans="1:14" x14ac:dyDescent="0.3">
      <c r="A148" t="s">
        <v>682</v>
      </c>
      <c r="B148" t="s">
        <v>719</v>
      </c>
      <c r="C148" t="s">
        <v>23</v>
      </c>
      <c r="D148">
        <v>105</v>
      </c>
      <c r="E148" s="7">
        <f>Clients_Churn_Part[[#This Row],[Anciennete_Mois]]/12</f>
        <v>8.75</v>
      </c>
      <c r="F148" t="s">
        <v>10</v>
      </c>
      <c r="G148" t="str">
        <f>IF(Clients_Churn_Part[[#This Row],[Type_Forfait]]="pro Monde","B2B","B2C")</f>
        <v>B2C</v>
      </c>
      <c r="H148">
        <v>454</v>
      </c>
      <c r="I148" s="2">
        <f>Clients_Churn_Part[[#This Row],[Duree_Cumulee_Panne_Min]]/60</f>
        <v>7.5666666666666664</v>
      </c>
      <c r="J148">
        <v>49.47</v>
      </c>
      <c r="K148">
        <v>4</v>
      </c>
      <c r="L14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48">
        <f>Clients_Churn_Part[[#This Row],[Facture_Mensuelle]]*Clients_Churn_Part[[#This Row],[Remise]]</f>
        <v>34.628999999999998</v>
      </c>
      <c r="N14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49" spans="1:14" x14ac:dyDescent="0.3">
      <c r="A149" t="s">
        <v>267</v>
      </c>
      <c r="B149" t="s">
        <v>276</v>
      </c>
      <c r="C149" t="s">
        <v>126</v>
      </c>
      <c r="D149">
        <v>5</v>
      </c>
      <c r="E149" s="7">
        <f>Clients_Churn_Part[[#This Row],[Anciennete_Mois]]/12</f>
        <v>0.41666666666666669</v>
      </c>
      <c r="F149" t="s">
        <v>13</v>
      </c>
      <c r="G149" t="str">
        <f>IF(Clients_Churn_Part[[#This Row],[Type_Forfait]]="pro Monde","B2B","B2C")</f>
        <v>B2B</v>
      </c>
      <c r="H149">
        <v>98</v>
      </c>
      <c r="I149" s="2">
        <f>Clients_Churn_Part[[#This Row],[Duree_Cumulee_Panne_Min]]/60</f>
        <v>1.6333333333333333</v>
      </c>
      <c r="J149">
        <v>71.37</v>
      </c>
      <c r="K149">
        <v>1</v>
      </c>
      <c r="L14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149">
        <f>Clients_Churn_Part[[#This Row],[Facture_Mensuelle]]*Clients_Churn_Part[[#This Row],[Remise]]</f>
        <v>7.1370000000000005</v>
      </c>
      <c r="N14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50" spans="1:14" x14ac:dyDescent="0.3">
      <c r="A150" t="s">
        <v>267</v>
      </c>
      <c r="B150" t="s">
        <v>283</v>
      </c>
      <c r="C150" t="s">
        <v>57</v>
      </c>
      <c r="D150">
        <v>25</v>
      </c>
      <c r="E150" s="7">
        <f>Clients_Churn_Part[[#This Row],[Anciennete_Mois]]/12</f>
        <v>2.0833333333333335</v>
      </c>
      <c r="F150" t="s">
        <v>10</v>
      </c>
      <c r="G150" t="str">
        <f>IF(Clients_Churn_Part[[#This Row],[Type_Forfait]]="pro Monde","B2B","B2C")</f>
        <v>B2C</v>
      </c>
      <c r="H150">
        <v>467</v>
      </c>
      <c r="I150" s="2">
        <f>Clients_Churn_Part[[#This Row],[Duree_Cumulee_Panne_Min]]/60</f>
        <v>7.7833333333333332</v>
      </c>
      <c r="J150">
        <v>97.78</v>
      </c>
      <c r="K150">
        <v>3</v>
      </c>
      <c r="L15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150">
        <f>Clients_Churn_Part[[#This Row],[Facture_Mensuelle]]*Clients_Churn_Part[[#This Row],[Remise]]</f>
        <v>44.001000000000005</v>
      </c>
      <c r="N15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51" spans="1:14" x14ac:dyDescent="0.3">
      <c r="A151" t="s">
        <v>405</v>
      </c>
      <c r="B151" t="s">
        <v>429</v>
      </c>
      <c r="C151" t="s">
        <v>41</v>
      </c>
      <c r="D151">
        <v>36</v>
      </c>
      <c r="E151" s="7">
        <f>Clients_Churn_Part[[#This Row],[Anciennete_Mois]]/12</f>
        <v>3</v>
      </c>
      <c r="F151" t="s">
        <v>10</v>
      </c>
      <c r="G151" t="str">
        <f>IF(Clients_Churn_Part[[#This Row],[Type_Forfait]]="pro Monde","B2B","B2C")</f>
        <v>B2C</v>
      </c>
      <c r="H151">
        <v>137</v>
      </c>
      <c r="I151" s="2">
        <f>Clients_Churn_Part[[#This Row],[Duree_Cumulee_Panne_Min]]/60</f>
        <v>2.2833333333333332</v>
      </c>
      <c r="J151">
        <v>71.930000000000007</v>
      </c>
      <c r="K151">
        <v>0</v>
      </c>
      <c r="L15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151">
        <f>Clients_Churn_Part[[#This Row],[Facture_Mensuelle]]*Clients_Churn_Part[[#This Row],[Remise]]</f>
        <v>32.368500000000004</v>
      </c>
      <c r="N15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52" spans="1:14" x14ac:dyDescent="0.3">
      <c r="A152" t="s">
        <v>682</v>
      </c>
      <c r="B152" t="s">
        <v>718</v>
      </c>
      <c r="C152" t="s">
        <v>54</v>
      </c>
      <c r="D152">
        <v>21</v>
      </c>
      <c r="E152" s="7">
        <f>Clients_Churn_Part[[#This Row],[Anciennete_Mois]]/12</f>
        <v>1.75</v>
      </c>
      <c r="F152" t="s">
        <v>18</v>
      </c>
      <c r="G152" t="str">
        <f>IF(Clients_Churn_Part[[#This Row],[Type_Forfait]]="pro Monde","B2B","B2C")</f>
        <v>B2C</v>
      </c>
      <c r="H152">
        <v>475</v>
      </c>
      <c r="I152" s="2">
        <f>Clients_Churn_Part[[#This Row],[Duree_Cumulee_Panne_Min]]/60</f>
        <v>7.916666666666667</v>
      </c>
      <c r="J152">
        <v>15.12</v>
      </c>
      <c r="K152">
        <v>2</v>
      </c>
      <c r="L15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152">
        <f>Clients_Churn_Part[[#This Row],[Facture_Mensuelle]]*Clients_Churn_Part[[#This Row],[Remise]]</f>
        <v>0</v>
      </c>
      <c r="N15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53" spans="1:14" x14ac:dyDescent="0.3">
      <c r="A153" t="s">
        <v>360</v>
      </c>
      <c r="B153" t="s">
        <v>366</v>
      </c>
      <c r="C153" t="s">
        <v>37</v>
      </c>
      <c r="D153">
        <v>19</v>
      </c>
      <c r="E153" s="7">
        <f>Clients_Churn_Part[[#This Row],[Anciennete_Mois]]/12</f>
        <v>1.5833333333333333</v>
      </c>
      <c r="F153" t="s">
        <v>21</v>
      </c>
      <c r="G153" t="str">
        <f>IF(Clients_Churn_Part[[#This Row],[Type_Forfait]]="pro Monde","B2B","B2C")</f>
        <v>B2C</v>
      </c>
      <c r="H153">
        <v>450</v>
      </c>
      <c r="I153" s="2">
        <f>Clients_Churn_Part[[#This Row],[Duree_Cumulee_Panne_Min]]/60</f>
        <v>7.5</v>
      </c>
      <c r="J153">
        <v>37.43</v>
      </c>
      <c r="K153">
        <v>2</v>
      </c>
      <c r="L15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153">
        <f>Clients_Churn_Part[[#This Row],[Facture_Mensuelle]]*Clients_Churn_Part[[#This Row],[Remise]]</f>
        <v>0</v>
      </c>
      <c r="N15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54" spans="1:14" x14ac:dyDescent="0.3">
      <c r="A154" t="s">
        <v>174</v>
      </c>
      <c r="B154" t="s">
        <v>180</v>
      </c>
      <c r="C154" t="s">
        <v>41</v>
      </c>
      <c r="D154">
        <v>64</v>
      </c>
      <c r="E154" s="7">
        <f>Clients_Churn_Part[[#This Row],[Anciennete_Mois]]/12</f>
        <v>5.333333333333333</v>
      </c>
      <c r="F154" t="s">
        <v>13</v>
      </c>
      <c r="G154" t="str">
        <f>IF(Clients_Churn_Part[[#This Row],[Type_Forfait]]="pro Monde","B2B","B2C")</f>
        <v>B2B</v>
      </c>
      <c r="H154">
        <v>6</v>
      </c>
      <c r="I154" s="2">
        <f>Clients_Churn_Part[[#This Row],[Duree_Cumulee_Panne_Min]]/60</f>
        <v>0.1</v>
      </c>
      <c r="J154">
        <v>40.58</v>
      </c>
      <c r="K154">
        <v>5</v>
      </c>
      <c r="L15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154">
        <f>Clients_Churn_Part[[#This Row],[Facture_Mensuelle]]*Clients_Churn_Part[[#This Row],[Remise]]</f>
        <v>4.0579999999999998</v>
      </c>
      <c r="N15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55" spans="1:14" x14ac:dyDescent="0.3">
      <c r="A155" t="s">
        <v>79</v>
      </c>
      <c r="B155" t="s">
        <v>80</v>
      </c>
      <c r="C155" t="s">
        <v>48</v>
      </c>
      <c r="D155">
        <v>82</v>
      </c>
      <c r="E155" s="7">
        <f>Clients_Churn_Part[[#This Row],[Anciennete_Mois]]/12</f>
        <v>6.833333333333333</v>
      </c>
      <c r="F155" t="s">
        <v>18</v>
      </c>
      <c r="G155" t="str">
        <f>IF(Clients_Churn_Part[[#This Row],[Type_Forfait]]="pro Monde","B2B","B2C")</f>
        <v>B2C</v>
      </c>
      <c r="H155">
        <v>132</v>
      </c>
      <c r="I155" s="2">
        <f>Clients_Churn_Part[[#This Row],[Duree_Cumulee_Panne_Min]]/60</f>
        <v>2.2000000000000002</v>
      </c>
      <c r="J155">
        <v>50.14</v>
      </c>
      <c r="K155">
        <v>5</v>
      </c>
      <c r="L15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55">
        <f>Clients_Churn_Part[[#This Row],[Facture_Mensuelle]]*Clients_Churn_Part[[#This Row],[Remise]]</f>
        <v>35.097999999999999</v>
      </c>
      <c r="N15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56" spans="1:14" x14ac:dyDescent="0.3">
      <c r="A156" t="s">
        <v>129</v>
      </c>
      <c r="B156" t="s">
        <v>169</v>
      </c>
      <c r="C156" t="s">
        <v>62</v>
      </c>
      <c r="D156">
        <v>74</v>
      </c>
      <c r="E156" s="7">
        <f>Clients_Churn_Part[[#This Row],[Anciennete_Mois]]/12</f>
        <v>6.166666666666667</v>
      </c>
      <c r="F156" t="s">
        <v>13</v>
      </c>
      <c r="G156" t="str">
        <f>IF(Clients_Churn_Part[[#This Row],[Type_Forfait]]="pro Monde","B2B","B2C")</f>
        <v>B2B</v>
      </c>
      <c r="H156">
        <v>371</v>
      </c>
      <c r="I156" s="2">
        <f>Clients_Churn_Part[[#This Row],[Duree_Cumulee_Panne_Min]]/60</f>
        <v>6.1833333333333336</v>
      </c>
      <c r="J156">
        <v>53.27</v>
      </c>
      <c r="K156">
        <v>3</v>
      </c>
      <c r="L15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56">
        <f>Clients_Churn_Part[[#This Row],[Facture_Mensuelle]]*Clients_Churn_Part[[#This Row],[Remise]]</f>
        <v>37.289000000000001</v>
      </c>
      <c r="N15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57" spans="1:14" x14ac:dyDescent="0.3">
      <c r="A157" t="s">
        <v>79</v>
      </c>
      <c r="B157" t="s">
        <v>98</v>
      </c>
      <c r="C157" t="s">
        <v>23</v>
      </c>
      <c r="D157">
        <v>116</v>
      </c>
      <c r="E157" s="7">
        <f>Clients_Churn_Part[[#This Row],[Anciennete_Mois]]/12</f>
        <v>9.6666666666666661</v>
      </c>
      <c r="F157" t="s">
        <v>13</v>
      </c>
      <c r="G157" t="str">
        <f>IF(Clients_Churn_Part[[#This Row],[Type_Forfait]]="pro Monde","B2B","B2C")</f>
        <v>B2B</v>
      </c>
      <c r="H157">
        <v>486</v>
      </c>
      <c r="I157" s="2">
        <f>Clients_Churn_Part[[#This Row],[Duree_Cumulee_Panne_Min]]/60</f>
        <v>8.1</v>
      </c>
      <c r="J157">
        <v>92.96</v>
      </c>
      <c r="K157">
        <v>5</v>
      </c>
      <c r="L15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57">
        <f>Clients_Churn_Part[[#This Row],[Facture_Mensuelle]]*Clients_Churn_Part[[#This Row],[Remise]]</f>
        <v>65.071999999999989</v>
      </c>
      <c r="N15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58" spans="1:14" x14ac:dyDescent="0.3">
      <c r="A158" t="s">
        <v>129</v>
      </c>
      <c r="B158" t="s">
        <v>157</v>
      </c>
      <c r="C158" t="s">
        <v>83</v>
      </c>
      <c r="D158">
        <v>29</v>
      </c>
      <c r="E158" s="7">
        <f>Clients_Churn_Part[[#This Row],[Anciennete_Mois]]/12</f>
        <v>2.4166666666666665</v>
      </c>
      <c r="F158" t="s">
        <v>13</v>
      </c>
      <c r="G158" t="str">
        <f>IF(Clients_Churn_Part[[#This Row],[Type_Forfait]]="pro Monde","B2B","B2C")</f>
        <v>B2B</v>
      </c>
      <c r="H158">
        <v>34</v>
      </c>
      <c r="I158" s="2">
        <f>Clients_Churn_Part[[#This Row],[Duree_Cumulee_Panne_Min]]/60</f>
        <v>0.56666666666666665</v>
      </c>
      <c r="J158">
        <v>86.68</v>
      </c>
      <c r="K158">
        <v>1</v>
      </c>
      <c r="L15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158">
        <f>Clients_Churn_Part[[#This Row],[Facture_Mensuelle]]*Clients_Churn_Part[[#This Row],[Remise]]</f>
        <v>8.668000000000001</v>
      </c>
      <c r="N15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59" spans="1:14" x14ac:dyDescent="0.3">
      <c r="A159" t="s">
        <v>494</v>
      </c>
      <c r="B159" t="s">
        <v>510</v>
      </c>
      <c r="C159" t="s">
        <v>20</v>
      </c>
      <c r="D159">
        <v>113</v>
      </c>
      <c r="E159" s="7">
        <f>Clients_Churn_Part[[#This Row],[Anciennete_Mois]]/12</f>
        <v>9.4166666666666661</v>
      </c>
      <c r="F159" t="s">
        <v>13</v>
      </c>
      <c r="G159" t="str">
        <f>IF(Clients_Churn_Part[[#This Row],[Type_Forfait]]="pro Monde","B2B","B2C")</f>
        <v>B2B</v>
      </c>
      <c r="H159">
        <v>152</v>
      </c>
      <c r="I159" s="2">
        <f>Clients_Churn_Part[[#This Row],[Duree_Cumulee_Panne_Min]]/60</f>
        <v>2.5333333333333332</v>
      </c>
      <c r="J159">
        <v>51.28</v>
      </c>
      <c r="K159">
        <v>4</v>
      </c>
      <c r="L15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59">
        <f>Clients_Churn_Part[[#This Row],[Facture_Mensuelle]]*Clients_Churn_Part[[#This Row],[Remise]]</f>
        <v>35.896000000000001</v>
      </c>
      <c r="N15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60" spans="1:14" x14ac:dyDescent="0.3">
      <c r="A160" t="s">
        <v>637</v>
      </c>
      <c r="B160" t="s">
        <v>655</v>
      </c>
      <c r="C160" t="s">
        <v>20</v>
      </c>
      <c r="D160">
        <v>16</v>
      </c>
      <c r="E160" s="7">
        <f>Clients_Churn_Part[[#This Row],[Anciennete_Mois]]/12</f>
        <v>1.3333333333333333</v>
      </c>
      <c r="F160" t="s">
        <v>21</v>
      </c>
      <c r="G160" t="str">
        <f>IF(Clients_Churn_Part[[#This Row],[Type_Forfait]]="pro Monde","B2B","B2C")</f>
        <v>B2C</v>
      </c>
      <c r="H160">
        <v>390</v>
      </c>
      <c r="I160" s="2">
        <f>Clients_Churn_Part[[#This Row],[Duree_Cumulee_Panne_Min]]/60</f>
        <v>6.5</v>
      </c>
      <c r="J160">
        <v>52.64</v>
      </c>
      <c r="K160">
        <v>0</v>
      </c>
      <c r="L16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160">
        <f>Clients_Churn_Part[[#This Row],[Facture_Mensuelle]]*Clients_Churn_Part[[#This Row],[Remise]]</f>
        <v>0</v>
      </c>
      <c r="N16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61" spans="1:14" x14ac:dyDescent="0.3">
      <c r="A161" t="s">
        <v>129</v>
      </c>
      <c r="B161" t="s">
        <v>136</v>
      </c>
      <c r="C161" t="s">
        <v>62</v>
      </c>
      <c r="D161">
        <v>59</v>
      </c>
      <c r="E161" s="7">
        <f>Clients_Churn_Part[[#This Row],[Anciennete_Mois]]/12</f>
        <v>4.916666666666667</v>
      </c>
      <c r="F161" t="s">
        <v>18</v>
      </c>
      <c r="G161" t="str">
        <f>IF(Clients_Churn_Part[[#This Row],[Type_Forfait]]="pro Monde","B2B","B2C")</f>
        <v>B2C</v>
      </c>
      <c r="H161">
        <v>196</v>
      </c>
      <c r="I161" s="2">
        <f>Clients_Churn_Part[[#This Row],[Duree_Cumulee_Panne_Min]]/60</f>
        <v>3.2666666666666666</v>
      </c>
      <c r="J161">
        <v>62.53</v>
      </c>
      <c r="K161">
        <v>0</v>
      </c>
      <c r="L16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161">
        <f>Clients_Churn_Part[[#This Row],[Facture_Mensuelle]]*Clients_Churn_Part[[#This Row],[Remise]]</f>
        <v>0</v>
      </c>
      <c r="N16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62" spans="1:14" x14ac:dyDescent="0.3">
      <c r="A162" t="s">
        <v>314</v>
      </c>
      <c r="B162" t="s">
        <v>340</v>
      </c>
      <c r="C162" t="s">
        <v>62</v>
      </c>
      <c r="D162">
        <v>38</v>
      </c>
      <c r="E162" s="7">
        <f>Clients_Churn_Part[[#This Row],[Anciennete_Mois]]/12</f>
        <v>3.1666666666666665</v>
      </c>
      <c r="F162" t="s">
        <v>10</v>
      </c>
      <c r="G162" t="str">
        <f>IF(Clients_Churn_Part[[#This Row],[Type_Forfait]]="pro Monde","B2B","B2C")</f>
        <v>B2C</v>
      </c>
      <c r="H162">
        <v>60</v>
      </c>
      <c r="I162" s="2">
        <f>Clients_Churn_Part[[#This Row],[Duree_Cumulee_Panne_Min]]/60</f>
        <v>1</v>
      </c>
      <c r="J162">
        <v>58.28</v>
      </c>
      <c r="K162">
        <v>4</v>
      </c>
      <c r="L16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162">
        <f>Clients_Churn_Part[[#This Row],[Facture_Mensuelle]]*Clients_Churn_Part[[#This Row],[Remise]]</f>
        <v>26.226000000000003</v>
      </c>
      <c r="N16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63" spans="1:14" x14ac:dyDescent="0.3">
      <c r="A163" t="s">
        <v>538</v>
      </c>
      <c r="B163" t="s">
        <v>575</v>
      </c>
      <c r="C163" t="s">
        <v>61</v>
      </c>
      <c r="D163">
        <v>118</v>
      </c>
      <c r="E163" s="7">
        <f>Clients_Churn_Part[[#This Row],[Anciennete_Mois]]/12</f>
        <v>9.8333333333333339</v>
      </c>
      <c r="F163" t="s">
        <v>18</v>
      </c>
      <c r="G163" t="str">
        <f>IF(Clients_Churn_Part[[#This Row],[Type_Forfait]]="pro Monde","B2B","B2C")</f>
        <v>B2C</v>
      </c>
      <c r="H163">
        <v>186</v>
      </c>
      <c r="I163" s="2">
        <f>Clients_Churn_Part[[#This Row],[Duree_Cumulee_Panne_Min]]/60</f>
        <v>3.1</v>
      </c>
      <c r="J163">
        <v>46.88</v>
      </c>
      <c r="K163">
        <v>1</v>
      </c>
      <c r="L16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63">
        <f>Clients_Churn_Part[[#This Row],[Facture_Mensuelle]]*Clients_Churn_Part[[#This Row],[Remise]]</f>
        <v>32.816000000000003</v>
      </c>
      <c r="N16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64" spans="1:14" x14ac:dyDescent="0.3">
      <c r="A164" t="s">
        <v>79</v>
      </c>
      <c r="B164" t="s">
        <v>94</v>
      </c>
      <c r="C164" t="s">
        <v>61</v>
      </c>
      <c r="D164">
        <v>80</v>
      </c>
      <c r="E164" s="7">
        <f>Clients_Churn_Part[[#This Row],[Anciennete_Mois]]/12</f>
        <v>6.666666666666667</v>
      </c>
      <c r="F164" t="s">
        <v>18</v>
      </c>
      <c r="G164" t="str">
        <f>IF(Clients_Churn_Part[[#This Row],[Type_Forfait]]="pro Monde","B2B","B2C")</f>
        <v>B2C</v>
      </c>
      <c r="H164">
        <v>260</v>
      </c>
      <c r="I164" s="2">
        <f>Clients_Churn_Part[[#This Row],[Duree_Cumulee_Panne_Min]]/60</f>
        <v>4.333333333333333</v>
      </c>
      <c r="J164">
        <v>65.87</v>
      </c>
      <c r="K164">
        <v>3</v>
      </c>
      <c r="L16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64">
        <f>Clients_Churn_Part[[#This Row],[Facture_Mensuelle]]*Clients_Churn_Part[[#This Row],[Remise]]</f>
        <v>46.109000000000002</v>
      </c>
      <c r="N16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65" spans="1:14" x14ac:dyDescent="0.3">
      <c r="A165" t="s">
        <v>129</v>
      </c>
      <c r="B165" t="s">
        <v>158</v>
      </c>
      <c r="C165" t="s">
        <v>27</v>
      </c>
      <c r="D165">
        <v>7</v>
      </c>
      <c r="E165" s="7">
        <f>Clients_Churn_Part[[#This Row],[Anciennete_Mois]]/12</f>
        <v>0.58333333333333337</v>
      </c>
      <c r="F165" t="s">
        <v>10</v>
      </c>
      <c r="G165" t="str">
        <f>IF(Clients_Churn_Part[[#This Row],[Type_Forfait]]="pro Monde","B2B","B2C")</f>
        <v>B2C</v>
      </c>
      <c r="H165">
        <v>303</v>
      </c>
      <c r="I165" s="2">
        <f>Clients_Churn_Part[[#This Row],[Duree_Cumulee_Panne_Min]]/60</f>
        <v>5.05</v>
      </c>
      <c r="J165">
        <v>60.95</v>
      </c>
      <c r="K165">
        <v>0</v>
      </c>
      <c r="L16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165">
        <f>Clients_Churn_Part[[#This Row],[Facture_Mensuelle]]*Clients_Churn_Part[[#This Row],[Remise]]</f>
        <v>27.427500000000002</v>
      </c>
      <c r="N16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66" spans="1:14" x14ac:dyDescent="0.3">
      <c r="A166" t="s">
        <v>360</v>
      </c>
      <c r="B166" t="s">
        <v>374</v>
      </c>
      <c r="C166" t="s">
        <v>17</v>
      </c>
      <c r="D166">
        <v>14</v>
      </c>
      <c r="E166" s="7">
        <f>Clients_Churn_Part[[#This Row],[Anciennete_Mois]]/12</f>
        <v>1.1666666666666667</v>
      </c>
      <c r="F166" t="s">
        <v>13</v>
      </c>
      <c r="G166" t="str">
        <f>IF(Clients_Churn_Part[[#This Row],[Type_Forfait]]="pro Monde","B2B","B2C")</f>
        <v>B2B</v>
      </c>
      <c r="H166">
        <v>345</v>
      </c>
      <c r="I166" s="2">
        <f>Clients_Churn_Part[[#This Row],[Duree_Cumulee_Panne_Min]]/60</f>
        <v>5.75</v>
      </c>
      <c r="J166">
        <v>39.57</v>
      </c>
      <c r="K166">
        <v>3</v>
      </c>
      <c r="L16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166">
        <f>Clients_Churn_Part[[#This Row],[Facture_Mensuelle]]*Clients_Churn_Part[[#This Row],[Remise]]</f>
        <v>3.9570000000000003</v>
      </c>
      <c r="N16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67" spans="1:14" x14ac:dyDescent="0.3">
      <c r="A167" t="s">
        <v>589</v>
      </c>
      <c r="B167" t="s">
        <v>595</v>
      </c>
      <c r="C167" t="s">
        <v>118</v>
      </c>
      <c r="D167">
        <v>56</v>
      </c>
      <c r="E167" s="7">
        <f>Clients_Churn_Part[[#This Row],[Anciennete_Mois]]/12</f>
        <v>4.666666666666667</v>
      </c>
      <c r="F167" t="s">
        <v>10</v>
      </c>
      <c r="G167" t="str">
        <f>IF(Clients_Churn_Part[[#This Row],[Type_Forfait]]="pro Monde","B2B","B2C")</f>
        <v>B2C</v>
      </c>
      <c r="H167">
        <v>123</v>
      </c>
      <c r="I167" s="2">
        <f>Clients_Churn_Part[[#This Row],[Duree_Cumulee_Panne_Min]]/60</f>
        <v>2.0499999999999998</v>
      </c>
      <c r="J167">
        <v>29.76</v>
      </c>
      <c r="K167">
        <v>5</v>
      </c>
      <c r="L16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167">
        <f>Clients_Churn_Part[[#This Row],[Facture_Mensuelle]]*Clients_Churn_Part[[#This Row],[Remise]]</f>
        <v>13.392000000000001</v>
      </c>
      <c r="N16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68" spans="1:14" x14ac:dyDescent="0.3">
      <c r="A168" t="s">
        <v>494</v>
      </c>
      <c r="B168" t="s">
        <v>508</v>
      </c>
      <c r="C168" t="s">
        <v>72</v>
      </c>
      <c r="D168">
        <v>33</v>
      </c>
      <c r="E168" s="7">
        <f>Clients_Churn_Part[[#This Row],[Anciennete_Mois]]/12</f>
        <v>2.75</v>
      </c>
      <c r="F168" t="s">
        <v>13</v>
      </c>
      <c r="G168" t="str">
        <f>IF(Clients_Churn_Part[[#This Row],[Type_Forfait]]="pro Monde","B2B","B2C")</f>
        <v>B2B</v>
      </c>
      <c r="H168">
        <v>207</v>
      </c>
      <c r="I168" s="2">
        <f>Clients_Churn_Part[[#This Row],[Duree_Cumulee_Panne_Min]]/60</f>
        <v>3.45</v>
      </c>
      <c r="J168">
        <v>38.49</v>
      </c>
      <c r="K168">
        <v>4</v>
      </c>
      <c r="L16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168">
        <f>Clients_Churn_Part[[#This Row],[Facture_Mensuelle]]*Clients_Churn_Part[[#This Row],[Remise]]</f>
        <v>3.8490000000000002</v>
      </c>
      <c r="N16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69" spans="1:14" x14ac:dyDescent="0.3">
      <c r="A169" t="s">
        <v>174</v>
      </c>
      <c r="B169" t="s">
        <v>176</v>
      </c>
      <c r="C169" t="s">
        <v>9</v>
      </c>
      <c r="D169">
        <v>113</v>
      </c>
      <c r="E169" s="7">
        <f>Clients_Churn_Part[[#This Row],[Anciennete_Mois]]/12</f>
        <v>9.4166666666666661</v>
      </c>
      <c r="F169" t="s">
        <v>10</v>
      </c>
      <c r="G169" t="str">
        <f>IF(Clients_Churn_Part[[#This Row],[Type_Forfait]]="pro Monde","B2B","B2C")</f>
        <v>B2C</v>
      </c>
      <c r="H169">
        <v>207</v>
      </c>
      <c r="I169" s="2">
        <f>Clients_Churn_Part[[#This Row],[Duree_Cumulee_Panne_Min]]/60</f>
        <v>3.45</v>
      </c>
      <c r="J169">
        <v>21.55</v>
      </c>
      <c r="K169">
        <v>0</v>
      </c>
      <c r="L16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69">
        <f>Clients_Churn_Part[[#This Row],[Facture_Mensuelle]]*Clients_Churn_Part[[#This Row],[Remise]]</f>
        <v>15.084999999999999</v>
      </c>
      <c r="N16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70" spans="1:14" x14ac:dyDescent="0.3">
      <c r="A170" t="s">
        <v>314</v>
      </c>
      <c r="B170" t="s">
        <v>359</v>
      </c>
      <c r="C170" t="s">
        <v>59</v>
      </c>
      <c r="D170">
        <v>89</v>
      </c>
      <c r="E170" s="7">
        <f>Clients_Churn_Part[[#This Row],[Anciennete_Mois]]/12</f>
        <v>7.416666666666667</v>
      </c>
      <c r="F170" t="s">
        <v>21</v>
      </c>
      <c r="G170" t="str">
        <f>IF(Clients_Churn_Part[[#This Row],[Type_Forfait]]="pro Monde","B2B","B2C")</f>
        <v>B2C</v>
      </c>
      <c r="H170">
        <v>418</v>
      </c>
      <c r="I170" s="2">
        <f>Clients_Churn_Part[[#This Row],[Duree_Cumulee_Panne_Min]]/60</f>
        <v>6.9666666666666668</v>
      </c>
      <c r="J170">
        <v>86.63</v>
      </c>
      <c r="K170">
        <v>4</v>
      </c>
      <c r="L17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70">
        <f>Clients_Churn_Part[[#This Row],[Facture_Mensuelle]]*Clients_Churn_Part[[#This Row],[Remise]]</f>
        <v>60.640999999999991</v>
      </c>
      <c r="N17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71" spans="1:14" x14ac:dyDescent="0.3">
      <c r="A171" t="s">
        <v>8</v>
      </c>
      <c r="B171" t="s">
        <v>32</v>
      </c>
      <c r="C171" t="s">
        <v>33</v>
      </c>
      <c r="D171">
        <v>35</v>
      </c>
      <c r="E171" s="7">
        <f>Clients_Churn_Part[[#This Row],[Anciennete_Mois]]/12</f>
        <v>2.9166666666666665</v>
      </c>
      <c r="F171" t="s">
        <v>13</v>
      </c>
      <c r="G171" t="str">
        <f>IF(Clients_Churn_Part[[#This Row],[Type_Forfait]]="pro Monde","B2B","B2C")</f>
        <v>B2B</v>
      </c>
      <c r="H171">
        <v>465</v>
      </c>
      <c r="I171" s="2">
        <f>Clients_Churn_Part[[#This Row],[Duree_Cumulee_Panne_Min]]/60</f>
        <v>7.75</v>
      </c>
      <c r="J171">
        <v>58.59</v>
      </c>
      <c r="K171">
        <v>5</v>
      </c>
      <c r="L17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171">
        <f>Clients_Churn_Part[[#This Row],[Facture_Mensuelle]]*Clients_Churn_Part[[#This Row],[Remise]]</f>
        <v>5.8590000000000009</v>
      </c>
      <c r="N17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72" spans="1:14" x14ac:dyDescent="0.3">
      <c r="A172" t="s">
        <v>589</v>
      </c>
      <c r="B172" t="s">
        <v>622</v>
      </c>
      <c r="C172" t="s">
        <v>29</v>
      </c>
      <c r="D172">
        <v>79</v>
      </c>
      <c r="E172" s="7">
        <f>Clients_Churn_Part[[#This Row],[Anciennete_Mois]]/12</f>
        <v>6.583333333333333</v>
      </c>
      <c r="F172" t="s">
        <v>21</v>
      </c>
      <c r="G172" t="str">
        <f>IF(Clients_Churn_Part[[#This Row],[Type_Forfait]]="pro Monde","B2B","B2C")</f>
        <v>B2C</v>
      </c>
      <c r="H172">
        <v>139</v>
      </c>
      <c r="I172" s="2">
        <f>Clients_Churn_Part[[#This Row],[Duree_Cumulee_Panne_Min]]/60</f>
        <v>2.3166666666666669</v>
      </c>
      <c r="J172">
        <v>16.25</v>
      </c>
      <c r="K172">
        <v>4</v>
      </c>
      <c r="L17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72">
        <f>Clients_Churn_Part[[#This Row],[Facture_Mensuelle]]*Clients_Churn_Part[[#This Row],[Remise]]</f>
        <v>11.375</v>
      </c>
      <c r="N17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73" spans="1:14" x14ac:dyDescent="0.3">
      <c r="A173" t="s">
        <v>267</v>
      </c>
      <c r="B173" t="s">
        <v>294</v>
      </c>
      <c r="C173" t="s">
        <v>57</v>
      </c>
      <c r="D173">
        <v>82</v>
      </c>
      <c r="E173" s="7">
        <f>Clients_Churn_Part[[#This Row],[Anciennete_Mois]]/12</f>
        <v>6.833333333333333</v>
      </c>
      <c r="F173" t="s">
        <v>10</v>
      </c>
      <c r="G173" t="str">
        <f>IF(Clients_Churn_Part[[#This Row],[Type_Forfait]]="pro Monde","B2B","B2C")</f>
        <v>B2C</v>
      </c>
      <c r="H173">
        <v>32</v>
      </c>
      <c r="I173" s="2">
        <f>Clients_Churn_Part[[#This Row],[Duree_Cumulee_Panne_Min]]/60</f>
        <v>0.53333333333333333</v>
      </c>
      <c r="J173">
        <v>77.63</v>
      </c>
      <c r="K173">
        <v>1</v>
      </c>
      <c r="L17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73">
        <f>Clients_Churn_Part[[#This Row],[Facture_Mensuelle]]*Clients_Churn_Part[[#This Row],[Remise]]</f>
        <v>54.340999999999994</v>
      </c>
      <c r="N17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74" spans="1:14" x14ac:dyDescent="0.3">
      <c r="A174" t="s">
        <v>220</v>
      </c>
      <c r="B174" t="s">
        <v>262</v>
      </c>
      <c r="C174" t="s">
        <v>126</v>
      </c>
      <c r="D174">
        <v>21</v>
      </c>
      <c r="E174" s="7">
        <f>Clients_Churn_Part[[#This Row],[Anciennete_Mois]]/12</f>
        <v>1.75</v>
      </c>
      <c r="F174" t="s">
        <v>18</v>
      </c>
      <c r="G174" t="str">
        <f>IF(Clients_Churn_Part[[#This Row],[Type_Forfait]]="pro Monde","B2B","B2C")</f>
        <v>B2C</v>
      </c>
      <c r="H174">
        <v>307</v>
      </c>
      <c r="I174" s="2">
        <f>Clients_Churn_Part[[#This Row],[Duree_Cumulee_Panne_Min]]/60</f>
        <v>5.1166666666666663</v>
      </c>
      <c r="J174">
        <v>39.81</v>
      </c>
      <c r="K174">
        <v>5</v>
      </c>
      <c r="L17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174">
        <f>Clients_Churn_Part[[#This Row],[Facture_Mensuelle]]*Clients_Churn_Part[[#This Row],[Remise]]</f>
        <v>0</v>
      </c>
      <c r="N17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75" spans="1:14" x14ac:dyDescent="0.3">
      <c r="A175" t="s">
        <v>174</v>
      </c>
      <c r="B175" t="s">
        <v>212</v>
      </c>
      <c r="C175" t="s">
        <v>23</v>
      </c>
      <c r="D175">
        <v>74</v>
      </c>
      <c r="E175" s="7">
        <f>Clients_Churn_Part[[#This Row],[Anciennete_Mois]]/12</f>
        <v>6.166666666666667</v>
      </c>
      <c r="F175" t="s">
        <v>10</v>
      </c>
      <c r="G175" t="str">
        <f>IF(Clients_Churn_Part[[#This Row],[Type_Forfait]]="pro Monde","B2B","B2C")</f>
        <v>B2C</v>
      </c>
      <c r="H175">
        <v>213</v>
      </c>
      <c r="I175" s="2">
        <f>Clients_Churn_Part[[#This Row],[Duree_Cumulee_Panne_Min]]/60</f>
        <v>3.55</v>
      </c>
      <c r="J175">
        <v>35.54</v>
      </c>
      <c r="K175">
        <v>3</v>
      </c>
      <c r="L17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75">
        <f>Clients_Churn_Part[[#This Row],[Facture_Mensuelle]]*Clients_Churn_Part[[#This Row],[Remise]]</f>
        <v>24.877999999999997</v>
      </c>
      <c r="N17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76" spans="1:14" x14ac:dyDescent="0.3">
      <c r="A176" t="s">
        <v>267</v>
      </c>
      <c r="B176" t="s">
        <v>287</v>
      </c>
      <c r="C176" t="s">
        <v>27</v>
      </c>
      <c r="D176">
        <v>99</v>
      </c>
      <c r="E176" s="7">
        <f>Clients_Churn_Part[[#This Row],[Anciennete_Mois]]/12</f>
        <v>8.25</v>
      </c>
      <c r="F176" t="s">
        <v>13</v>
      </c>
      <c r="G176" t="str">
        <f>IF(Clients_Churn_Part[[#This Row],[Type_Forfait]]="pro Monde","B2B","B2C")</f>
        <v>B2B</v>
      </c>
      <c r="H176">
        <v>325</v>
      </c>
      <c r="I176" s="2">
        <f>Clients_Churn_Part[[#This Row],[Duree_Cumulee_Panne_Min]]/60</f>
        <v>5.416666666666667</v>
      </c>
      <c r="J176">
        <v>88.35</v>
      </c>
      <c r="K176">
        <v>4</v>
      </c>
      <c r="L17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76">
        <f>Clients_Churn_Part[[#This Row],[Facture_Mensuelle]]*Clients_Churn_Part[[#This Row],[Remise]]</f>
        <v>61.844999999999992</v>
      </c>
      <c r="N17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77" spans="1:14" x14ac:dyDescent="0.3">
      <c r="A177" t="s">
        <v>405</v>
      </c>
      <c r="B177" t="s">
        <v>411</v>
      </c>
      <c r="C177" t="s">
        <v>31</v>
      </c>
      <c r="D177">
        <v>36</v>
      </c>
      <c r="E177" s="7">
        <f>Clients_Churn_Part[[#This Row],[Anciennete_Mois]]/12</f>
        <v>3</v>
      </c>
      <c r="F177" t="s">
        <v>18</v>
      </c>
      <c r="G177" t="str">
        <f>IF(Clients_Churn_Part[[#This Row],[Type_Forfait]]="pro Monde","B2B","B2C")</f>
        <v>B2C</v>
      </c>
      <c r="H177">
        <v>303</v>
      </c>
      <c r="I177" s="2">
        <f>Clients_Churn_Part[[#This Row],[Duree_Cumulee_Panne_Min]]/60</f>
        <v>5.05</v>
      </c>
      <c r="J177">
        <v>89.56</v>
      </c>
      <c r="K177">
        <v>1</v>
      </c>
      <c r="L17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177">
        <f>Clients_Churn_Part[[#This Row],[Facture_Mensuelle]]*Clients_Churn_Part[[#This Row],[Remise]]</f>
        <v>0</v>
      </c>
      <c r="N17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78" spans="1:14" x14ac:dyDescent="0.3">
      <c r="A178" t="s">
        <v>589</v>
      </c>
      <c r="B178" t="s">
        <v>616</v>
      </c>
      <c r="C178" t="s">
        <v>20</v>
      </c>
      <c r="D178">
        <v>15</v>
      </c>
      <c r="E178" s="7">
        <f>Clients_Churn_Part[[#This Row],[Anciennete_Mois]]/12</f>
        <v>1.25</v>
      </c>
      <c r="F178" t="s">
        <v>13</v>
      </c>
      <c r="G178" t="str">
        <f>IF(Clients_Churn_Part[[#This Row],[Type_Forfait]]="pro Monde","B2B","B2C")</f>
        <v>B2B</v>
      </c>
      <c r="H178">
        <v>203</v>
      </c>
      <c r="I178" s="2">
        <f>Clients_Churn_Part[[#This Row],[Duree_Cumulee_Panne_Min]]/60</f>
        <v>3.3833333333333333</v>
      </c>
      <c r="J178">
        <v>55.29</v>
      </c>
      <c r="K178">
        <v>2</v>
      </c>
      <c r="L17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178">
        <f>Clients_Churn_Part[[#This Row],[Facture_Mensuelle]]*Clients_Churn_Part[[#This Row],[Remise]]</f>
        <v>5.5289999999999999</v>
      </c>
      <c r="N17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79" spans="1:14" x14ac:dyDescent="0.3">
      <c r="A179" t="s">
        <v>314</v>
      </c>
      <c r="B179" t="s">
        <v>317</v>
      </c>
      <c r="C179" t="s">
        <v>24</v>
      </c>
      <c r="D179">
        <v>25</v>
      </c>
      <c r="E179" s="7">
        <f>Clients_Churn_Part[[#This Row],[Anciennete_Mois]]/12</f>
        <v>2.0833333333333335</v>
      </c>
      <c r="F179" t="s">
        <v>13</v>
      </c>
      <c r="G179" t="str">
        <f>IF(Clients_Churn_Part[[#This Row],[Type_Forfait]]="pro Monde","B2B","B2C")</f>
        <v>B2B</v>
      </c>
      <c r="H179">
        <v>218</v>
      </c>
      <c r="I179" s="2">
        <f>Clients_Churn_Part[[#This Row],[Duree_Cumulee_Panne_Min]]/60</f>
        <v>3.6333333333333333</v>
      </c>
      <c r="J179">
        <v>68.790000000000006</v>
      </c>
      <c r="K179">
        <v>0</v>
      </c>
      <c r="L17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179">
        <f>Clients_Churn_Part[[#This Row],[Facture_Mensuelle]]*Clients_Churn_Part[[#This Row],[Remise]]</f>
        <v>6.8790000000000013</v>
      </c>
      <c r="N17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80" spans="1:14" x14ac:dyDescent="0.3">
      <c r="A180" t="s">
        <v>682</v>
      </c>
      <c r="B180" t="s">
        <v>705</v>
      </c>
      <c r="C180" t="s">
        <v>122</v>
      </c>
      <c r="D180">
        <v>49</v>
      </c>
      <c r="E180" s="7">
        <f>Clients_Churn_Part[[#This Row],[Anciennete_Mois]]/12</f>
        <v>4.083333333333333</v>
      </c>
      <c r="F180" t="s">
        <v>18</v>
      </c>
      <c r="G180" t="str">
        <f>IF(Clients_Churn_Part[[#This Row],[Type_Forfait]]="pro Monde","B2B","B2C")</f>
        <v>B2C</v>
      </c>
      <c r="H180">
        <v>288</v>
      </c>
      <c r="I180" s="2">
        <f>Clients_Churn_Part[[#This Row],[Duree_Cumulee_Panne_Min]]/60</f>
        <v>4.8</v>
      </c>
      <c r="J180">
        <v>91.32</v>
      </c>
      <c r="K180">
        <v>4</v>
      </c>
      <c r="L18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180">
        <f>Clients_Churn_Part[[#This Row],[Facture_Mensuelle]]*Clients_Churn_Part[[#This Row],[Remise]]</f>
        <v>0</v>
      </c>
      <c r="N18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81" spans="1:14" x14ac:dyDescent="0.3">
      <c r="A181" t="s">
        <v>494</v>
      </c>
      <c r="B181" t="s">
        <v>537</v>
      </c>
      <c r="C181" t="s">
        <v>72</v>
      </c>
      <c r="D181">
        <v>58</v>
      </c>
      <c r="E181" s="7">
        <f>Clients_Churn_Part[[#This Row],[Anciennete_Mois]]/12</f>
        <v>4.833333333333333</v>
      </c>
      <c r="F181" t="s">
        <v>13</v>
      </c>
      <c r="G181" t="str">
        <f>IF(Clients_Churn_Part[[#This Row],[Type_Forfait]]="pro Monde","B2B","B2C")</f>
        <v>B2B</v>
      </c>
      <c r="H181">
        <v>352</v>
      </c>
      <c r="I181" s="2">
        <f>Clients_Churn_Part[[#This Row],[Duree_Cumulee_Panne_Min]]/60</f>
        <v>5.8666666666666663</v>
      </c>
      <c r="J181">
        <v>72.94</v>
      </c>
      <c r="K181">
        <v>0</v>
      </c>
      <c r="L18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181">
        <f>Clients_Churn_Part[[#This Row],[Facture_Mensuelle]]*Clients_Churn_Part[[#This Row],[Remise]]</f>
        <v>7.2940000000000005</v>
      </c>
      <c r="N18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82" spans="1:14" x14ac:dyDescent="0.3">
      <c r="A182" t="s">
        <v>452</v>
      </c>
      <c r="B182" t="s">
        <v>487</v>
      </c>
      <c r="C182" t="s">
        <v>48</v>
      </c>
      <c r="D182">
        <v>102</v>
      </c>
      <c r="E182" s="7">
        <f>Clients_Churn_Part[[#This Row],[Anciennete_Mois]]/12</f>
        <v>8.5</v>
      </c>
      <c r="F182" t="s">
        <v>21</v>
      </c>
      <c r="G182" t="str">
        <f>IF(Clients_Churn_Part[[#This Row],[Type_Forfait]]="pro Monde","B2B","B2C")</f>
        <v>B2C</v>
      </c>
      <c r="H182">
        <v>240</v>
      </c>
      <c r="I182" s="2">
        <f>Clients_Churn_Part[[#This Row],[Duree_Cumulee_Panne_Min]]/60</f>
        <v>4</v>
      </c>
      <c r="J182">
        <v>12.52</v>
      </c>
      <c r="K182">
        <v>2</v>
      </c>
      <c r="L18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82">
        <f>Clients_Churn_Part[[#This Row],[Facture_Mensuelle]]*Clients_Churn_Part[[#This Row],[Remise]]</f>
        <v>8.7639999999999993</v>
      </c>
      <c r="N18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83" spans="1:14" x14ac:dyDescent="0.3">
      <c r="A183" t="s">
        <v>8</v>
      </c>
      <c r="B183" t="s">
        <v>26</v>
      </c>
      <c r="C183" t="s">
        <v>27</v>
      </c>
      <c r="D183">
        <v>99</v>
      </c>
      <c r="E183" s="7">
        <f>Clients_Churn_Part[[#This Row],[Anciennete_Mois]]/12</f>
        <v>8.25</v>
      </c>
      <c r="F183" t="s">
        <v>18</v>
      </c>
      <c r="G183" t="str">
        <f>IF(Clients_Churn_Part[[#This Row],[Type_Forfait]]="pro Monde","B2B","B2C")</f>
        <v>B2C</v>
      </c>
      <c r="H183">
        <v>369</v>
      </c>
      <c r="I183" s="2">
        <f>Clients_Churn_Part[[#This Row],[Duree_Cumulee_Panne_Min]]/60</f>
        <v>6.15</v>
      </c>
      <c r="J183">
        <v>67.209999999999994</v>
      </c>
      <c r="K183">
        <v>3</v>
      </c>
      <c r="L18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83">
        <f>Clients_Churn_Part[[#This Row],[Facture_Mensuelle]]*Clients_Churn_Part[[#This Row],[Remise]]</f>
        <v>47.04699999999999</v>
      </c>
      <c r="N18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84" spans="1:14" x14ac:dyDescent="0.3">
      <c r="A184" t="s">
        <v>174</v>
      </c>
      <c r="B184" t="s">
        <v>195</v>
      </c>
      <c r="C184" t="s">
        <v>83</v>
      </c>
      <c r="D184">
        <v>82</v>
      </c>
      <c r="E184" s="7">
        <f>Clients_Churn_Part[[#This Row],[Anciennete_Mois]]/12</f>
        <v>6.833333333333333</v>
      </c>
      <c r="F184" t="s">
        <v>10</v>
      </c>
      <c r="G184" t="str">
        <f>IF(Clients_Churn_Part[[#This Row],[Type_Forfait]]="pro Monde","B2B","B2C")</f>
        <v>B2C</v>
      </c>
      <c r="H184">
        <v>264</v>
      </c>
      <c r="I184" s="2">
        <f>Clients_Churn_Part[[#This Row],[Duree_Cumulee_Panne_Min]]/60</f>
        <v>4.4000000000000004</v>
      </c>
      <c r="J184">
        <v>88.03</v>
      </c>
      <c r="K184">
        <v>1</v>
      </c>
      <c r="L18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84">
        <f>Clients_Churn_Part[[#This Row],[Facture_Mensuelle]]*Clients_Churn_Part[[#This Row],[Remise]]</f>
        <v>61.620999999999995</v>
      </c>
      <c r="N18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85" spans="1:14" x14ac:dyDescent="0.3">
      <c r="A185" t="s">
        <v>79</v>
      </c>
      <c r="B185" t="s">
        <v>119</v>
      </c>
      <c r="C185" t="s">
        <v>72</v>
      </c>
      <c r="D185">
        <v>72</v>
      </c>
      <c r="E185" s="7">
        <f>Clients_Churn_Part[[#This Row],[Anciennete_Mois]]/12</f>
        <v>6</v>
      </c>
      <c r="F185" t="s">
        <v>21</v>
      </c>
      <c r="G185" t="str">
        <f>IF(Clients_Churn_Part[[#This Row],[Type_Forfait]]="pro Monde","B2B","B2C")</f>
        <v>B2C</v>
      </c>
      <c r="H185">
        <v>51</v>
      </c>
      <c r="I185" s="2">
        <f>Clients_Churn_Part[[#This Row],[Duree_Cumulee_Panne_Min]]/60</f>
        <v>0.85</v>
      </c>
      <c r="J185">
        <v>95.09</v>
      </c>
      <c r="K185">
        <v>0</v>
      </c>
      <c r="L18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85">
        <f>Clients_Churn_Part[[#This Row],[Facture_Mensuelle]]*Clients_Churn_Part[[#This Row],[Remise]]</f>
        <v>66.563000000000002</v>
      </c>
      <c r="N18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86" spans="1:14" x14ac:dyDescent="0.3">
      <c r="A186" t="s">
        <v>8</v>
      </c>
      <c r="B186" t="s">
        <v>36</v>
      </c>
      <c r="C186" t="s">
        <v>37</v>
      </c>
      <c r="D186">
        <v>110</v>
      </c>
      <c r="E186" s="7">
        <f>Clients_Churn_Part[[#This Row],[Anciennete_Mois]]/12</f>
        <v>9.1666666666666661</v>
      </c>
      <c r="F186" t="s">
        <v>13</v>
      </c>
      <c r="G186" t="str">
        <f>IF(Clients_Churn_Part[[#This Row],[Type_Forfait]]="pro Monde","B2B","B2C")</f>
        <v>B2B</v>
      </c>
      <c r="H186">
        <v>423</v>
      </c>
      <c r="I186" s="2">
        <f>Clients_Churn_Part[[#This Row],[Duree_Cumulee_Panne_Min]]/60</f>
        <v>7.05</v>
      </c>
      <c r="J186">
        <v>37.35</v>
      </c>
      <c r="K186">
        <v>4</v>
      </c>
      <c r="L18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86">
        <f>Clients_Churn_Part[[#This Row],[Facture_Mensuelle]]*Clients_Churn_Part[[#This Row],[Remise]]</f>
        <v>26.145</v>
      </c>
      <c r="N18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87" spans="1:14" x14ac:dyDescent="0.3">
      <c r="A187" t="s">
        <v>360</v>
      </c>
      <c r="B187" t="s">
        <v>404</v>
      </c>
      <c r="C187" t="s">
        <v>72</v>
      </c>
      <c r="D187">
        <v>104</v>
      </c>
      <c r="E187" s="7">
        <f>Clients_Churn_Part[[#This Row],[Anciennete_Mois]]/12</f>
        <v>8.6666666666666661</v>
      </c>
      <c r="F187" t="s">
        <v>13</v>
      </c>
      <c r="G187" t="str">
        <f>IF(Clients_Churn_Part[[#This Row],[Type_Forfait]]="pro Monde","B2B","B2C")</f>
        <v>B2B</v>
      </c>
      <c r="H187">
        <v>60</v>
      </c>
      <c r="I187" s="2">
        <f>Clients_Churn_Part[[#This Row],[Duree_Cumulee_Panne_Min]]/60</f>
        <v>1</v>
      </c>
      <c r="J187">
        <v>45.51</v>
      </c>
      <c r="K187">
        <v>1</v>
      </c>
      <c r="L18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87">
        <f>Clients_Churn_Part[[#This Row],[Facture_Mensuelle]]*Clients_Churn_Part[[#This Row],[Remise]]</f>
        <v>31.856999999999996</v>
      </c>
      <c r="N18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88" spans="1:14" x14ac:dyDescent="0.3">
      <c r="A188" t="s">
        <v>314</v>
      </c>
      <c r="B188" t="s">
        <v>327</v>
      </c>
      <c r="C188" t="s">
        <v>72</v>
      </c>
      <c r="D188">
        <v>17</v>
      </c>
      <c r="E188" s="7">
        <f>Clients_Churn_Part[[#This Row],[Anciennete_Mois]]/12</f>
        <v>1.4166666666666667</v>
      </c>
      <c r="F188" t="s">
        <v>21</v>
      </c>
      <c r="G188" t="str">
        <f>IF(Clients_Churn_Part[[#This Row],[Type_Forfait]]="pro Monde","B2B","B2C")</f>
        <v>B2C</v>
      </c>
      <c r="H188">
        <v>483</v>
      </c>
      <c r="I188" s="2">
        <f>Clients_Churn_Part[[#This Row],[Duree_Cumulee_Panne_Min]]/60</f>
        <v>8.0500000000000007</v>
      </c>
      <c r="J188">
        <v>77.08</v>
      </c>
      <c r="K188">
        <v>0</v>
      </c>
      <c r="L18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188">
        <f>Clients_Churn_Part[[#This Row],[Facture_Mensuelle]]*Clients_Churn_Part[[#This Row],[Remise]]</f>
        <v>0</v>
      </c>
      <c r="N18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89" spans="1:14" x14ac:dyDescent="0.3">
      <c r="A189" t="s">
        <v>452</v>
      </c>
      <c r="B189" t="s">
        <v>453</v>
      </c>
      <c r="C189" t="s">
        <v>57</v>
      </c>
      <c r="D189">
        <v>43</v>
      </c>
      <c r="E189" s="7">
        <f>Clients_Churn_Part[[#This Row],[Anciennete_Mois]]/12</f>
        <v>3.5833333333333335</v>
      </c>
      <c r="F189" t="s">
        <v>10</v>
      </c>
      <c r="G189" t="str">
        <f>IF(Clients_Churn_Part[[#This Row],[Type_Forfait]]="pro Monde","B2B","B2C")</f>
        <v>B2C</v>
      </c>
      <c r="H189">
        <v>193</v>
      </c>
      <c r="I189" s="2">
        <f>Clients_Churn_Part[[#This Row],[Duree_Cumulee_Panne_Min]]/60</f>
        <v>3.2166666666666668</v>
      </c>
      <c r="J189">
        <v>35.81</v>
      </c>
      <c r="K189">
        <v>0</v>
      </c>
      <c r="L18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189">
        <f>Clients_Churn_Part[[#This Row],[Facture_Mensuelle]]*Clients_Churn_Part[[#This Row],[Remise]]</f>
        <v>16.114500000000003</v>
      </c>
      <c r="N18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90" spans="1:14" x14ac:dyDescent="0.3">
      <c r="A190" t="s">
        <v>494</v>
      </c>
      <c r="B190" t="s">
        <v>517</v>
      </c>
      <c r="C190" t="s">
        <v>54</v>
      </c>
      <c r="D190">
        <v>6</v>
      </c>
      <c r="E190" s="7">
        <f>Clients_Churn_Part[[#This Row],[Anciennete_Mois]]/12</f>
        <v>0.5</v>
      </c>
      <c r="F190" t="s">
        <v>13</v>
      </c>
      <c r="G190" t="str">
        <f>IF(Clients_Churn_Part[[#This Row],[Type_Forfait]]="pro Monde","B2B","B2C")</f>
        <v>B2B</v>
      </c>
      <c r="H190">
        <v>342</v>
      </c>
      <c r="I190" s="2">
        <f>Clients_Churn_Part[[#This Row],[Duree_Cumulee_Panne_Min]]/60</f>
        <v>5.7</v>
      </c>
      <c r="J190">
        <v>50.55</v>
      </c>
      <c r="K190">
        <v>5</v>
      </c>
      <c r="L19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190">
        <f>Clients_Churn_Part[[#This Row],[Facture_Mensuelle]]*Clients_Churn_Part[[#This Row],[Remise]]</f>
        <v>5.0549999999999997</v>
      </c>
      <c r="N19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91" spans="1:14" x14ac:dyDescent="0.3">
      <c r="A191" t="s">
        <v>314</v>
      </c>
      <c r="B191" t="s">
        <v>318</v>
      </c>
      <c r="C191" t="s">
        <v>37</v>
      </c>
      <c r="D191">
        <v>109</v>
      </c>
      <c r="E191" s="7">
        <f>Clients_Churn_Part[[#This Row],[Anciennete_Mois]]/12</f>
        <v>9.0833333333333339</v>
      </c>
      <c r="F191" t="s">
        <v>21</v>
      </c>
      <c r="G191" t="str">
        <f>IF(Clients_Churn_Part[[#This Row],[Type_Forfait]]="pro Monde","B2B","B2C")</f>
        <v>B2C</v>
      </c>
      <c r="H191">
        <v>347</v>
      </c>
      <c r="I191" s="2">
        <f>Clients_Churn_Part[[#This Row],[Duree_Cumulee_Panne_Min]]/60</f>
        <v>5.7833333333333332</v>
      </c>
      <c r="J191">
        <v>43.06</v>
      </c>
      <c r="K191">
        <v>4</v>
      </c>
      <c r="L19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91">
        <f>Clients_Churn_Part[[#This Row],[Facture_Mensuelle]]*Clients_Churn_Part[[#This Row],[Remise]]</f>
        <v>30.141999999999999</v>
      </c>
      <c r="N19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92" spans="1:14" x14ac:dyDescent="0.3">
      <c r="A192" t="s">
        <v>314</v>
      </c>
      <c r="B192" t="s">
        <v>335</v>
      </c>
      <c r="C192" t="s">
        <v>57</v>
      </c>
      <c r="D192">
        <v>110</v>
      </c>
      <c r="E192" s="7">
        <f>Clients_Churn_Part[[#This Row],[Anciennete_Mois]]/12</f>
        <v>9.1666666666666661</v>
      </c>
      <c r="F192" t="s">
        <v>10</v>
      </c>
      <c r="G192" t="str">
        <f>IF(Clients_Churn_Part[[#This Row],[Type_Forfait]]="pro Monde","B2B","B2C")</f>
        <v>B2C</v>
      </c>
      <c r="H192">
        <v>321</v>
      </c>
      <c r="I192" s="2">
        <f>Clients_Churn_Part[[#This Row],[Duree_Cumulee_Panne_Min]]/60</f>
        <v>5.35</v>
      </c>
      <c r="J192">
        <v>81.569999999999993</v>
      </c>
      <c r="K192">
        <v>2</v>
      </c>
      <c r="L19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92">
        <f>Clients_Churn_Part[[#This Row],[Facture_Mensuelle]]*Clients_Churn_Part[[#This Row],[Remise]]</f>
        <v>57.09899999999999</v>
      </c>
      <c r="N19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93" spans="1:14" x14ac:dyDescent="0.3">
      <c r="A193" t="s">
        <v>538</v>
      </c>
      <c r="B193" t="s">
        <v>565</v>
      </c>
      <c r="C193" t="s">
        <v>62</v>
      </c>
      <c r="D193">
        <v>17</v>
      </c>
      <c r="E193" s="7">
        <f>Clients_Churn_Part[[#This Row],[Anciennete_Mois]]/12</f>
        <v>1.4166666666666667</v>
      </c>
      <c r="F193" t="s">
        <v>21</v>
      </c>
      <c r="G193" t="str">
        <f>IF(Clients_Churn_Part[[#This Row],[Type_Forfait]]="pro Monde","B2B","B2C")</f>
        <v>B2C</v>
      </c>
      <c r="H193">
        <v>310</v>
      </c>
      <c r="I193" s="2">
        <f>Clients_Churn_Part[[#This Row],[Duree_Cumulee_Panne_Min]]/60</f>
        <v>5.166666666666667</v>
      </c>
      <c r="J193">
        <v>19.68</v>
      </c>
      <c r="K193">
        <v>5</v>
      </c>
      <c r="L19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193">
        <f>Clients_Churn_Part[[#This Row],[Facture_Mensuelle]]*Clients_Churn_Part[[#This Row],[Remise]]</f>
        <v>0</v>
      </c>
      <c r="N19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94" spans="1:14" x14ac:dyDescent="0.3">
      <c r="A194" t="s">
        <v>682</v>
      </c>
      <c r="B194" t="s">
        <v>725</v>
      </c>
      <c r="C194" t="s">
        <v>17</v>
      </c>
      <c r="D194">
        <v>75</v>
      </c>
      <c r="E194" s="7">
        <f>Clients_Churn_Part[[#This Row],[Anciennete_Mois]]/12</f>
        <v>6.25</v>
      </c>
      <c r="F194" t="s">
        <v>18</v>
      </c>
      <c r="G194" t="str">
        <f>IF(Clients_Churn_Part[[#This Row],[Type_Forfait]]="pro Monde","B2B","B2C")</f>
        <v>B2C</v>
      </c>
      <c r="H194">
        <v>370</v>
      </c>
      <c r="I194" s="2">
        <f>Clients_Churn_Part[[#This Row],[Duree_Cumulee_Panne_Min]]/60</f>
        <v>6.166666666666667</v>
      </c>
      <c r="J194">
        <v>21.67</v>
      </c>
      <c r="K194">
        <v>0</v>
      </c>
      <c r="L19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94">
        <f>Clients_Churn_Part[[#This Row],[Facture_Mensuelle]]*Clients_Churn_Part[[#This Row],[Remise]]</f>
        <v>15.169</v>
      </c>
      <c r="N19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95" spans="1:14" x14ac:dyDescent="0.3">
      <c r="A195" t="s">
        <v>538</v>
      </c>
      <c r="B195" t="s">
        <v>578</v>
      </c>
      <c r="C195" t="s">
        <v>20</v>
      </c>
      <c r="D195">
        <v>71</v>
      </c>
      <c r="E195" s="7">
        <f>Clients_Churn_Part[[#This Row],[Anciennete_Mois]]/12</f>
        <v>5.916666666666667</v>
      </c>
      <c r="F195" t="s">
        <v>13</v>
      </c>
      <c r="G195" t="str">
        <f>IF(Clients_Churn_Part[[#This Row],[Type_Forfait]]="pro Monde","B2B","B2C")</f>
        <v>B2B</v>
      </c>
      <c r="H195">
        <v>111</v>
      </c>
      <c r="I195" s="2">
        <f>Clients_Churn_Part[[#This Row],[Duree_Cumulee_Panne_Min]]/60</f>
        <v>1.85</v>
      </c>
      <c r="J195">
        <v>95.53</v>
      </c>
      <c r="K195">
        <v>3</v>
      </c>
      <c r="L19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95">
        <f>Clients_Churn_Part[[#This Row],[Facture_Mensuelle]]*Clients_Churn_Part[[#This Row],[Remise]]</f>
        <v>66.870999999999995</v>
      </c>
      <c r="N19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96" spans="1:14" x14ac:dyDescent="0.3">
      <c r="A196" t="s">
        <v>174</v>
      </c>
      <c r="B196" t="s">
        <v>181</v>
      </c>
      <c r="C196" t="s">
        <v>23</v>
      </c>
      <c r="D196">
        <v>67</v>
      </c>
      <c r="E196" s="7">
        <f>Clients_Churn_Part[[#This Row],[Anciennete_Mois]]/12</f>
        <v>5.583333333333333</v>
      </c>
      <c r="F196" t="s">
        <v>10</v>
      </c>
      <c r="G196" t="str">
        <f>IF(Clients_Churn_Part[[#This Row],[Type_Forfait]]="pro Monde","B2B","B2C")</f>
        <v>B2C</v>
      </c>
      <c r="H196">
        <v>241</v>
      </c>
      <c r="I196" s="2">
        <f>Clients_Churn_Part[[#This Row],[Duree_Cumulee_Panne_Min]]/60</f>
        <v>4.0166666666666666</v>
      </c>
      <c r="J196">
        <v>47.72</v>
      </c>
      <c r="K196">
        <v>0</v>
      </c>
      <c r="L19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96">
        <f>Clients_Churn_Part[[#This Row],[Facture_Mensuelle]]*Clients_Churn_Part[[#This Row],[Remise]]</f>
        <v>33.403999999999996</v>
      </c>
      <c r="N19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97" spans="1:14" x14ac:dyDescent="0.3">
      <c r="A197" t="s">
        <v>8</v>
      </c>
      <c r="B197" t="s">
        <v>60</v>
      </c>
      <c r="C197" t="s">
        <v>61</v>
      </c>
      <c r="D197">
        <v>79</v>
      </c>
      <c r="E197" s="7">
        <f>Clients_Churn_Part[[#This Row],[Anciennete_Mois]]/12</f>
        <v>6.583333333333333</v>
      </c>
      <c r="F197" t="s">
        <v>10</v>
      </c>
      <c r="G197" t="str">
        <f>IF(Clients_Churn_Part[[#This Row],[Type_Forfait]]="pro Monde","B2B","B2C")</f>
        <v>B2C</v>
      </c>
      <c r="H197">
        <v>226</v>
      </c>
      <c r="I197" s="2">
        <f>Clients_Churn_Part[[#This Row],[Duree_Cumulee_Panne_Min]]/60</f>
        <v>3.7666666666666666</v>
      </c>
      <c r="J197">
        <v>94.38</v>
      </c>
      <c r="K197">
        <v>3</v>
      </c>
      <c r="L19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97">
        <f>Clients_Churn_Part[[#This Row],[Facture_Mensuelle]]*Clients_Churn_Part[[#This Row],[Remise]]</f>
        <v>66.065999999999988</v>
      </c>
      <c r="N19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98" spans="1:14" x14ac:dyDescent="0.3">
      <c r="A198" t="s">
        <v>494</v>
      </c>
      <c r="B198" t="s">
        <v>522</v>
      </c>
      <c r="C198" t="s">
        <v>41</v>
      </c>
      <c r="D198">
        <v>53</v>
      </c>
      <c r="E198" s="7">
        <f>Clients_Churn_Part[[#This Row],[Anciennete_Mois]]/12</f>
        <v>4.416666666666667</v>
      </c>
      <c r="F198" t="s">
        <v>13</v>
      </c>
      <c r="G198" t="str">
        <f>IF(Clients_Churn_Part[[#This Row],[Type_Forfait]]="pro Monde","B2B","B2C")</f>
        <v>B2B</v>
      </c>
      <c r="H198">
        <v>27</v>
      </c>
      <c r="I198" s="2">
        <f>Clients_Churn_Part[[#This Row],[Duree_Cumulee_Panne_Min]]/60</f>
        <v>0.45</v>
      </c>
      <c r="J198">
        <v>18.77</v>
      </c>
      <c r="K198">
        <v>0</v>
      </c>
      <c r="L19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198">
        <f>Clients_Churn_Part[[#This Row],[Facture_Mensuelle]]*Clients_Churn_Part[[#This Row],[Remise]]</f>
        <v>8.4465000000000003</v>
      </c>
      <c r="N19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199" spans="1:14" x14ac:dyDescent="0.3">
      <c r="A199" t="s">
        <v>538</v>
      </c>
      <c r="B199" t="s">
        <v>570</v>
      </c>
      <c r="C199" t="s">
        <v>54</v>
      </c>
      <c r="D199">
        <v>101</v>
      </c>
      <c r="E199" s="7">
        <f>Clients_Churn_Part[[#This Row],[Anciennete_Mois]]/12</f>
        <v>8.4166666666666661</v>
      </c>
      <c r="F199" t="s">
        <v>18</v>
      </c>
      <c r="G199" t="str">
        <f>IF(Clients_Churn_Part[[#This Row],[Type_Forfait]]="pro Monde","B2B","B2C")</f>
        <v>B2C</v>
      </c>
      <c r="H199">
        <v>262</v>
      </c>
      <c r="I199" s="2">
        <f>Clients_Churn_Part[[#This Row],[Duree_Cumulee_Panne_Min]]/60</f>
        <v>4.3666666666666663</v>
      </c>
      <c r="J199">
        <v>83.74</v>
      </c>
      <c r="K199">
        <v>5</v>
      </c>
      <c r="L19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199">
        <f>Clients_Churn_Part[[#This Row],[Facture_Mensuelle]]*Clients_Churn_Part[[#This Row],[Remise]]</f>
        <v>58.617999999999995</v>
      </c>
      <c r="N19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00" spans="1:14" x14ac:dyDescent="0.3">
      <c r="A200" t="s">
        <v>360</v>
      </c>
      <c r="B200" t="s">
        <v>378</v>
      </c>
      <c r="C200" t="s">
        <v>15</v>
      </c>
      <c r="D200">
        <v>23</v>
      </c>
      <c r="E200" s="7">
        <f>Clients_Churn_Part[[#This Row],[Anciennete_Mois]]/12</f>
        <v>1.9166666666666667</v>
      </c>
      <c r="F200" t="s">
        <v>10</v>
      </c>
      <c r="G200" t="str">
        <f>IF(Clients_Churn_Part[[#This Row],[Type_Forfait]]="pro Monde","B2B","B2C")</f>
        <v>B2C</v>
      </c>
      <c r="H200">
        <v>268</v>
      </c>
      <c r="I200" s="2">
        <f>Clients_Churn_Part[[#This Row],[Duree_Cumulee_Panne_Min]]/60</f>
        <v>4.4666666666666668</v>
      </c>
      <c r="J200">
        <v>26.75</v>
      </c>
      <c r="K200">
        <v>3</v>
      </c>
      <c r="L20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200">
        <f>Clients_Churn_Part[[#This Row],[Facture_Mensuelle]]*Clients_Churn_Part[[#This Row],[Remise]]</f>
        <v>12.0375</v>
      </c>
      <c r="N20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01" spans="1:14" x14ac:dyDescent="0.3">
      <c r="A201" t="s">
        <v>637</v>
      </c>
      <c r="B201" t="s">
        <v>639</v>
      </c>
      <c r="C201" t="s">
        <v>35</v>
      </c>
      <c r="D201">
        <v>67</v>
      </c>
      <c r="E201" s="7">
        <f>Clients_Churn_Part[[#This Row],[Anciennete_Mois]]/12</f>
        <v>5.583333333333333</v>
      </c>
      <c r="F201" t="s">
        <v>10</v>
      </c>
      <c r="G201" t="str">
        <f>IF(Clients_Churn_Part[[#This Row],[Type_Forfait]]="pro Monde","B2B","B2C")</f>
        <v>B2C</v>
      </c>
      <c r="H201">
        <v>262</v>
      </c>
      <c r="I201" s="2">
        <f>Clients_Churn_Part[[#This Row],[Duree_Cumulee_Panne_Min]]/60</f>
        <v>4.3666666666666663</v>
      </c>
      <c r="J201">
        <v>28.46</v>
      </c>
      <c r="K201">
        <v>3</v>
      </c>
      <c r="L20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01">
        <f>Clients_Churn_Part[[#This Row],[Facture_Mensuelle]]*Clients_Churn_Part[[#This Row],[Remise]]</f>
        <v>19.922000000000001</v>
      </c>
      <c r="N20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02" spans="1:14" x14ac:dyDescent="0.3">
      <c r="A202" t="s">
        <v>129</v>
      </c>
      <c r="B202" t="s">
        <v>143</v>
      </c>
      <c r="C202" t="s">
        <v>48</v>
      </c>
      <c r="D202">
        <v>109</v>
      </c>
      <c r="E202" s="7">
        <f>Clients_Churn_Part[[#This Row],[Anciennete_Mois]]/12</f>
        <v>9.0833333333333339</v>
      </c>
      <c r="F202" t="s">
        <v>13</v>
      </c>
      <c r="G202" t="str">
        <f>IF(Clients_Churn_Part[[#This Row],[Type_Forfait]]="pro Monde","B2B","B2C")</f>
        <v>B2B</v>
      </c>
      <c r="H202">
        <v>480</v>
      </c>
      <c r="I202" s="2">
        <f>Clients_Churn_Part[[#This Row],[Duree_Cumulee_Panne_Min]]/60</f>
        <v>8</v>
      </c>
      <c r="J202">
        <v>31.36</v>
      </c>
      <c r="K202">
        <v>0</v>
      </c>
      <c r="L20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02">
        <f>Clients_Churn_Part[[#This Row],[Facture_Mensuelle]]*Clients_Churn_Part[[#This Row],[Remise]]</f>
        <v>21.951999999999998</v>
      </c>
      <c r="N20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03" spans="1:14" x14ac:dyDescent="0.3">
      <c r="A203" t="s">
        <v>129</v>
      </c>
      <c r="B203" t="s">
        <v>160</v>
      </c>
      <c r="C203" t="s">
        <v>41</v>
      </c>
      <c r="D203">
        <v>54</v>
      </c>
      <c r="E203" s="7">
        <f>Clients_Churn_Part[[#This Row],[Anciennete_Mois]]/12</f>
        <v>4.5</v>
      </c>
      <c r="F203" t="s">
        <v>18</v>
      </c>
      <c r="G203" t="str">
        <f>IF(Clients_Churn_Part[[#This Row],[Type_Forfait]]="pro Monde","B2B","B2C")</f>
        <v>B2C</v>
      </c>
      <c r="H203">
        <v>99</v>
      </c>
      <c r="I203" s="2">
        <f>Clients_Churn_Part[[#This Row],[Duree_Cumulee_Panne_Min]]/60</f>
        <v>1.65</v>
      </c>
      <c r="J203">
        <v>39.58</v>
      </c>
      <c r="K203">
        <v>0</v>
      </c>
      <c r="L20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03">
        <f>Clients_Churn_Part[[#This Row],[Facture_Mensuelle]]*Clients_Churn_Part[[#This Row],[Remise]]</f>
        <v>0</v>
      </c>
      <c r="N20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04" spans="1:14" x14ac:dyDescent="0.3">
      <c r="A204" t="s">
        <v>494</v>
      </c>
      <c r="B204" t="s">
        <v>525</v>
      </c>
      <c r="C204" t="s">
        <v>24</v>
      </c>
      <c r="D204">
        <v>118</v>
      </c>
      <c r="E204" s="7">
        <f>Clients_Churn_Part[[#This Row],[Anciennete_Mois]]/12</f>
        <v>9.8333333333333339</v>
      </c>
      <c r="F204" t="s">
        <v>18</v>
      </c>
      <c r="G204" t="str">
        <f>IF(Clients_Churn_Part[[#This Row],[Type_Forfait]]="pro Monde","B2B","B2C")</f>
        <v>B2C</v>
      </c>
      <c r="H204">
        <v>461</v>
      </c>
      <c r="I204" s="2">
        <f>Clients_Churn_Part[[#This Row],[Duree_Cumulee_Panne_Min]]/60</f>
        <v>7.6833333333333336</v>
      </c>
      <c r="J204">
        <v>47.82</v>
      </c>
      <c r="K204">
        <v>5</v>
      </c>
      <c r="L20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04">
        <f>Clients_Churn_Part[[#This Row],[Facture_Mensuelle]]*Clients_Churn_Part[[#This Row],[Remise]]</f>
        <v>33.473999999999997</v>
      </c>
      <c r="N20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05" spans="1:14" x14ac:dyDescent="0.3">
      <c r="A205" t="s">
        <v>79</v>
      </c>
      <c r="B205" t="s">
        <v>101</v>
      </c>
      <c r="C205" t="s">
        <v>33</v>
      </c>
      <c r="D205">
        <v>86</v>
      </c>
      <c r="E205" s="7">
        <f>Clients_Churn_Part[[#This Row],[Anciennete_Mois]]/12</f>
        <v>7.166666666666667</v>
      </c>
      <c r="F205" t="s">
        <v>13</v>
      </c>
      <c r="G205" t="str">
        <f>IF(Clients_Churn_Part[[#This Row],[Type_Forfait]]="pro Monde","B2B","B2C")</f>
        <v>B2B</v>
      </c>
      <c r="H205">
        <v>237</v>
      </c>
      <c r="I205" s="2">
        <f>Clients_Churn_Part[[#This Row],[Duree_Cumulee_Panne_Min]]/60</f>
        <v>3.95</v>
      </c>
      <c r="J205">
        <v>85.82</v>
      </c>
      <c r="K205">
        <v>5</v>
      </c>
      <c r="L20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05">
        <f>Clients_Churn_Part[[#This Row],[Facture_Mensuelle]]*Clients_Churn_Part[[#This Row],[Remise]]</f>
        <v>60.073999999999991</v>
      </c>
      <c r="N20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06" spans="1:14" x14ac:dyDescent="0.3">
      <c r="A206" t="s">
        <v>8</v>
      </c>
      <c r="B206" t="s">
        <v>56</v>
      </c>
      <c r="C206" t="s">
        <v>57</v>
      </c>
      <c r="D206">
        <v>14</v>
      </c>
      <c r="E206" s="7">
        <f>Clients_Churn_Part[[#This Row],[Anciennete_Mois]]/12</f>
        <v>1.1666666666666667</v>
      </c>
      <c r="F206" t="s">
        <v>13</v>
      </c>
      <c r="G206" t="str">
        <f>IF(Clients_Churn_Part[[#This Row],[Type_Forfait]]="pro Monde","B2B","B2C")</f>
        <v>B2B</v>
      </c>
      <c r="H206">
        <v>316</v>
      </c>
      <c r="I206" s="2">
        <f>Clients_Churn_Part[[#This Row],[Duree_Cumulee_Panne_Min]]/60</f>
        <v>5.2666666666666666</v>
      </c>
      <c r="J206">
        <v>62.34</v>
      </c>
      <c r="K206">
        <v>4</v>
      </c>
      <c r="L20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206">
        <f>Clients_Churn_Part[[#This Row],[Facture_Mensuelle]]*Clients_Churn_Part[[#This Row],[Remise]]</f>
        <v>6.2340000000000009</v>
      </c>
      <c r="N20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07" spans="1:14" x14ac:dyDescent="0.3">
      <c r="A207" t="s">
        <v>405</v>
      </c>
      <c r="B207" t="s">
        <v>416</v>
      </c>
      <c r="C207" t="s">
        <v>48</v>
      </c>
      <c r="D207">
        <v>41</v>
      </c>
      <c r="E207" s="7">
        <f>Clients_Churn_Part[[#This Row],[Anciennete_Mois]]/12</f>
        <v>3.4166666666666665</v>
      </c>
      <c r="F207" t="s">
        <v>21</v>
      </c>
      <c r="G207" t="str">
        <f>IF(Clients_Churn_Part[[#This Row],[Type_Forfait]]="pro Monde","B2B","B2C")</f>
        <v>B2C</v>
      </c>
      <c r="H207">
        <v>404</v>
      </c>
      <c r="I207" s="2">
        <f>Clients_Churn_Part[[#This Row],[Duree_Cumulee_Panne_Min]]/60</f>
        <v>6.7333333333333334</v>
      </c>
      <c r="J207">
        <v>98.67</v>
      </c>
      <c r="K207">
        <v>5</v>
      </c>
      <c r="L20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07">
        <f>Clients_Churn_Part[[#This Row],[Facture_Mensuelle]]*Clients_Churn_Part[[#This Row],[Remise]]</f>
        <v>0</v>
      </c>
      <c r="N20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08" spans="1:14" x14ac:dyDescent="0.3">
      <c r="A208" t="s">
        <v>129</v>
      </c>
      <c r="B208" t="s">
        <v>132</v>
      </c>
      <c r="C208" t="s">
        <v>54</v>
      </c>
      <c r="D208">
        <v>79</v>
      </c>
      <c r="E208" s="7">
        <f>Clients_Churn_Part[[#This Row],[Anciennete_Mois]]/12</f>
        <v>6.583333333333333</v>
      </c>
      <c r="F208" t="s">
        <v>21</v>
      </c>
      <c r="G208" t="str">
        <f>IF(Clients_Churn_Part[[#This Row],[Type_Forfait]]="pro Monde","B2B","B2C")</f>
        <v>B2C</v>
      </c>
      <c r="H208">
        <v>403</v>
      </c>
      <c r="I208" s="2">
        <f>Clients_Churn_Part[[#This Row],[Duree_Cumulee_Panne_Min]]/60</f>
        <v>6.7166666666666668</v>
      </c>
      <c r="J208">
        <v>21.49</v>
      </c>
      <c r="K208">
        <v>0</v>
      </c>
      <c r="L20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08">
        <f>Clients_Churn_Part[[#This Row],[Facture_Mensuelle]]*Clients_Churn_Part[[#This Row],[Remise]]</f>
        <v>15.042999999999997</v>
      </c>
      <c r="N20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09" spans="1:14" x14ac:dyDescent="0.3">
      <c r="A209" t="s">
        <v>174</v>
      </c>
      <c r="B209" t="s">
        <v>187</v>
      </c>
      <c r="C209" t="s">
        <v>72</v>
      </c>
      <c r="D209">
        <v>89</v>
      </c>
      <c r="E209" s="7">
        <f>Clients_Churn_Part[[#This Row],[Anciennete_Mois]]/12</f>
        <v>7.416666666666667</v>
      </c>
      <c r="F209" t="s">
        <v>13</v>
      </c>
      <c r="G209" t="str">
        <f>IF(Clients_Churn_Part[[#This Row],[Type_Forfait]]="pro Monde","B2B","B2C")</f>
        <v>B2B</v>
      </c>
      <c r="H209">
        <v>203</v>
      </c>
      <c r="I209" s="2">
        <f>Clients_Churn_Part[[#This Row],[Duree_Cumulee_Panne_Min]]/60</f>
        <v>3.3833333333333333</v>
      </c>
      <c r="J209">
        <v>80.680000000000007</v>
      </c>
      <c r="K209">
        <v>5</v>
      </c>
      <c r="L20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09">
        <f>Clients_Churn_Part[[#This Row],[Facture_Mensuelle]]*Clients_Churn_Part[[#This Row],[Remise]]</f>
        <v>56.475999999999999</v>
      </c>
      <c r="N20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10" spans="1:14" x14ac:dyDescent="0.3">
      <c r="A210" t="s">
        <v>220</v>
      </c>
      <c r="B210" t="s">
        <v>257</v>
      </c>
      <c r="C210" t="s">
        <v>20</v>
      </c>
      <c r="D210">
        <v>18</v>
      </c>
      <c r="E210" s="7">
        <f>Clients_Churn_Part[[#This Row],[Anciennete_Mois]]/12</f>
        <v>1.5</v>
      </c>
      <c r="F210" t="s">
        <v>18</v>
      </c>
      <c r="G210" t="str">
        <f>IF(Clients_Churn_Part[[#This Row],[Type_Forfait]]="pro Monde","B2B","B2C")</f>
        <v>B2C</v>
      </c>
      <c r="H210">
        <v>291</v>
      </c>
      <c r="I210" s="2">
        <f>Clients_Churn_Part[[#This Row],[Duree_Cumulee_Panne_Min]]/60</f>
        <v>4.8499999999999996</v>
      </c>
      <c r="J210">
        <v>97.98</v>
      </c>
      <c r="K210">
        <v>1</v>
      </c>
      <c r="L21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10">
        <f>Clients_Churn_Part[[#This Row],[Facture_Mensuelle]]*Clients_Churn_Part[[#This Row],[Remise]]</f>
        <v>0</v>
      </c>
      <c r="N21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11" spans="1:14" x14ac:dyDescent="0.3">
      <c r="A211" t="s">
        <v>314</v>
      </c>
      <c r="B211" t="s">
        <v>348</v>
      </c>
      <c r="C211" t="s">
        <v>17</v>
      </c>
      <c r="D211">
        <v>96</v>
      </c>
      <c r="E211" s="7">
        <f>Clients_Churn_Part[[#This Row],[Anciennete_Mois]]/12</f>
        <v>8</v>
      </c>
      <c r="F211" t="s">
        <v>21</v>
      </c>
      <c r="G211" t="str">
        <f>IF(Clients_Churn_Part[[#This Row],[Type_Forfait]]="pro Monde","B2B","B2C")</f>
        <v>B2C</v>
      </c>
      <c r="H211">
        <v>381</v>
      </c>
      <c r="I211" s="2">
        <f>Clients_Churn_Part[[#This Row],[Duree_Cumulee_Panne_Min]]/60</f>
        <v>6.35</v>
      </c>
      <c r="J211">
        <v>90.78</v>
      </c>
      <c r="K211">
        <v>2</v>
      </c>
      <c r="L21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11">
        <f>Clients_Churn_Part[[#This Row],[Facture_Mensuelle]]*Clients_Churn_Part[[#This Row],[Remise]]</f>
        <v>63.545999999999999</v>
      </c>
      <c r="N21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12" spans="1:14" x14ac:dyDescent="0.3">
      <c r="A212" t="s">
        <v>494</v>
      </c>
      <c r="B212" t="s">
        <v>495</v>
      </c>
      <c r="C212" t="s">
        <v>15</v>
      </c>
      <c r="D212">
        <v>120</v>
      </c>
      <c r="E212" s="7">
        <f>Clients_Churn_Part[[#This Row],[Anciennete_Mois]]/12</f>
        <v>10</v>
      </c>
      <c r="F212" t="s">
        <v>18</v>
      </c>
      <c r="G212" t="str">
        <f>IF(Clients_Churn_Part[[#This Row],[Type_Forfait]]="pro Monde","B2B","B2C")</f>
        <v>B2C</v>
      </c>
      <c r="H212">
        <v>27</v>
      </c>
      <c r="I212" s="2">
        <f>Clients_Churn_Part[[#This Row],[Duree_Cumulee_Panne_Min]]/60</f>
        <v>0.45</v>
      </c>
      <c r="J212">
        <v>24.46</v>
      </c>
      <c r="K212">
        <v>3</v>
      </c>
      <c r="L21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212">
        <f>Clients_Churn_Part[[#This Row],[Facture_Mensuelle]]*Clients_Churn_Part[[#This Row],[Remise]]</f>
        <v>11.007000000000001</v>
      </c>
      <c r="N21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13" spans="1:14" x14ac:dyDescent="0.3">
      <c r="A213" t="s">
        <v>220</v>
      </c>
      <c r="B213" t="s">
        <v>222</v>
      </c>
      <c r="C213" t="s">
        <v>122</v>
      </c>
      <c r="D213">
        <v>65</v>
      </c>
      <c r="E213" s="7">
        <f>Clients_Churn_Part[[#This Row],[Anciennete_Mois]]/12</f>
        <v>5.416666666666667</v>
      </c>
      <c r="F213" t="s">
        <v>18</v>
      </c>
      <c r="G213" t="str">
        <f>IF(Clients_Churn_Part[[#This Row],[Type_Forfait]]="pro Monde","B2B","B2C")</f>
        <v>B2C</v>
      </c>
      <c r="H213">
        <v>118</v>
      </c>
      <c r="I213" s="2">
        <f>Clients_Churn_Part[[#This Row],[Duree_Cumulee_Panne_Min]]/60</f>
        <v>1.9666666666666666</v>
      </c>
      <c r="J213">
        <v>72.430000000000007</v>
      </c>
      <c r="K213">
        <v>1</v>
      </c>
      <c r="L21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13">
        <f>Clients_Churn_Part[[#This Row],[Facture_Mensuelle]]*Clients_Churn_Part[[#This Row],[Remise]]</f>
        <v>50.701000000000001</v>
      </c>
      <c r="N21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14" spans="1:14" x14ac:dyDescent="0.3">
      <c r="A214" t="s">
        <v>220</v>
      </c>
      <c r="B214" t="s">
        <v>265</v>
      </c>
      <c r="C214" t="s">
        <v>27</v>
      </c>
      <c r="D214">
        <v>13</v>
      </c>
      <c r="E214" s="7">
        <f>Clients_Churn_Part[[#This Row],[Anciennete_Mois]]/12</f>
        <v>1.0833333333333333</v>
      </c>
      <c r="F214" t="s">
        <v>13</v>
      </c>
      <c r="G214" t="str">
        <f>IF(Clients_Churn_Part[[#This Row],[Type_Forfait]]="pro Monde","B2B","B2C")</f>
        <v>B2B</v>
      </c>
      <c r="H214">
        <v>347</v>
      </c>
      <c r="I214" s="2">
        <f>Clients_Churn_Part[[#This Row],[Duree_Cumulee_Panne_Min]]/60</f>
        <v>5.7833333333333332</v>
      </c>
      <c r="J214">
        <v>32.35</v>
      </c>
      <c r="K214">
        <v>2</v>
      </c>
      <c r="L21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214">
        <f>Clients_Churn_Part[[#This Row],[Facture_Mensuelle]]*Clients_Churn_Part[[#This Row],[Remise]]</f>
        <v>3.2350000000000003</v>
      </c>
      <c r="N21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15" spans="1:14" x14ac:dyDescent="0.3">
      <c r="A215" t="s">
        <v>452</v>
      </c>
      <c r="B215" t="s">
        <v>471</v>
      </c>
      <c r="C215" t="s">
        <v>41</v>
      </c>
      <c r="D215">
        <v>120</v>
      </c>
      <c r="E215" s="7">
        <f>Clients_Churn_Part[[#This Row],[Anciennete_Mois]]/12</f>
        <v>10</v>
      </c>
      <c r="F215" t="s">
        <v>13</v>
      </c>
      <c r="G215" t="str">
        <f>IF(Clients_Churn_Part[[#This Row],[Type_Forfait]]="pro Monde","B2B","B2C")</f>
        <v>B2B</v>
      </c>
      <c r="H215">
        <v>72</v>
      </c>
      <c r="I215" s="2">
        <f>Clients_Churn_Part[[#This Row],[Duree_Cumulee_Panne_Min]]/60</f>
        <v>1.2</v>
      </c>
      <c r="J215">
        <v>29.07</v>
      </c>
      <c r="K215">
        <v>3</v>
      </c>
      <c r="L21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15">
        <f>Clients_Churn_Part[[#This Row],[Facture_Mensuelle]]*Clients_Churn_Part[[#This Row],[Remise]]</f>
        <v>20.349</v>
      </c>
      <c r="N21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16" spans="1:14" x14ac:dyDescent="0.3">
      <c r="A216" t="s">
        <v>79</v>
      </c>
      <c r="B216" t="s">
        <v>102</v>
      </c>
      <c r="C216" t="s">
        <v>31</v>
      </c>
      <c r="D216">
        <v>114</v>
      </c>
      <c r="E216" s="7">
        <f>Clients_Churn_Part[[#This Row],[Anciennete_Mois]]/12</f>
        <v>9.5</v>
      </c>
      <c r="F216" t="s">
        <v>10</v>
      </c>
      <c r="G216" t="str">
        <f>IF(Clients_Churn_Part[[#This Row],[Type_Forfait]]="pro Monde","B2B","B2C")</f>
        <v>B2C</v>
      </c>
      <c r="H216">
        <v>283</v>
      </c>
      <c r="I216" s="2">
        <f>Clients_Churn_Part[[#This Row],[Duree_Cumulee_Panne_Min]]/60</f>
        <v>4.7166666666666668</v>
      </c>
      <c r="J216">
        <v>29.15</v>
      </c>
      <c r="K216">
        <v>3</v>
      </c>
      <c r="L21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16">
        <f>Clients_Churn_Part[[#This Row],[Facture_Mensuelle]]*Clients_Churn_Part[[#This Row],[Remise]]</f>
        <v>20.404999999999998</v>
      </c>
      <c r="N21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17" spans="1:14" x14ac:dyDescent="0.3">
      <c r="A217" t="s">
        <v>174</v>
      </c>
      <c r="B217" t="s">
        <v>204</v>
      </c>
      <c r="C217" t="s">
        <v>23</v>
      </c>
      <c r="D217">
        <v>58</v>
      </c>
      <c r="E217" s="7">
        <f>Clients_Churn_Part[[#This Row],[Anciennete_Mois]]/12</f>
        <v>4.833333333333333</v>
      </c>
      <c r="F217" t="s">
        <v>18</v>
      </c>
      <c r="G217" t="str">
        <f>IF(Clients_Churn_Part[[#This Row],[Type_Forfait]]="pro Monde","B2B","B2C")</f>
        <v>B2C</v>
      </c>
      <c r="H217">
        <v>405</v>
      </c>
      <c r="I217" s="2">
        <f>Clients_Churn_Part[[#This Row],[Duree_Cumulee_Panne_Min]]/60</f>
        <v>6.75</v>
      </c>
      <c r="J217">
        <v>18.39</v>
      </c>
      <c r="K217">
        <v>0</v>
      </c>
      <c r="L21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17">
        <f>Clients_Churn_Part[[#This Row],[Facture_Mensuelle]]*Clients_Churn_Part[[#This Row],[Remise]]</f>
        <v>0</v>
      </c>
      <c r="N21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18" spans="1:14" x14ac:dyDescent="0.3">
      <c r="A218" t="s">
        <v>637</v>
      </c>
      <c r="B218" t="s">
        <v>679</v>
      </c>
      <c r="C218" t="s">
        <v>41</v>
      </c>
      <c r="D218">
        <v>94</v>
      </c>
      <c r="E218" s="7">
        <f>Clients_Churn_Part[[#This Row],[Anciennete_Mois]]/12</f>
        <v>7.833333333333333</v>
      </c>
      <c r="F218" t="s">
        <v>21</v>
      </c>
      <c r="G218" t="str">
        <f>IF(Clients_Churn_Part[[#This Row],[Type_Forfait]]="pro Monde","B2B","B2C")</f>
        <v>B2C</v>
      </c>
      <c r="H218">
        <v>261</v>
      </c>
      <c r="I218" s="2">
        <f>Clients_Churn_Part[[#This Row],[Duree_Cumulee_Panne_Min]]/60</f>
        <v>4.3499999999999996</v>
      </c>
      <c r="J218">
        <v>70.09</v>
      </c>
      <c r="K218">
        <v>3</v>
      </c>
      <c r="L21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18">
        <f>Clients_Churn_Part[[#This Row],[Facture_Mensuelle]]*Clients_Churn_Part[[#This Row],[Remise]]</f>
        <v>49.063000000000002</v>
      </c>
      <c r="N21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19" spans="1:14" x14ac:dyDescent="0.3">
      <c r="A219" t="s">
        <v>360</v>
      </c>
      <c r="B219" t="s">
        <v>390</v>
      </c>
      <c r="C219" t="s">
        <v>23</v>
      </c>
      <c r="D219">
        <v>74</v>
      </c>
      <c r="E219" s="7">
        <f>Clients_Churn_Part[[#This Row],[Anciennete_Mois]]/12</f>
        <v>6.166666666666667</v>
      </c>
      <c r="F219" t="s">
        <v>21</v>
      </c>
      <c r="G219" t="str">
        <f>IF(Clients_Churn_Part[[#This Row],[Type_Forfait]]="pro Monde","B2B","B2C")</f>
        <v>B2C</v>
      </c>
      <c r="H219">
        <v>253</v>
      </c>
      <c r="I219" s="2">
        <f>Clients_Churn_Part[[#This Row],[Duree_Cumulee_Panne_Min]]/60</f>
        <v>4.2166666666666668</v>
      </c>
      <c r="J219">
        <v>36.94</v>
      </c>
      <c r="K219">
        <v>5</v>
      </c>
      <c r="L21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19">
        <f>Clients_Churn_Part[[#This Row],[Facture_Mensuelle]]*Clients_Churn_Part[[#This Row],[Remise]]</f>
        <v>25.857999999999997</v>
      </c>
      <c r="N21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20" spans="1:14" x14ac:dyDescent="0.3">
      <c r="A220" t="s">
        <v>538</v>
      </c>
      <c r="B220" t="s">
        <v>552</v>
      </c>
      <c r="C220" t="s">
        <v>15</v>
      </c>
      <c r="D220">
        <v>50</v>
      </c>
      <c r="E220" s="7">
        <f>Clients_Churn_Part[[#This Row],[Anciennete_Mois]]/12</f>
        <v>4.166666666666667</v>
      </c>
      <c r="F220" t="s">
        <v>21</v>
      </c>
      <c r="G220" t="str">
        <f>IF(Clients_Churn_Part[[#This Row],[Type_Forfait]]="pro Monde","B2B","B2C")</f>
        <v>B2C</v>
      </c>
      <c r="H220">
        <v>177</v>
      </c>
      <c r="I220" s="2">
        <f>Clients_Churn_Part[[#This Row],[Duree_Cumulee_Panne_Min]]/60</f>
        <v>2.95</v>
      </c>
      <c r="J220">
        <v>74.569999999999993</v>
      </c>
      <c r="K220">
        <v>4</v>
      </c>
      <c r="L22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20">
        <f>Clients_Churn_Part[[#This Row],[Facture_Mensuelle]]*Clients_Churn_Part[[#This Row],[Remise]]</f>
        <v>0</v>
      </c>
      <c r="N22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21" spans="1:14" x14ac:dyDescent="0.3">
      <c r="A221" t="s">
        <v>682</v>
      </c>
      <c r="B221" t="s">
        <v>716</v>
      </c>
      <c r="C221" t="s">
        <v>72</v>
      </c>
      <c r="D221">
        <v>26</v>
      </c>
      <c r="E221" s="7">
        <f>Clients_Churn_Part[[#This Row],[Anciennete_Mois]]/12</f>
        <v>2.1666666666666665</v>
      </c>
      <c r="F221" t="s">
        <v>21</v>
      </c>
      <c r="G221" t="str">
        <f>IF(Clients_Churn_Part[[#This Row],[Type_Forfait]]="pro Monde","B2B","B2C")</f>
        <v>B2C</v>
      </c>
      <c r="H221">
        <v>378</v>
      </c>
      <c r="I221" s="2">
        <f>Clients_Churn_Part[[#This Row],[Duree_Cumulee_Panne_Min]]/60</f>
        <v>6.3</v>
      </c>
      <c r="J221">
        <v>88.59</v>
      </c>
      <c r="K221">
        <v>4</v>
      </c>
      <c r="L22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21">
        <f>Clients_Churn_Part[[#This Row],[Facture_Mensuelle]]*Clients_Churn_Part[[#This Row],[Remise]]</f>
        <v>0</v>
      </c>
      <c r="N22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22" spans="1:14" x14ac:dyDescent="0.3">
      <c r="A222" t="s">
        <v>682</v>
      </c>
      <c r="B222" t="s">
        <v>710</v>
      </c>
      <c r="C222" t="s">
        <v>27</v>
      </c>
      <c r="D222">
        <v>26</v>
      </c>
      <c r="E222" s="7">
        <f>Clients_Churn_Part[[#This Row],[Anciennete_Mois]]/12</f>
        <v>2.1666666666666665</v>
      </c>
      <c r="F222" t="s">
        <v>10</v>
      </c>
      <c r="G222" t="str">
        <f>IF(Clients_Churn_Part[[#This Row],[Type_Forfait]]="pro Monde","B2B","B2C")</f>
        <v>B2C</v>
      </c>
      <c r="H222">
        <v>391</v>
      </c>
      <c r="I222" s="2">
        <f>Clients_Churn_Part[[#This Row],[Duree_Cumulee_Panne_Min]]/60</f>
        <v>6.5166666666666666</v>
      </c>
      <c r="J222">
        <v>18.28</v>
      </c>
      <c r="K222">
        <v>3</v>
      </c>
      <c r="L22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222">
        <f>Clients_Churn_Part[[#This Row],[Facture_Mensuelle]]*Clients_Churn_Part[[#This Row],[Remise]]</f>
        <v>8.2260000000000009</v>
      </c>
      <c r="N22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23" spans="1:14" x14ac:dyDescent="0.3">
      <c r="A223" t="s">
        <v>405</v>
      </c>
      <c r="B223" t="s">
        <v>449</v>
      </c>
      <c r="C223" t="s">
        <v>59</v>
      </c>
      <c r="D223">
        <v>104</v>
      </c>
      <c r="E223" s="7">
        <f>Clients_Churn_Part[[#This Row],[Anciennete_Mois]]/12</f>
        <v>8.6666666666666661</v>
      </c>
      <c r="F223" t="s">
        <v>13</v>
      </c>
      <c r="G223" t="str">
        <f>IF(Clients_Churn_Part[[#This Row],[Type_Forfait]]="pro Monde","B2B","B2C")</f>
        <v>B2B</v>
      </c>
      <c r="H223">
        <v>421</v>
      </c>
      <c r="I223" s="2">
        <f>Clients_Churn_Part[[#This Row],[Duree_Cumulee_Panne_Min]]/60</f>
        <v>7.0166666666666666</v>
      </c>
      <c r="J223">
        <v>26.24</v>
      </c>
      <c r="K223">
        <v>3</v>
      </c>
      <c r="L22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23">
        <f>Clients_Churn_Part[[#This Row],[Facture_Mensuelle]]*Clients_Churn_Part[[#This Row],[Remise]]</f>
        <v>18.367999999999999</v>
      </c>
      <c r="N22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24" spans="1:14" x14ac:dyDescent="0.3">
      <c r="A224" t="s">
        <v>360</v>
      </c>
      <c r="B224" t="s">
        <v>368</v>
      </c>
      <c r="C224" t="s">
        <v>12</v>
      </c>
      <c r="D224">
        <v>103</v>
      </c>
      <c r="E224" s="7">
        <f>Clients_Churn_Part[[#This Row],[Anciennete_Mois]]/12</f>
        <v>8.5833333333333339</v>
      </c>
      <c r="F224" t="s">
        <v>13</v>
      </c>
      <c r="G224" t="str">
        <f>IF(Clients_Churn_Part[[#This Row],[Type_Forfait]]="pro Monde","B2B","B2C")</f>
        <v>B2B</v>
      </c>
      <c r="H224">
        <v>270</v>
      </c>
      <c r="I224" s="2">
        <f>Clients_Churn_Part[[#This Row],[Duree_Cumulee_Panne_Min]]/60</f>
        <v>4.5</v>
      </c>
      <c r="J224">
        <v>67.87</v>
      </c>
      <c r="K224">
        <v>3</v>
      </c>
      <c r="L22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24">
        <f>Clients_Churn_Part[[#This Row],[Facture_Mensuelle]]*Clients_Churn_Part[[#This Row],[Remise]]</f>
        <v>47.509</v>
      </c>
      <c r="N22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25" spans="1:14" x14ac:dyDescent="0.3">
      <c r="A225" t="s">
        <v>589</v>
      </c>
      <c r="B225" t="s">
        <v>594</v>
      </c>
      <c r="C225" t="s">
        <v>61</v>
      </c>
      <c r="D225">
        <v>93</v>
      </c>
      <c r="E225" s="7">
        <f>Clients_Churn_Part[[#This Row],[Anciennete_Mois]]/12</f>
        <v>7.75</v>
      </c>
      <c r="F225" t="s">
        <v>13</v>
      </c>
      <c r="G225" t="str">
        <f>IF(Clients_Churn_Part[[#This Row],[Type_Forfait]]="pro Monde","B2B","B2C")</f>
        <v>B2B</v>
      </c>
      <c r="H225">
        <v>56</v>
      </c>
      <c r="I225" s="2">
        <f>Clients_Churn_Part[[#This Row],[Duree_Cumulee_Panne_Min]]/60</f>
        <v>0.93333333333333335</v>
      </c>
      <c r="J225">
        <v>96.31</v>
      </c>
      <c r="K225">
        <v>4</v>
      </c>
      <c r="L22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25">
        <f>Clients_Churn_Part[[#This Row],[Facture_Mensuelle]]*Clients_Churn_Part[[#This Row],[Remise]]</f>
        <v>67.417000000000002</v>
      </c>
      <c r="N22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26" spans="1:14" x14ac:dyDescent="0.3">
      <c r="A226" t="s">
        <v>405</v>
      </c>
      <c r="B226" t="s">
        <v>441</v>
      </c>
      <c r="C226" t="s">
        <v>9</v>
      </c>
      <c r="D226">
        <v>86</v>
      </c>
      <c r="E226" s="7">
        <f>Clients_Churn_Part[[#This Row],[Anciennete_Mois]]/12</f>
        <v>7.166666666666667</v>
      </c>
      <c r="F226" t="s">
        <v>10</v>
      </c>
      <c r="G226" t="str">
        <f>IF(Clients_Churn_Part[[#This Row],[Type_Forfait]]="pro Monde","B2B","B2C")</f>
        <v>B2C</v>
      </c>
      <c r="H226">
        <v>452</v>
      </c>
      <c r="I226" s="2">
        <f>Clients_Churn_Part[[#This Row],[Duree_Cumulee_Panne_Min]]/60</f>
        <v>7.5333333333333332</v>
      </c>
      <c r="J226">
        <v>75.680000000000007</v>
      </c>
      <c r="K226">
        <v>0</v>
      </c>
      <c r="L22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26">
        <f>Clients_Churn_Part[[#This Row],[Facture_Mensuelle]]*Clients_Churn_Part[[#This Row],[Remise]]</f>
        <v>52.975999999999999</v>
      </c>
      <c r="N22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27" spans="1:14" x14ac:dyDescent="0.3">
      <c r="A227" t="s">
        <v>494</v>
      </c>
      <c r="B227" t="s">
        <v>529</v>
      </c>
      <c r="C227" t="s">
        <v>41</v>
      </c>
      <c r="D227">
        <v>47</v>
      </c>
      <c r="E227" s="7">
        <f>Clients_Churn_Part[[#This Row],[Anciennete_Mois]]/12</f>
        <v>3.9166666666666665</v>
      </c>
      <c r="F227" t="s">
        <v>21</v>
      </c>
      <c r="G227" t="str">
        <f>IF(Clients_Churn_Part[[#This Row],[Type_Forfait]]="pro Monde","B2B","B2C")</f>
        <v>B2C</v>
      </c>
      <c r="H227">
        <v>385</v>
      </c>
      <c r="I227" s="2">
        <f>Clients_Churn_Part[[#This Row],[Duree_Cumulee_Panne_Min]]/60</f>
        <v>6.416666666666667</v>
      </c>
      <c r="J227">
        <v>41.33</v>
      </c>
      <c r="K227">
        <v>0</v>
      </c>
      <c r="L22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27">
        <f>Clients_Churn_Part[[#This Row],[Facture_Mensuelle]]*Clients_Churn_Part[[#This Row],[Remise]]</f>
        <v>0</v>
      </c>
      <c r="N22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28" spans="1:14" x14ac:dyDescent="0.3">
      <c r="A228" t="s">
        <v>405</v>
      </c>
      <c r="B228" t="s">
        <v>406</v>
      </c>
      <c r="C228" t="s">
        <v>48</v>
      </c>
      <c r="D228">
        <v>83</v>
      </c>
      <c r="E228" s="7">
        <f>Clients_Churn_Part[[#This Row],[Anciennete_Mois]]/12</f>
        <v>6.916666666666667</v>
      </c>
      <c r="F228" t="s">
        <v>10</v>
      </c>
      <c r="G228" t="str">
        <f>IF(Clients_Churn_Part[[#This Row],[Type_Forfait]]="pro Monde","B2B","B2C")</f>
        <v>B2C</v>
      </c>
      <c r="H228">
        <v>105</v>
      </c>
      <c r="I228" s="2">
        <f>Clients_Churn_Part[[#This Row],[Duree_Cumulee_Panne_Min]]/60</f>
        <v>1.75</v>
      </c>
      <c r="J228">
        <v>20.46</v>
      </c>
      <c r="K228">
        <v>1</v>
      </c>
      <c r="L22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28">
        <f>Clients_Churn_Part[[#This Row],[Facture_Mensuelle]]*Clients_Churn_Part[[#This Row],[Remise]]</f>
        <v>14.321999999999999</v>
      </c>
      <c r="N22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29" spans="1:14" x14ac:dyDescent="0.3">
      <c r="A229" t="s">
        <v>8</v>
      </c>
      <c r="B229" t="s">
        <v>67</v>
      </c>
      <c r="C229" t="s">
        <v>68</v>
      </c>
      <c r="D229">
        <v>6</v>
      </c>
      <c r="E229" s="7">
        <f>Clients_Churn_Part[[#This Row],[Anciennete_Mois]]/12</f>
        <v>0.5</v>
      </c>
      <c r="F229" t="s">
        <v>10</v>
      </c>
      <c r="G229" t="str">
        <f>IF(Clients_Churn_Part[[#This Row],[Type_Forfait]]="pro Monde","B2B","B2C")</f>
        <v>B2C</v>
      </c>
      <c r="H229">
        <v>207</v>
      </c>
      <c r="I229" s="2">
        <f>Clients_Churn_Part[[#This Row],[Duree_Cumulee_Panne_Min]]/60</f>
        <v>3.45</v>
      </c>
      <c r="J229">
        <v>61.55</v>
      </c>
      <c r="K229">
        <v>0</v>
      </c>
      <c r="L22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229">
        <f>Clients_Churn_Part[[#This Row],[Facture_Mensuelle]]*Clients_Churn_Part[[#This Row],[Remise]]</f>
        <v>27.697499999999998</v>
      </c>
      <c r="N22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30" spans="1:14" x14ac:dyDescent="0.3">
      <c r="A230" t="s">
        <v>267</v>
      </c>
      <c r="B230" t="s">
        <v>271</v>
      </c>
      <c r="C230" t="s">
        <v>9</v>
      </c>
      <c r="D230">
        <v>40</v>
      </c>
      <c r="E230" s="7">
        <f>Clients_Churn_Part[[#This Row],[Anciennete_Mois]]/12</f>
        <v>3.3333333333333335</v>
      </c>
      <c r="F230" t="s">
        <v>10</v>
      </c>
      <c r="G230" t="str">
        <f>IF(Clients_Churn_Part[[#This Row],[Type_Forfait]]="pro Monde","B2B","B2C")</f>
        <v>B2C</v>
      </c>
      <c r="H230">
        <v>102</v>
      </c>
      <c r="I230" s="2">
        <f>Clients_Churn_Part[[#This Row],[Duree_Cumulee_Panne_Min]]/60</f>
        <v>1.7</v>
      </c>
      <c r="J230">
        <v>96.59</v>
      </c>
      <c r="K230">
        <v>5</v>
      </c>
      <c r="L23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230">
        <f>Clients_Churn_Part[[#This Row],[Facture_Mensuelle]]*Clients_Churn_Part[[#This Row],[Remise]]</f>
        <v>43.465500000000006</v>
      </c>
      <c r="N23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31" spans="1:14" x14ac:dyDescent="0.3">
      <c r="A231" t="s">
        <v>129</v>
      </c>
      <c r="B231" t="s">
        <v>141</v>
      </c>
      <c r="C231" t="s">
        <v>15</v>
      </c>
      <c r="D231">
        <v>42</v>
      </c>
      <c r="E231" s="7">
        <f>Clients_Churn_Part[[#This Row],[Anciennete_Mois]]/12</f>
        <v>3.5</v>
      </c>
      <c r="F231" t="s">
        <v>21</v>
      </c>
      <c r="G231" t="str">
        <f>IF(Clients_Churn_Part[[#This Row],[Type_Forfait]]="pro Monde","B2B","B2C")</f>
        <v>B2C</v>
      </c>
      <c r="H231">
        <v>173</v>
      </c>
      <c r="I231" s="2">
        <f>Clients_Churn_Part[[#This Row],[Duree_Cumulee_Panne_Min]]/60</f>
        <v>2.8833333333333333</v>
      </c>
      <c r="J231">
        <v>69.19</v>
      </c>
      <c r="K231">
        <v>4</v>
      </c>
      <c r="L23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31">
        <f>Clients_Churn_Part[[#This Row],[Facture_Mensuelle]]*Clients_Churn_Part[[#This Row],[Remise]]</f>
        <v>0</v>
      </c>
      <c r="N23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32" spans="1:14" x14ac:dyDescent="0.3">
      <c r="A232" t="s">
        <v>538</v>
      </c>
      <c r="B232" t="s">
        <v>543</v>
      </c>
      <c r="C232" t="s">
        <v>122</v>
      </c>
      <c r="D232">
        <v>51</v>
      </c>
      <c r="E232" s="7">
        <f>Clients_Churn_Part[[#This Row],[Anciennete_Mois]]/12</f>
        <v>4.25</v>
      </c>
      <c r="F232" t="s">
        <v>18</v>
      </c>
      <c r="G232" t="str">
        <f>IF(Clients_Churn_Part[[#This Row],[Type_Forfait]]="pro Monde","B2B","B2C")</f>
        <v>B2C</v>
      </c>
      <c r="H232">
        <v>337</v>
      </c>
      <c r="I232" s="2">
        <f>Clients_Churn_Part[[#This Row],[Duree_Cumulee_Panne_Min]]/60</f>
        <v>5.6166666666666663</v>
      </c>
      <c r="J232">
        <v>68.67</v>
      </c>
      <c r="K232">
        <v>5</v>
      </c>
      <c r="L23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32">
        <f>Clients_Churn_Part[[#This Row],[Facture_Mensuelle]]*Clients_Churn_Part[[#This Row],[Remise]]</f>
        <v>0</v>
      </c>
      <c r="N23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33" spans="1:14" x14ac:dyDescent="0.3">
      <c r="A233" t="s">
        <v>360</v>
      </c>
      <c r="B233" t="s">
        <v>381</v>
      </c>
      <c r="C233" t="s">
        <v>20</v>
      </c>
      <c r="D233">
        <v>113</v>
      </c>
      <c r="E233" s="7">
        <f>Clients_Churn_Part[[#This Row],[Anciennete_Mois]]/12</f>
        <v>9.4166666666666661</v>
      </c>
      <c r="F233" t="s">
        <v>10</v>
      </c>
      <c r="G233" t="str">
        <f>IF(Clients_Churn_Part[[#This Row],[Type_Forfait]]="pro Monde","B2B","B2C")</f>
        <v>B2C</v>
      </c>
      <c r="H233">
        <v>89</v>
      </c>
      <c r="I233" s="2">
        <f>Clients_Churn_Part[[#This Row],[Duree_Cumulee_Panne_Min]]/60</f>
        <v>1.4833333333333334</v>
      </c>
      <c r="J233">
        <v>54.28</v>
      </c>
      <c r="K233">
        <v>0</v>
      </c>
      <c r="L23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33">
        <f>Clients_Churn_Part[[#This Row],[Facture_Mensuelle]]*Clients_Churn_Part[[#This Row],[Remise]]</f>
        <v>37.995999999999995</v>
      </c>
      <c r="N23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34" spans="1:14" x14ac:dyDescent="0.3">
      <c r="A234" t="s">
        <v>452</v>
      </c>
      <c r="B234" t="s">
        <v>477</v>
      </c>
      <c r="C234" t="s">
        <v>12</v>
      </c>
      <c r="D234">
        <v>101</v>
      </c>
      <c r="E234" s="7">
        <f>Clients_Churn_Part[[#This Row],[Anciennete_Mois]]/12</f>
        <v>8.4166666666666661</v>
      </c>
      <c r="F234" t="s">
        <v>18</v>
      </c>
      <c r="G234" t="str">
        <f>IF(Clients_Churn_Part[[#This Row],[Type_Forfait]]="pro Monde","B2B","B2C")</f>
        <v>B2C</v>
      </c>
      <c r="H234">
        <v>416</v>
      </c>
      <c r="I234" s="2">
        <f>Clients_Churn_Part[[#This Row],[Duree_Cumulee_Panne_Min]]/60</f>
        <v>6.9333333333333336</v>
      </c>
      <c r="J234">
        <v>83.49</v>
      </c>
      <c r="K234">
        <v>2</v>
      </c>
      <c r="L23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34">
        <f>Clients_Churn_Part[[#This Row],[Facture_Mensuelle]]*Clients_Churn_Part[[#This Row],[Remise]]</f>
        <v>58.442999999999991</v>
      </c>
      <c r="N23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35" spans="1:14" x14ac:dyDescent="0.3">
      <c r="A235" t="s">
        <v>79</v>
      </c>
      <c r="B235" t="s">
        <v>128</v>
      </c>
      <c r="C235" t="s">
        <v>68</v>
      </c>
      <c r="D235">
        <v>74</v>
      </c>
      <c r="E235" s="7">
        <f>Clients_Churn_Part[[#This Row],[Anciennete_Mois]]/12</f>
        <v>6.166666666666667</v>
      </c>
      <c r="F235" t="s">
        <v>10</v>
      </c>
      <c r="G235" t="str">
        <f>IF(Clients_Churn_Part[[#This Row],[Type_Forfait]]="pro Monde","B2B","B2C")</f>
        <v>B2C</v>
      </c>
      <c r="H235">
        <v>208</v>
      </c>
      <c r="I235" s="2">
        <f>Clients_Churn_Part[[#This Row],[Duree_Cumulee_Panne_Min]]/60</f>
        <v>3.4666666666666668</v>
      </c>
      <c r="J235">
        <v>39.56</v>
      </c>
      <c r="K235">
        <v>0</v>
      </c>
      <c r="L23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35">
        <f>Clients_Churn_Part[[#This Row],[Facture_Mensuelle]]*Clients_Churn_Part[[#This Row],[Remise]]</f>
        <v>27.692</v>
      </c>
      <c r="N23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36" spans="1:14" x14ac:dyDescent="0.3">
      <c r="A236" t="s">
        <v>267</v>
      </c>
      <c r="B236" t="s">
        <v>274</v>
      </c>
      <c r="C236" t="s">
        <v>23</v>
      </c>
      <c r="D236">
        <v>10</v>
      </c>
      <c r="E236" s="7">
        <f>Clients_Churn_Part[[#This Row],[Anciennete_Mois]]/12</f>
        <v>0.83333333333333337</v>
      </c>
      <c r="F236" t="s">
        <v>18</v>
      </c>
      <c r="G236" t="str">
        <f>IF(Clients_Churn_Part[[#This Row],[Type_Forfait]]="pro Monde","B2B","B2C")</f>
        <v>B2C</v>
      </c>
      <c r="H236">
        <v>93</v>
      </c>
      <c r="I236" s="2">
        <f>Clients_Churn_Part[[#This Row],[Duree_Cumulee_Panne_Min]]/60</f>
        <v>1.55</v>
      </c>
      <c r="J236">
        <v>78.12</v>
      </c>
      <c r="K236">
        <v>4</v>
      </c>
      <c r="L23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36">
        <f>Clients_Churn_Part[[#This Row],[Facture_Mensuelle]]*Clients_Churn_Part[[#This Row],[Remise]]</f>
        <v>0</v>
      </c>
      <c r="N23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37" spans="1:14" x14ac:dyDescent="0.3">
      <c r="A237" t="s">
        <v>360</v>
      </c>
      <c r="B237" t="s">
        <v>377</v>
      </c>
      <c r="C237" t="s">
        <v>35</v>
      </c>
      <c r="D237">
        <v>16</v>
      </c>
      <c r="E237" s="7">
        <f>Clients_Churn_Part[[#This Row],[Anciennete_Mois]]/12</f>
        <v>1.3333333333333333</v>
      </c>
      <c r="F237" t="s">
        <v>10</v>
      </c>
      <c r="G237" t="str">
        <f>IF(Clients_Churn_Part[[#This Row],[Type_Forfait]]="pro Monde","B2B","B2C")</f>
        <v>B2C</v>
      </c>
      <c r="H237">
        <v>391</v>
      </c>
      <c r="I237" s="2">
        <f>Clients_Churn_Part[[#This Row],[Duree_Cumulee_Panne_Min]]/60</f>
        <v>6.5166666666666666</v>
      </c>
      <c r="J237">
        <v>90.12</v>
      </c>
      <c r="K237">
        <v>5</v>
      </c>
      <c r="L23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237">
        <f>Clients_Churn_Part[[#This Row],[Facture_Mensuelle]]*Clients_Churn_Part[[#This Row],[Remise]]</f>
        <v>40.554000000000002</v>
      </c>
      <c r="N23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38" spans="1:14" x14ac:dyDescent="0.3">
      <c r="A238" t="s">
        <v>494</v>
      </c>
      <c r="B238" t="s">
        <v>506</v>
      </c>
      <c r="C238" t="s">
        <v>118</v>
      </c>
      <c r="D238">
        <v>59</v>
      </c>
      <c r="E238" s="7">
        <f>Clients_Churn_Part[[#This Row],[Anciennete_Mois]]/12</f>
        <v>4.916666666666667</v>
      </c>
      <c r="F238" t="s">
        <v>13</v>
      </c>
      <c r="G238" t="str">
        <f>IF(Clients_Churn_Part[[#This Row],[Type_Forfait]]="pro Monde","B2B","B2C")</f>
        <v>B2B</v>
      </c>
      <c r="H238">
        <v>72</v>
      </c>
      <c r="I238" s="2">
        <f>Clients_Churn_Part[[#This Row],[Duree_Cumulee_Panne_Min]]/60</f>
        <v>1.2</v>
      </c>
      <c r="J238">
        <v>94.51</v>
      </c>
      <c r="K238">
        <v>2</v>
      </c>
      <c r="L23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238">
        <f>Clients_Churn_Part[[#This Row],[Facture_Mensuelle]]*Clients_Churn_Part[[#This Row],[Remise]]</f>
        <v>9.4510000000000005</v>
      </c>
      <c r="N23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39" spans="1:14" x14ac:dyDescent="0.3">
      <c r="A239" t="s">
        <v>314</v>
      </c>
      <c r="B239" t="s">
        <v>320</v>
      </c>
      <c r="C239" t="s">
        <v>72</v>
      </c>
      <c r="D239">
        <v>41</v>
      </c>
      <c r="E239" s="7">
        <f>Clients_Churn_Part[[#This Row],[Anciennete_Mois]]/12</f>
        <v>3.4166666666666665</v>
      </c>
      <c r="F239" t="s">
        <v>13</v>
      </c>
      <c r="G239" t="str">
        <f>IF(Clients_Churn_Part[[#This Row],[Type_Forfait]]="pro Monde","B2B","B2C")</f>
        <v>B2B</v>
      </c>
      <c r="H239">
        <v>474</v>
      </c>
      <c r="I239" s="2">
        <f>Clients_Churn_Part[[#This Row],[Duree_Cumulee_Panne_Min]]/60</f>
        <v>7.9</v>
      </c>
      <c r="J239">
        <v>54.03</v>
      </c>
      <c r="K239">
        <v>4</v>
      </c>
      <c r="L23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239">
        <f>Clients_Churn_Part[[#This Row],[Facture_Mensuelle]]*Clients_Churn_Part[[#This Row],[Remise]]</f>
        <v>5.4030000000000005</v>
      </c>
      <c r="N23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40" spans="1:14" x14ac:dyDescent="0.3">
      <c r="A240" t="s">
        <v>314</v>
      </c>
      <c r="B240" t="s">
        <v>354</v>
      </c>
      <c r="C240" t="s">
        <v>122</v>
      </c>
      <c r="D240">
        <v>5</v>
      </c>
      <c r="E240" s="7">
        <f>Clients_Churn_Part[[#This Row],[Anciennete_Mois]]/12</f>
        <v>0.41666666666666669</v>
      </c>
      <c r="F240" t="s">
        <v>21</v>
      </c>
      <c r="G240" t="str">
        <f>IF(Clients_Churn_Part[[#This Row],[Type_Forfait]]="pro Monde","B2B","B2C")</f>
        <v>B2C</v>
      </c>
      <c r="H240">
        <v>337</v>
      </c>
      <c r="I240" s="2">
        <f>Clients_Churn_Part[[#This Row],[Duree_Cumulee_Panne_Min]]/60</f>
        <v>5.6166666666666663</v>
      </c>
      <c r="J240">
        <v>21.07</v>
      </c>
      <c r="K240">
        <v>4</v>
      </c>
      <c r="L24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40">
        <f>Clients_Churn_Part[[#This Row],[Facture_Mensuelle]]*Clients_Churn_Part[[#This Row],[Remise]]</f>
        <v>0</v>
      </c>
      <c r="N24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41" spans="1:14" x14ac:dyDescent="0.3">
      <c r="A241" t="s">
        <v>129</v>
      </c>
      <c r="B241" t="s">
        <v>159</v>
      </c>
      <c r="C241" t="s">
        <v>83</v>
      </c>
      <c r="D241">
        <v>118</v>
      </c>
      <c r="E241" s="7">
        <f>Clients_Churn_Part[[#This Row],[Anciennete_Mois]]/12</f>
        <v>9.8333333333333339</v>
      </c>
      <c r="F241" t="s">
        <v>21</v>
      </c>
      <c r="G241" t="str">
        <f>IF(Clients_Churn_Part[[#This Row],[Type_Forfait]]="pro Monde","B2B","B2C")</f>
        <v>B2C</v>
      </c>
      <c r="H241">
        <v>430</v>
      </c>
      <c r="I241" s="2">
        <f>Clients_Churn_Part[[#This Row],[Duree_Cumulee_Panne_Min]]/60</f>
        <v>7.166666666666667</v>
      </c>
      <c r="J241">
        <v>36.97</v>
      </c>
      <c r="K241">
        <v>2</v>
      </c>
      <c r="L24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41">
        <f>Clients_Churn_Part[[#This Row],[Facture_Mensuelle]]*Clients_Churn_Part[[#This Row],[Remise]]</f>
        <v>25.878999999999998</v>
      </c>
      <c r="N24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42" spans="1:14" x14ac:dyDescent="0.3">
      <c r="A242" t="s">
        <v>494</v>
      </c>
      <c r="B242" t="s">
        <v>536</v>
      </c>
      <c r="C242" t="s">
        <v>48</v>
      </c>
      <c r="D242">
        <v>53</v>
      </c>
      <c r="E242" s="7">
        <f>Clients_Churn_Part[[#This Row],[Anciennete_Mois]]/12</f>
        <v>4.416666666666667</v>
      </c>
      <c r="F242" t="s">
        <v>10</v>
      </c>
      <c r="G242" t="str">
        <f>IF(Clients_Churn_Part[[#This Row],[Type_Forfait]]="pro Monde","B2B","B2C")</f>
        <v>B2C</v>
      </c>
      <c r="H242">
        <v>243</v>
      </c>
      <c r="I242" s="2">
        <f>Clients_Churn_Part[[#This Row],[Duree_Cumulee_Panne_Min]]/60</f>
        <v>4.05</v>
      </c>
      <c r="J242">
        <v>55.19</v>
      </c>
      <c r="K242">
        <v>4</v>
      </c>
      <c r="L24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242">
        <f>Clients_Churn_Part[[#This Row],[Facture_Mensuelle]]*Clients_Churn_Part[[#This Row],[Remise]]</f>
        <v>24.8355</v>
      </c>
      <c r="N24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43" spans="1:14" x14ac:dyDescent="0.3">
      <c r="A243" t="s">
        <v>129</v>
      </c>
      <c r="B243" t="s">
        <v>172</v>
      </c>
      <c r="C243" t="s">
        <v>61</v>
      </c>
      <c r="D243">
        <v>95</v>
      </c>
      <c r="E243" s="7">
        <f>Clients_Churn_Part[[#This Row],[Anciennete_Mois]]/12</f>
        <v>7.916666666666667</v>
      </c>
      <c r="F243" t="s">
        <v>13</v>
      </c>
      <c r="G243" t="str">
        <f>IF(Clients_Churn_Part[[#This Row],[Type_Forfait]]="pro Monde","B2B","B2C")</f>
        <v>B2B</v>
      </c>
      <c r="H243">
        <v>95</v>
      </c>
      <c r="I243" s="2">
        <f>Clients_Churn_Part[[#This Row],[Duree_Cumulee_Panne_Min]]/60</f>
        <v>1.5833333333333333</v>
      </c>
      <c r="J243">
        <v>82.65</v>
      </c>
      <c r="K243">
        <v>2</v>
      </c>
      <c r="L24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43">
        <f>Clients_Churn_Part[[#This Row],[Facture_Mensuelle]]*Clients_Churn_Part[[#This Row],[Remise]]</f>
        <v>57.854999999999997</v>
      </c>
      <c r="N24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44" spans="1:14" x14ac:dyDescent="0.3">
      <c r="A244" t="s">
        <v>79</v>
      </c>
      <c r="B244" t="s">
        <v>106</v>
      </c>
      <c r="C244" t="s">
        <v>61</v>
      </c>
      <c r="D244">
        <v>83</v>
      </c>
      <c r="E244" s="7">
        <f>Clients_Churn_Part[[#This Row],[Anciennete_Mois]]/12</f>
        <v>6.916666666666667</v>
      </c>
      <c r="F244" t="s">
        <v>21</v>
      </c>
      <c r="G244" t="str">
        <f>IF(Clients_Churn_Part[[#This Row],[Type_Forfait]]="pro Monde","B2B","B2C")</f>
        <v>B2C</v>
      </c>
      <c r="H244">
        <v>14</v>
      </c>
      <c r="I244" s="2">
        <f>Clients_Churn_Part[[#This Row],[Duree_Cumulee_Panne_Min]]/60</f>
        <v>0.23333333333333334</v>
      </c>
      <c r="J244">
        <v>58.07</v>
      </c>
      <c r="K244">
        <v>3</v>
      </c>
      <c r="L24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244">
        <f>Clients_Churn_Part[[#This Row],[Facture_Mensuelle]]*Clients_Churn_Part[[#This Row],[Remise]]</f>
        <v>26.131499999999999</v>
      </c>
      <c r="N24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45" spans="1:14" x14ac:dyDescent="0.3">
      <c r="A245" t="s">
        <v>637</v>
      </c>
      <c r="B245" t="s">
        <v>677</v>
      </c>
      <c r="C245" t="s">
        <v>24</v>
      </c>
      <c r="D245">
        <v>35</v>
      </c>
      <c r="E245" s="7">
        <f>Clients_Churn_Part[[#This Row],[Anciennete_Mois]]/12</f>
        <v>2.9166666666666665</v>
      </c>
      <c r="F245" t="s">
        <v>13</v>
      </c>
      <c r="G245" t="str">
        <f>IF(Clients_Churn_Part[[#This Row],[Type_Forfait]]="pro Monde","B2B","B2C")</f>
        <v>B2B</v>
      </c>
      <c r="H245">
        <v>299</v>
      </c>
      <c r="I245" s="2">
        <f>Clients_Churn_Part[[#This Row],[Duree_Cumulee_Panne_Min]]/60</f>
        <v>4.9833333333333334</v>
      </c>
      <c r="J245">
        <v>96.32</v>
      </c>
      <c r="K245">
        <v>4</v>
      </c>
      <c r="L24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245">
        <f>Clients_Churn_Part[[#This Row],[Facture_Mensuelle]]*Clients_Churn_Part[[#This Row],[Remise]]</f>
        <v>9.6319999999999997</v>
      </c>
      <c r="N24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46" spans="1:14" x14ac:dyDescent="0.3">
      <c r="A246" t="s">
        <v>174</v>
      </c>
      <c r="B246" t="s">
        <v>175</v>
      </c>
      <c r="C246" t="s">
        <v>29</v>
      </c>
      <c r="D246">
        <v>97</v>
      </c>
      <c r="E246" s="7">
        <f>Clients_Churn_Part[[#This Row],[Anciennete_Mois]]/12</f>
        <v>8.0833333333333339</v>
      </c>
      <c r="F246" t="s">
        <v>18</v>
      </c>
      <c r="G246" t="str">
        <f>IF(Clients_Churn_Part[[#This Row],[Type_Forfait]]="pro Monde","B2B","B2C")</f>
        <v>B2C</v>
      </c>
      <c r="H246">
        <v>484</v>
      </c>
      <c r="I246" s="2">
        <f>Clients_Churn_Part[[#This Row],[Duree_Cumulee_Panne_Min]]/60</f>
        <v>8.0666666666666664</v>
      </c>
      <c r="J246">
        <v>61.98</v>
      </c>
      <c r="K246">
        <v>1</v>
      </c>
      <c r="L24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46">
        <f>Clients_Churn_Part[[#This Row],[Facture_Mensuelle]]*Clients_Churn_Part[[#This Row],[Remise]]</f>
        <v>43.385999999999996</v>
      </c>
      <c r="N24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47" spans="1:14" x14ac:dyDescent="0.3">
      <c r="A247" t="s">
        <v>267</v>
      </c>
      <c r="B247" t="s">
        <v>273</v>
      </c>
      <c r="C247" t="s">
        <v>41</v>
      </c>
      <c r="D247">
        <v>76</v>
      </c>
      <c r="E247" s="7">
        <f>Clients_Churn_Part[[#This Row],[Anciennete_Mois]]/12</f>
        <v>6.333333333333333</v>
      </c>
      <c r="F247" t="s">
        <v>21</v>
      </c>
      <c r="G247" t="str">
        <f>IF(Clients_Churn_Part[[#This Row],[Type_Forfait]]="pro Monde","B2B","B2C")</f>
        <v>B2C</v>
      </c>
      <c r="H247">
        <v>383</v>
      </c>
      <c r="I247" s="2">
        <f>Clients_Churn_Part[[#This Row],[Duree_Cumulee_Panne_Min]]/60</f>
        <v>6.3833333333333337</v>
      </c>
      <c r="J247">
        <v>53.73</v>
      </c>
      <c r="K247">
        <v>2</v>
      </c>
      <c r="L24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47">
        <f>Clients_Churn_Part[[#This Row],[Facture_Mensuelle]]*Clients_Churn_Part[[#This Row],[Remise]]</f>
        <v>37.610999999999997</v>
      </c>
      <c r="N24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48" spans="1:14" x14ac:dyDescent="0.3">
      <c r="A248" t="s">
        <v>452</v>
      </c>
      <c r="B248" t="s">
        <v>476</v>
      </c>
      <c r="C248" t="s">
        <v>122</v>
      </c>
      <c r="D248">
        <v>10</v>
      </c>
      <c r="E248" s="7">
        <f>Clients_Churn_Part[[#This Row],[Anciennete_Mois]]/12</f>
        <v>0.83333333333333337</v>
      </c>
      <c r="F248" t="s">
        <v>10</v>
      </c>
      <c r="G248" t="str">
        <f>IF(Clients_Churn_Part[[#This Row],[Type_Forfait]]="pro Monde","B2B","B2C")</f>
        <v>B2C</v>
      </c>
      <c r="H248">
        <v>425</v>
      </c>
      <c r="I248" s="2">
        <f>Clients_Churn_Part[[#This Row],[Duree_Cumulee_Panne_Min]]/60</f>
        <v>7.083333333333333</v>
      </c>
      <c r="J248">
        <v>85.75</v>
      </c>
      <c r="K248">
        <v>0</v>
      </c>
      <c r="L24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248">
        <f>Clients_Churn_Part[[#This Row],[Facture_Mensuelle]]*Clients_Churn_Part[[#This Row],[Remise]]</f>
        <v>38.587499999999999</v>
      </c>
      <c r="N24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49" spans="1:14" x14ac:dyDescent="0.3">
      <c r="A249" t="s">
        <v>360</v>
      </c>
      <c r="B249" t="s">
        <v>379</v>
      </c>
      <c r="C249" t="s">
        <v>31</v>
      </c>
      <c r="D249">
        <v>68</v>
      </c>
      <c r="E249" s="7">
        <f>Clients_Churn_Part[[#This Row],[Anciennete_Mois]]/12</f>
        <v>5.666666666666667</v>
      </c>
      <c r="F249" t="s">
        <v>13</v>
      </c>
      <c r="G249" t="str">
        <f>IF(Clients_Churn_Part[[#This Row],[Type_Forfait]]="pro Monde","B2B","B2C")</f>
        <v>B2B</v>
      </c>
      <c r="H249">
        <v>462</v>
      </c>
      <c r="I249" s="2">
        <f>Clients_Churn_Part[[#This Row],[Duree_Cumulee_Panne_Min]]/60</f>
        <v>7.7</v>
      </c>
      <c r="J249">
        <v>41.91</v>
      </c>
      <c r="K249">
        <v>1</v>
      </c>
      <c r="L24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49">
        <f>Clients_Churn_Part[[#This Row],[Facture_Mensuelle]]*Clients_Churn_Part[[#This Row],[Remise]]</f>
        <v>29.336999999999996</v>
      </c>
      <c r="N24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50" spans="1:14" x14ac:dyDescent="0.3">
      <c r="A250" t="s">
        <v>8</v>
      </c>
      <c r="B250" t="s">
        <v>73</v>
      </c>
      <c r="C250" t="s">
        <v>9</v>
      </c>
      <c r="D250">
        <v>16</v>
      </c>
      <c r="E250" s="7">
        <f>Clients_Churn_Part[[#This Row],[Anciennete_Mois]]/12</f>
        <v>1.3333333333333333</v>
      </c>
      <c r="F250" t="s">
        <v>18</v>
      </c>
      <c r="G250" t="str">
        <f>IF(Clients_Churn_Part[[#This Row],[Type_Forfait]]="pro Monde","B2B","B2C")</f>
        <v>B2C</v>
      </c>
      <c r="H250">
        <v>43</v>
      </c>
      <c r="I250" s="2">
        <f>Clients_Churn_Part[[#This Row],[Duree_Cumulee_Panne_Min]]/60</f>
        <v>0.71666666666666667</v>
      </c>
      <c r="J250">
        <v>56.48</v>
      </c>
      <c r="K250">
        <v>0</v>
      </c>
      <c r="L25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50">
        <f>Clients_Churn_Part[[#This Row],[Facture_Mensuelle]]*Clients_Churn_Part[[#This Row],[Remise]]</f>
        <v>0</v>
      </c>
      <c r="N25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51" spans="1:14" x14ac:dyDescent="0.3">
      <c r="A251" t="s">
        <v>314</v>
      </c>
      <c r="B251" t="s">
        <v>350</v>
      </c>
      <c r="C251" t="s">
        <v>83</v>
      </c>
      <c r="D251">
        <v>109</v>
      </c>
      <c r="E251" s="7">
        <f>Clients_Churn_Part[[#This Row],[Anciennete_Mois]]/12</f>
        <v>9.0833333333333339</v>
      </c>
      <c r="F251" t="s">
        <v>13</v>
      </c>
      <c r="G251" t="str">
        <f>IF(Clients_Churn_Part[[#This Row],[Type_Forfait]]="pro Monde","B2B","B2C")</f>
        <v>B2B</v>
      </c>
      <c r="H251">
        <v>397</v>
      </c>
      <c r="I251" s="2">
        <f>Clients_Churn_Part[[#This Row],[Duree_Cumulee_Panne_Min]]/60</f>
        <v>6.6166666666666663</v>
      </c>
      <c r="J251">
        <v>63.92</v>
      </c>
      <c r="K251">
        <v>1</v>
      </c>
      <c r="L25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51">
        <f>Clients_Churn_Part[[#This Row],[Facture_Mensuelle]]*Clients_Churn_Part[[#This Row],[Remise]]</f>
        <v>44.744</v>
      </c>
      <c r="N25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52" spans="1:14" x14ac:dyDescent="0.3">
      <c r="A252" t="s">
        <v>682</v>
      </c>
      <c r="B252" t="s">
        <v>692</v>
      </c>
      <c r="C252" t="s">
        <v>83</v>
      </c>
      <c r="D252">
        <v>96</v>
      </c>
      <c r="E252" s="7">
        <f>Clients_Churn_Part[[#This Row],[Anciennete_Mois]]/12</f>
        <v>8</v>
      </c>
      <c r="F252" t="s">
        <v>13</v>
      </c>
      <c r="G252" t="str">
        <f>IF(Clients_Churn_Part[[#This Row],[Type_Forfait]]="pro Monde","B2B","B2C")</f>
        <v>B2B</v>
      </c>
      <c r="H252">
        <v>280</v>
      </c>
      <c r="I252" s="2">
        <f>Clients_Churn_Part[[#This Row],[Duree_Cumulee_Panne_Min]]/60</f>
        <v>4.666666666666667</v>
      </c>
      <c r="J252">
        <v>80.36</v>
      </c>
      <c r="K252">
        <v>5</v>
      </c>
      <c r="L25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52">
        <f>Clients_Churn_Part[[#This Row],[Facture_Mensuelle]]*Clients_Churn_Part[[#This Row],[Remise]]</f>
        <v>56.251999999999995</v>
      </c>
      <c r="N25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53" spans="1:14" x14ac:dyDescent="0.3">
      <c r="A253" t="s">
        <v>220</v>
      </c>
      <c r="B253" t="s">
        <v>237</v>
      </c>
      <c r="C253" t="s">
        <v>83</v>
      </c>
      <c r="D253">
        <v>25</v>
      </c>
      <c r="E253" s="7">
        <f>Clients_Churn_Part[[#This Row],[Anciennete_Mois]]/12</f>
        <v>2.0833333333333335</v>
      </c>
      <c r="F253" t="s">
        <v>18</v>
      </c>
      <c r="G253" t="str">
        <f>IF(Clients_Churn_Part[[#This Row],[Type_Forfait]]="pro Monde","B2B","B2C")</f>
        <v>B2C</v>
      </c>
      <c r="H253">
        <v>33</v>
      </c>
      <c r="I253" s="2">
        <f>Clients_Churn_Part[[#This Row],[Duree_Cumulee_Panne_Min]]/60</f>
        <v>0.55000000000000004</v>
      </c>
      <c r="J253">
        <v>30.93</v>
      </c>
      <c r="K253">
        <v>1</v>
      </c>
      <c r="L25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53">
        <f>Clients_Churn_Part[[#This Row],[Facture_Mensuelle]]*Clients_Churn_Part[[#This Row],[Remise]]</f>
        <v>0</v>
      </c>
      <c r="N25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54" spans="1:14" x14ac:dyDescent="0.3">
      <c r="A254" t="s">
        <v>267</v>
      </c>
      <c r="B254" t="s">
        <v>291</v>
      </c>
      <c r="C254" t="s">
        <v>33</v>
      </c>
      <c r="D254">
        <v>45</v>
      </c>
      <c r="E254" s="7">
        <f>Clients_Churn_Part[[#This Row],[Anciennete_Mois]]/12</f>
        <v>3.75</v>
      </c>
      <c r="F254" t="s">
        <v>21</v>
      </c>
      <c r="G254" t="str">
        <f>IF(Clients_Churn_Part[[#This Row],[Type_Forfait]]="pro Monde","B2B","B2C")</f>
        <v>B2C</v>
      </c>
      <c r="H254">
        <v>43</v>
      </c>
      <c r="I254" s="2">
        <f>Clients_Churn_Part[[#This Row],[Duree_Cumulee_Panne_Min]]/60</f>
        <v>0.71666666666666667</v>
      </c>
      <c r="J254">
        <v>12.31</v>
      </c>
      <c r="K254">
        <v>0</v>
      </c>
      <c r="L25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54">
        <f>Clients_Churn_Part[[#This Row],[Facture_Mensuelle]]*Clients_Churn_Part[[#This Row],[Remise]]</f>
        <v>0</v>
      </c>
      <c r="N25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55" spans="1:14" x14ac:dyDescent="0.3">
      <c r="A255" t="s">
        <v>494</v>
      </c>
      <c r="B255" t="s">
        <v>516</v>
      </c>
      <c r="C255" t="s">
        <v>122</v>
      </c>
      <c r="D255">
        <v>63</v>
      </c>
      <c r="E255" s="7">
        <f>Clients_Churn_Part[[#This Row],[Anciennete_Mois]]/12</f>
        <v>5.25</v>
      </c>
      <c r="F255" t="s">
        <v>21</v>
      </c>
      <c r="G255" t="str">
        <f>IF(Clients_Churn_Part[[#This Row],[Type_Forfait]]="pro Monde","B2B","B2C")</f>
        <v>B2C</v>
      </c>
      <c r="H255">
        <v>109</v>
      </c>
      <c r="I255" s="2">
        <f>Clients_Churn_Part[[#This Row],[Duree_Cumulee_Panne_Min]]/60</f>
        <v>1.8166666666666667</v>
      </c>
      <c r="J255">
        <v>10.33</v>
      </c>
      <c r="K255">
        <v>3</v>
      </c>
      <c r="L25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55">
        <f>Clients_Churn_Part[[#This Row],[Facture_Mensuelle]]*Clients_Churn_Part[[#This Row],[Remise]]</f>
        <v>7.2309999999999999</v>
      </c>
      <c r="N25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56" spans="1:14" x14ac:dyDescent="0.3">
      <c r="A256" t="s">
        <v>589</v>
      </c>
      <c r="B256" t="s">
        <v>634</v>
      </c>
      <c r="C256" t="s">
        <v>54</v>
      </c>
      <c r="D256">
        <v>41</v>
      </c>
      <c r="E256" s="7">
        <f>Clients_Churn_Part[[#This Row],[Anciennete_Mois]]/12</f>
        <v>3.4166666666666665</v>
      </c>
      <c r="F256" t="s">
        <v>21</v>
      </c>
      <c r="G256" t="str">
        <f>IF(Clients_Churn_Part[[#This Row],[Type_Forfait]]="pro Monde","B2B","B2C")</f>
        <v>B2C</v>
      </c>
      <c r="H256">
        <v>90</v>
      </c>
      <c r="I256" s="2">
        <f>Clients_Churn_Part[[#This Row],[Duree_Cumulee_Panne_Min]]/60</f>
        <v>1.5</v>
      </c>
      <c r="J256">
        <v>97.26</v>
      </c>
      <c r="K256">
        <v>1</v>
      </c>
      <c r="L25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56">
        <f>Clients_Churn_Part[[#This Row],[Facture_Mensuelle]]*Clients_Churn_Part[[#This Row],[Remise]]</f>
        <v>0</v>
      </c>
      <c r="N25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57" spans="1:14" x14ac:dyDescent="0.3">
      <c r="A257" t="s">
        <v>174</v>
      </c>
      <c r="B257" t="s">
        <v>192</v>
      </c>
      <c r="C257" t="s">
        <v>59</v>
      </c>
      <c r="D257">
        <v>35</v>
      </c>
      <c r="E257" s="7">
        <f>Clients_Churn_Part[[#This Row],[Anciennete_Mois]]/12</f>
        <v>2.9166666666666665</v>
      </c>
      <c r="F257" t="s">
        <v>21</v>
      </c>
      <c r="G257" t="str">
        <f>IF(Clients_Churn_Part[[#This Row],[Type_Forfait]]="pro Monde","B2B","B2C")</f>
        <v>B2C</v>
      </c>
      <c r="H257">
        <v>107</v>
      </c>
      <c r="I257" s="2">
        <f>Clients_Churn_Part[[#This Row],[Duree_Cumulee_Panne_Min]]/60</f>
        <v>1.7833333333333334</v>
      </c>
      <c r="J257">
        <v>66.69</v>
      </c>
      <c r="K257">
        <v>4</v>
      </c>
      <c r="L25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57">
        <f>Clients_Churn_Part[[#This Row],[Facture_Mensuelle]]*Clients_Churn_Part[[#This Row],[Remise]]</f>
        <v>0</v>
      </c>
      <c r="N25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58" spans="1:14" x14ac:dyDescent="0.3">
      <c r="A258" t="s">
        <v>8</v>
      </c>
      <c r="B258" t="s">
        <v>65</v>
      </c>
      <c r="C258" t="s">
        <v>27</v>
      </c>
      <c r="D258">
        <v>106</v>
      </c>
      <c r="E258" s="7">
        <f>Clients_Churn_Part[[#This Row],[Anciennete_Mois]]/12</f>
        <v>8.8333333333333339</v>
      </c>
      <c r="F258" t="s">
        <v>18</v>
      </c>
      <c r="G258" t="str">
        <f>IF(Clients_Churn_Part[[#This Row],[Type_Forfait]]="pro Monde","B2B","B2C")</f>
        <v>B2C</v>
      </c>
      <c r="H258">
        <v>400</v>
      </c>
      <c r="I258" s="2">
        <f>Clients_Churn_Part[[#This Row],[Duree_Cumulee_Panne_Min]]/60</f>
        <v>6.666666666666667</v>
      </c>
      <c r="J258">
        <v>70.02</v>
      </c>
      <c r="K258">
        <v>4</v>
      </c>
      <c r="L25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58">
        <f>Clients_Churn_Part[[#This Row],[Facture_Mensuelle]]*Clients_Churn_Part[[#This Row],[Remise]]</f>
        <v>49.013999999999996</v>
      </c>
      <c r="N25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59" spans="1:14" x14ac:dyDescent="0.3">
      <c r="A259" t="s">
        <v>79</v>
      </c>
      <c r="B259" t="s">
        <v>121</v>
      </c>
      <c r="C259" t="s">
        <v>122</v>
      </c>
      <c r="D259">
        <v>16</v>
      </c>
      <c r="E259" s="7">
        <f>Clients_Churn_Part[[#This Row],[Anciennete_Mois]]/12</f>
        <v>1.3333333333333333</v>
      </c>
      <c r="F259" t="s">
        <v>18</v>
      </c>
      <c r="G259" t="str">
        <f>IF(Clients_Churn_Part[[#This Row],[Type_Forfait]]="pro Monde","B2B","B2C")</f>
        <v>B2C</v>
      </c>
      <c r="H259">
        <v>390</v>
      </c>
      <c r="I259" s="2">
        <f>Clients_Churn_Part[[#This Row],[Duree_Cumulee_Panne_Min]]/60</f>
        <v>6.5</v>
      </c>
      <c r="J259">
        <v>98.17</v>
      </c>
      <c r="K259">
        <v>5</v>
      </c>
      <c r="L25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59">
        <f>Clients_Churn_Part[[#This Row],[Facture_Mensuelle]]*Clients_Churn_Part[[#This Row],[Remise]]</f>
        <v>0</v>
      </c>
      <c r="N25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60" spans="1:14" x14ac:dyDescent="0.3">
      <c r="A260" t="s">
        <v>220</v>
      </c>
      <c r="B260" t="s">
        <v>255</v>
      </c>
      <c r="C260" t="s">
        <v>57</v>
      </c>
      <c r="D260">
        <v>92</v>
      </c>
      <c r="E260" s="7">
        <f>Clients_Churn_Part[[#This Row],[Anciennete_Mois]]/12</f>
        <v>7.666666666666667</v>
      </c>
      <c r="F260" t="s">
        <v>18</v>
      </c>
      <c r="G260" t="str">
        <f>IF(Clients_Churn_Part[[#This Row],[Type_Forfait]]="pro Monde","B2B","B2C")</f>
        <v>B2C</v>
      </c>
      <c r="H260">
        <v>472</v>
      </c>
      <c r="I260" s="2">
        <f>Clients_Churn_Part[[#This Row],[Duree_Cumulee_Panne_Min]]/60</f>
        <v>7.8666666666666663</v>
      </c>
      <c r="J260">
        <v>78.44</v>
      </c>
      <c r="K260">
        <v>1</v>
      </c>
      <c r="L26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60">
        <f>Clients_Churn_Part[[#This Row],[Facture_Mensuelle]]*Clients_Churn_Part[[#This Row],[Remise]]</f>
        <v>54.907999999999994</v>
      </c>
      <c r="N26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61" spans="1:14" x14ac:dyDescent="0.3">
      <c r="A261" t="s">
        <v>174</v>
      </c>
      <c r="B261" t="s">
        <v>202</v>
      </c>
      <c r="C261" t="s">
        <v>59</v>
      </c>
      <c r="D261">
        <v>115</v>
      </c>
      <c r="E261" s="7">
        <f>Clients_Churn_Part[[#This Row],[Anciennete_Mois]]/12</f>
        <v>9.5833333333333339</v>
      </c>
      <c r="F261" t="s">
        <v>18</v>
      </c>
      <c r="G261" t="str">
        <f>IF(Clients_Churn_Part[[#This Row],[Type_Forfait]]="pro Monde","B2B","B2C")</f>
        <v>B2C</v>
      </c>
      <c r="H261">
        <v>236</v>
      </c>
      <c r="I261" s="2">
        <f>Clients_Churn_Part[[#This Row],[Duree_Cumulee_Panne_Min]]/60</f>
        <v>3.9333333333333331</v>
      </c>
      <c r="J261">
        <v>50.64</v>
      </c>
      <c r="K261">
        <v>1</v>
      </c>
      <c r="L26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61">
        <f>Clients_Churn_Part[[#This Row],[Facture_Mensuelle]]*Clients_Churn_Part[[#This Row],[Remise]]</f>
        <v>35.448</v>
      </c>
      <c r="N26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62" spans="1:14" x14ac:dyDescent="0.3">
      <c r="A262" t="s">
        <v>267</v>
      </c>
      <c r="B262" t="s">
        <v>270</v>
      </c>
      <c r="C262" t="s">
        <v>17</v>
      </c>
      <c r="D262">
        <v>63</v>
      </c>
      <c r="E262" s="7">
        <f>Clients_Churn_Part[[#This Row],[Anciennete_Mois]]/12</f>
        <v>5.25</v>
      </c>
      <c r="F262" t="s">
        <v>21</v>
      </c>
      <c r="G262" t="str">
        <f>IF(Clients_Churn_Part[[#This Row],[Type_Forfait]]="pro Monde","B2B","B2C")</f>
        <v>B2C</v>
      </c>
      <c r="H262">
        <v>95</v>
      </c>
      <c r="I262" s="2">
        <f>Clients_Churn_Part[[#This Row],[Duree_Cumulee_Panne_Min]]/60</f>
        <v>1.5833333333333333</v>
      </c>
      <c r="J262">
        <v>56.81</v>
      </c>
      <c r="K262">
        <v>0</v>
      </c>
      <c r="L26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62">
        <f>Clients_Churn_Part[[#This Row],[Facture_Mensuelle]]*Clients_Churn_Part[[#This Row],[Remise]]</f>
        <v>39.766999999999996</v>
      </c>
      <c r="N26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63" spans="1:14" x14ac:dyDescent="0.3">
      <c r="A263" t="s">
        <v>682</v>
      </c>
      <c r="B263" t="s">
        <v>685</v>
      </c>
      <c r="C263" t="s">
        <v>37</v>
      </c>
      <c r="D263">
        <v>119</v>
      </c>
      <c r="E263" s="7">
        <f>Clients_Churn_Part[[#This Row],[Anciennete_Mois]]/12</f>
        <v>9.9166666666666661</v>
      </c>
      <c r="F263" t="s">
        <v>18</v>
      </c>
      <c r="G263" t="str">
        <f>IF(Clients_Churn_Part[[#This Row],[Type_Forfait]]="pro Monde","B2B","B2C")</f>
        <v>B2C</v>
      </c>
      <c r="H263">
        <v>133</v>
      </c>
      <c r="I263" s="2">
        <f>Clients_Churn_Part[[#This Row],[Duree_Cumulee_Panne_Min]]/60</f>
        <v>2.2166666666666668</v>
      </c>
      <c r="J263">
        <v>30.27</v>
      </c>
      <c r="K263">
        <v>5</v>
      </c>
      <c r="L26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63">
        <f>Clients_Churn_Part[[#This Row],[Facture_Mensuelle]]*Clients_Churn_Part[[#This Row],[Remise]]</f>
        <v>21.189</v>
      </c>
      <c r="N26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64" spans="1:14" x14ac:dyDescent="0.3">
      <c r="A264" t="s">
        <v>452</v>
      </c>
      <c r="B264" t="s">
        <v>465</v>
      </c>
      <c r="C264" t="s">
        <v>61</v>
      </c>
      <c r="D264">
        <v>14</v>
      </c>
      <c r="E264" s="7">
        <f>Clients_Churn_Part[[#This Row],[Anciennete_Mois]]/12</f>
        <v>1.1666666666666667</v>
      </c>
      <c r="F264" t="s">
        <v>21</v>
      </c>
      <c r="G264" t="str">
        <f>IF(Clients_Churn_Part[[#This Row],[Type_Forfait]]="pro Monde","B2B","B2C")</f>
        <v>B2C</v>
      </c>
      <c r="H264">
        <v>304</v>
      </c>
      <c r="I264" s="2">
        <f>Clients_Churn_Part[[#This Row],[Duree_Cumulee_Panne_Min]]/60</f>
        <v>5.0666666666666664</v>
      </c>
      <c r="J264">
        <v>48.13</v>
      </c>
      <c r="K264">
        <v>2</v>
      </c>
      <c r="L26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64">
        <f>Clients_Churn_Part[[#This Row],[Facture_Mensuelle]]*Clients_Churn_Part[[#This Row],[Remise]]</f>
        <v>0</v>
      </c>
      <c r="N26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65" spans="1:14" x14ac:dyDescent="0.3">
      <c r="A265" t="s">
        <v>682</v>
      </c>
      <c r="B265" t="s">
        <v>706</v>
      </c>
      <c r="C265" t="s">
        <v>37</v>
      </c>
      <c r="D265">
        <v>18</v>
      </c>
      <c r="E265" s="7">
        <f>Clients_Churn_Part[[#This Row],[Anciennete_Mois]]/12</f>
        <v>1.5</v>
      </c>
      <c r="F265" t="s">
        <v>18</v>
      </c>
      <c r="G265" t="str">
        <f>IF(Clients_Churn_Part[[#This Row],[Type_Forfait]]="pro Monde","B2B","B2C")</f>
        <v>B2C</v>
      </c>
      <c r="H265">
        <v>463</v>
      </c>
      <c r="I265" s="2">
        <f>Clients_Churn_Part[[#This Row],[Duree_Cumulee_Panne_Min]]/60</f>
        <v>7.7166666666666668</v>
      </c>
      <c r="J265">
        <v>41.66</v>
      </c>
      <c r="K265">
        <v>4</v>
      </c>
      <c r="L26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65">
        <f>Clients_Churn_Part[[#This Row],[Facture_Mensuelle]]*Clients_Churn_Part[[#This Row],[Remise]]</f>
        <v>0</v>
      </c>
      <c r="N26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66" spans="1:14" x14ac:dyDescent="0.3">
      <c r="A266" t="s">
        <v>314</v>
      </c>
      <c r="B266" t="s">
        <v>330</v>
      </c>
      <c r="C266" t="s">
        <v>17</v>
      </c>
      <c r="D266">
        <v>76</v>
      </c>
      <c r="E266" s="7">
        <f>Clients_Churn_Part[[#This Row],[Anciennete_Mois]]/12</f>
        <v>6.333333333333333</v>
      </c>
      <c r="F266" t="s">
        <v>21</v>
      </c>
      <c r="G266" t="str">
        <f>IF(Clients_Churn_Part[[#This Row],[Type_Forfait]]="pro Monde","B2B","B2C")</f>
        <v>B2C</v>
      </c>
      <c r="H266">
        <v>332</v>
      </c>
      <c r="I266" s="2">
        <f>Clients_Churn_Part[[#This Row],[Duree_Cumulee_Panne_Min]]/60</f>
        <v>5.5333333333333332</v>
      </c>
      <c r="J266">
        <v>68.010000000000005</v>
      </c>
      <c r="K266">
        <v>4</v>
      </c>
      <c r="L26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66">
        <f>Clients_Churn_Part[[#This Row],[Facture_Mensuelle]]*Clients_Churn_Part[[#This Row],[Remise]]</f>
        <v>47.606999999999999</v>
      </c>
      <c r="N26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67" spans="1:14" x14ac:dyDescent="0.3">
      <c r="A267" t="s">
        <v>174</v>
      </c>
      <c r="B267" t="s">
        <v>215</v>
      </c>
      <c r="C267" t="s">
        <v>29</v>
      </c>
      <c r="D267">
        <v>48</v>
      </c>
      <c r="E267" s="7">
        <f>Clients_Churn_Part[[#This Row],[Anciennete_Mois]]/12</f>
        <v>4</v>
      </c>
      <c r="F267" t="s">
        <v>18</v>
      </c>
      <c r="G267" t="str">
        <f>IF(Clients_Churn_Part[[#This Row],[Type_Forfait]]="pro Monde","B2B","B2C")</f>
        <v>B2C</v>
      </c>
      <c r="H267">
        <v>436</v>
      </c>
      <c r="I267" s="2">
        <f>Clients_Churn_Part[[#This Row],[Duree_Cumulee_Panne_Min]]/60</f>
        <v>7.2666666666666666</v>
      </c>
      <c r="J267">
        <v>15.17</v>
      </c>
      <c r="K267">
        <v>0</v>
      </c>
      <c r="L26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67">
        <f>Clients_Churn_Part[[#This Row],[Facture_Mensuelle]]*Clients_Churn_Part[[#This Row],[Remise]]</f>
        <v>0</v>
      </c>
      <c r="N26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68" spans="1:14" x14ac:dyDescent="0.3">
      <c r="A268" t="s">
        <v>8</v>
      </c>
      <c r="B268" t="s">
        <v>14</v>
      </c>
      <c r="C268" t="s">
        <v>15</v>
      </c>
      <c r="D268">
        <v>34</v>
      </c>
      <c r="E268" s="7">
        <f>Clients_Churn_Part[[#This Row],[Anciennete_Mois]]/12</f>
        <v>2.8333333333333335</v>
      </c>
      <c r="F268" t="s">
        <v>13</v>
      </c>
      <c r="G268" t="str">
        <f>IF(Clients_Churn_Part[[#This Row],[Type_Forfait]]="pro Monde","B2B","B2C")</f>
        <v>B2B</v>
      </c>
      <c r="H268">
        <v>453</v>
      </c>
      <c r="I268" s="2">
        <f>Clients_Churn_Part[[#This Row],[Duree_Cumulee_Panne_Min]]/60</f>
        <v>7.55</v>
      </c>
      <c r="J268">
        <v>56.84</v>
      </c>
      <c r="K268">
        <v>0</v>
      </c>
      <c r="L26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268">
        <f>Clients_Churn_Part[[#This Row],[Facture_Mensuelle]]*Clients_Churn_Part[[#This Row],[Remise]]</f>
        <v>5.6840000000000011</v>
      </c>
      <c r="N26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69" spans="1:14" x14ac:dyDescent="0.3">
      <c r="A269" t="s">
        <v>174</v>
      </c>
      <c r="B269" t="s">
        <v>206</v>
      </c>
      <c r="C269" t="s">
        <v>41</v>
      </c>
      <c r="D269">
        <v>31</v>
      </c>
      <c r="E269" s="7">
        <f>Clients_Churn_Part[[#This Row],[Anciennete_Mois]]/12</f>
        <v>2.5833333333333335</v>
      </c>
      <c r="F269" t="s">
        <v>18</v>
      </c>
      <c r="G269" t="str">
        <f>IF(Clients_Churn_Part[[#This Row],[Type_Forfait]]="pro Monde","B2B","B2C")</f>
        <v>B2C</v>
      </c>
      <c r="H269">
        <v>160</v>
      </c>
      <c r="I269" s="2">
        <f>Clients_Churn_Part[[#This Row],[Duree_Cumulee_Panne_Min]]/60</f>
        <v>2.6666666666666665</v>
      </c>
      <c r="J269">
        <v>59.76</v>
      </c>
      <c r="K269">
        <v>4</v>
      </c>
      <c r="L26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69">
        <f>Clients_Churn_Part[[#This Row],[Facture_Mensuelle]]*Clients_Churn_Part[[#This Row],[Remise]]</f>
        <v>0</v>
      </c>
      <c r="N26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70" spans="1:14" x14ac:dyDescent="0.3">
      <c r="A270" t="s">
        <v>79</v>
      </c>
      <c r="B270" t="s">
        <v>112</v>
      </c>
      <c r="C270" t="s">
        <v>9</v>
      </c>
      <c r="D270">
        <v>74</v>
      </c>
      <c r="E270" s="7">
        <f>Clients_Churn_Part[[#This Row],[Anciennete_Mois]]/12</f>
        <v>6.166666666666667</v>
      </c>
      <c r="F270" t="s">
        <v>21</v>
      </c>
      <c r="G270" t="str">
        <f>IF(Clients_Churn_Part[[#This Row],[Type_Forfait]]="pro Monde","B2B","B2C")</f>
        <v>B2C</v>
      </c>
      <c r="H270">
        <v>9</v>
      </c>
      <c r="I270" s="2">
        <f>Clients_Churn_Part[[#This Row],[Duree_Cumulee_Panne_Min]]/60</f>
        <v>0.15</v>
      </c>
      <c r="J270">
        <v>99.89</v>
      </c>
      <c r="K270">
        <v>0</v>
      </c>
      <c r="L27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70">
        <f>Clients_Churn_Part[[#This Row],[Facture_Mensuelle]]*Clients_Churn_Part[[#This Row],[Remise]]</f>
        <v>0</v>
      </c>
      <c r="N27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71" spans="1:14" x14ac:dyDescent="0.3">
      <c r="A271" t="s">
        <v>129</v>
      </c>
      <c r="B271" t="s">
        <v>134</v>
      </c>
      <c r="C271" t="s">
        <v>24</v>
      </c>
      <c r="D271">
        <v>88</v>
      </c>
      <c r="E271" s="7">
        <f>Clients_Churn_Part[[#This Row],[Anciennete_Mois]]/12</f>
        <v>7.333333333333333</v>
      </c>
      <c r="F271" t="s">
        <v>21</v>
      </c>
      <c r="G271" t="str">
        <f>IF(Clients_Churn_Part[[#This Row],[Type_Forfait]]="pro Monde","B2B","B2C")</f>
        <v>B2C</v>
      </c>
      <c r="H271">
        <v>319</v>
      </c>
      <c r="I271" s="2">
        <f>Clients_Churn_Part[[#This Row],[Duree_Cumulee_Panne_Min]]/60</f>
        <v>5.3166666666666664</v>
      </c>
      <c r="J271">
        <v>56.18</v>
      </c>
      <c r="K271">
        <v>0</v>
      </c>
      <c r="L27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71">
        <f>Clients_Churn_Part[[#This Row],[Facture_Mensuelle]]*Clients_Churn_Part[[#This Row],[Remise]]</f>
        <v>39.326000000000001</v>
      </c>
      <c r="N27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72" spans="1:14" x14ac:dyDescent="0.3">
      <c r="A272" t="s">
        <v>538</v>
      </c>
      <c r="B272" t="s">
        <v>587</v>
      </c>
      <c r="C272" t="s">
        <v>54</v>
      </c>
      <c r="D272">
        <v>81</v>
      </c>
      <c r="E272" s="7">
        <f>Clients_Churn_Part[[#This Row],[Anciennete_Mois]]/12</f>
        <v>6.75</v>
      </c>
      <c r="F272" t="s">
        <v>21</v>
      </c>
      <c r="G272" t="str">
        <f>IF(Clients_Churn_Part[[#This Row],[Type_Forfait]]="pro Monde","B2B","B2C")</f>
        <v>B2C</v>
      </c>
      <c r="H272">
        <v>64</v>
      </c>
      <c r="I272" s="2">
        <f>Clients_Churn_Part[[#This Row],[Duree_Cumulee_Panne_Min]]/60</f>
        <v>1.0666666666666667</v>
      </c>
      <c r="J272">
        <v>43.45</v>
      </c>
      <c r="K272">
        <v>2</v>
      </c>
      <c r="L27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72">
        <f>Clients_Churn_Part[[#This Row],[Facture_Mensuelle]]*Clients_Churn_Part[[#This Row],[Remise]]</f>
        <v>30.414999999999999</v>
      </c>
      <c r="N27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73" spans="1:14" x14ac:dyDescent="0.3">
      <c r="A273" t="s">
        <v>538</v>
      </c>
      <c r="B273" t="s">
        <v>548</v>
      </c>
      <c r="C273" t="s">
        <v>20</v>
      </c>
      <c r="D273">
        <v>74</v>
      </c>
      <c r="E273" s="7">
        <f>Clients_Churn_Part[[#This Row],[Anciennete_Mois]]/12</f>
        <v>6.166666666666667</v>
      </c>
      <c r="F273" t="s">
        <v>21</v>
      </c>
      <c r="G273" t="str">
        <f>IF(Clients_Churn_Part[[#This Row],[Type_Forfait]]="pro Monde","B2B","B2C")</f>
        <v>B2C</v>
      </c>
      <c r="H273">
        <v>16</v>
      </c>
      <c r="I273" s="2">
        <f>Clients_Churn_Part[[#This Row],[Duree_Cumulee_Panne_Min]]/60</f>
        <v>0.26666666666666666</v>
      </c>
      <c r="J273">
        <v>93.01</v>
      </c>
      <c r="K273">
        <v>3</v>
      </c>
      <c r="L27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273">
        <f>Clients_Churn_Part[[#This Row],[Facture_Mensuelle]]*Clients_Churn_Part[[#This Row],[Remise]]</f>
        <v>41.854500000000002</v>
      </c>
      <c r="N27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74" spans="1:14" x14ac:dyDescent="0.3">
      <c r="A274" t="s">
        <v>538</v>
      </c>
      <c r="B274" t="s">
        <v>577</v>
      </c>
      <c r="C274" t="s">
        <v>23</v>
      </c>
      <c r="D274">
        <v>108</v>
      </c>
      <c r="E274" s="7">
        <f>Clients_Churn_Part[[#This Row],[Anciennete_Mois]]/12</f>
        <v>9</v>
      </c>
      <c r="F274" t="s">
        <v>18</v>
      </c>
      <c r="G274" t="str">
        <f>IF(Clients_Churn_Part[[#This Row],[Type_Forfait]]="pro Monde","B2B","B2C")</f>
        <v>B2C</v>
      </c>
      <c r="H274">
        <v>460</v>
      </c>
      <c r="I274" s="2">
        <f>Clients_Churn_Part[[#This Row],[Duree_Cumulee_Panne_Min]]/60</f>
        <v>7.666666666666667</v>
      </c>
      <c r="J274">
        <v>88.95</v>
      </c>
      <c r="K274">
        <v>3</v>
      </c>
      <c r="L27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74">
        <f>Clients_Churn_Part[[#This Row],[Facture_Mensuelle]]*Clients_Churn_Part[[#This Row],[Remise]]</f>
        <v>62.265000000000001</v>
      </c>
      <c r="N27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75" spans="1:14" x14ac:dyDescent="0.3">
      <c r="A275" t="s">
        <v>267</v>
      </c>
      <c r="B275" t="s">
        <v>293</v>
      </c>
      <c r="C275" t="s">
        <v>33</v>
      </c>
      <c r="D275">
        <v>91</v>
      </c>
      <c r="E275" s="7">
        <f>Clients_Churn_Part[[#This Row],[Anciennete_Mois]]/12</f>
        <v>7.583333333333333</v>
      </c>
      <c r="F275" t="s">
        <v>21</v>
      </c>
      <c r="G275" t="str">
        <f>IF(Clients_Churn_Part[[#This Row],[Type_Forfait]]="pro Monde","B2B","B2C")</f>
        <v>B2C</v>
      </c>
      <c r="H275">
        <v>63</v>
      </c>
      <c r="I275" s="2">
        <f>Clients_Churn_Part[[#This Row],[Duree_Cumulee_Panne_Min]]/60</f>
        <v>1.05</v>
      </c>
      <c r="J275">
        <v>57.76</v>
      </c>
      <c r="K275">
        <v>5</v>
      </c>
      <c r="L27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75">
        <f>Clients_Churn_Part[[#This Row],[Facture_Mensuelle]]*Clients_Churn_Part[[#This Row],[Remise]]</f>
        <v>40.431999999999995</v>
      </c>
      <c r="N27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76" spans="1:14" x14ac:dyDescent="0.3">
      <c r="A276" t="s">
        <v>405</v>
      </c>
      <c r="B276" t="s">
        <v>407</v>
      </c>
      <c r="C276" t="s">
        <v>62</v>
      </c>
      <c r="D276">
        <v>7</v>
      </c>
      <c r="E276" s="7">
        <f>Clients_Churn_Part[[#This Row],[Anciennete_Mois]]/12</f>
        <v>0.58333333333333337</v>
      </c>
      <c r="F276" t="s">
        <v>21</v>
      </c>
      <c r="G276" t="str">
        <f>IF(Clients_Churn_Part[[#This Row],[Type_Forfait]]="pro Monde","B2B","B2C")</f>
        <v>B2C</v>
      </c>
      <c r="H276">
        <v>94</v>
      </c>
      <c r="I276" s="2">
        <f>Clients_Churn_Part[[#This Row],[Duree_Cumulee_Panne_Min]]/60</f>
        <v>1.5666666666666667</v>
      </c>
      <c r="J276">
        <v>68.38</v>
      </c>
      <c r="K276">
        <v>3</v>
      </c>
      <c r="L27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76">
        <f>Clients_Churn_Part[[#This Row],[Facture_Mensuelle]]*Clients_Churn_Part[[#This Row],[Remise]]</f>
        <v>0</v>
      </c>
      <c r="N27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77" spans="1:14" x14ac:dyDescent="0.3">
      <c r="A277" t="s">
        <v>314</v>
      </c>
      <c r="B277" t="s">
        <v>322</v>
      </c>
      <c r="C277" t="s">
        <v>83</v>
      </c>
      <c r="D277">
        <v>47</v>
      </c>
      <c r="E277" s="7">
        <f>Clients_Churn_Part[[#This Row],[Anciennete_Mois]]/12</f>
        <v>3.9166666666666665</v>
      </c>
      <c r="F277" t="s">
        <v>10</v>
      </c>
      <c r="G277" t="str">
        <f>IF(Clients_Churn_Part[[#This Row],[Type_Forfait]]="pro Monde","B2B","B2C")</f>
        <v>B2C</v>
      </c>
      <c r="H277">
        <v>49</v>
      </c>
      <c r="I277" s="2">
        <f>Clients_Churn_Part[[#This Row],[Duree_Cumulee_Panne_Min]]/60</f>
        <v>0.81666666666666665</v>
      </c>
      <c r="J277">
        <v>55.88</v>
      </c>
      <c r="K277">
        <v>3</v>
      </c>
      <c r="L27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277">
        <f>Clients_Churn_Part[[#This Row],[Facture_Mensuelle]]*Clients_Churn_Part[[#This Row],[Remise]]</f>
        <v>25.146000000000001</v>
      </c>
      <c r="N27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78" spans="1:14" x14ac:dyDescent="0.3">
      <c r="A278" t="s">
        <v>682</v>
      </c>
      <c r="B278" t="s">
        <v>684</v>
      </c>
      <c r="C278" t="s">
        <v>122</v>
      </c>
      <c r="D278">
        <v>54</v>
      </c>
      <c r="E278" s="7">
        <f>Clients_Churn_Part[[#This Row],[Anciennete_Mois]]/12</f>
        <v>4.5</v>
      </c>
      <c r="F278" t="s">
        <v>21</v>
      </c>
      <c r="G278" t="str">
        <f>IF(Clients_Churn_Part[[#This Row],[Type_Forfait]]="pro Monde","B2B","B2C")</f>
        <v>B2C</v>
      </c>
      <c r="H278">
        <v>215</v>
      </c>
      <c r="I278" s="2">
        <f>Clients_Churn_Part[[#This Row],[Duree_Cumulee_Panne_Min]]/60</f>
        <v>3.5833333333333335</v>
      </c>
      <c r="J278">
        <v>54.69</v>
      </c>
      <c r="K278">
        <v>0</v>
      </c>
      <c r="L27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78">
        <f>Clients_Churn_Part[[#This Row],[Facture_Mensuelle]]*Clients_Churn_Part[[#This Row],[Remise]]</f>
        <v>0</v>
      </c>
      <c r="N27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79" spans="1:14" x14ac:dyDescent="0.3">
      <c r="A279" t="s">
        <v>494</v>
      </c>
      <c r="B279" t="s">
        <v>524</v>
      </c>
      <c r="C279" t="s">
        <v>15</v>
      </c>
      <c r="D279">
        <v>80</v>
      </c>
      <c r="E279" s="7">
        <f>Clients_Churn_Part[[#This Row],[Anciennete_Mois]]/12</f>
        <v>6.666666666666667</v>
      </c>
      <c r="F279" t="s">
        <v>13</v>
      </c>
      <c r="G279" t="str">
        <f>IF(Clients_Churn_Part[[#This Row],[Type_Forfait]]="pro Monde","B2B","B2C")</f>
        <v>B2B</v>
      </c>
      <c r="H279">
        <v>458</v>
      </c>
      <c r="I279" s="2">
        <f>Clients_Churn_Part[[#This Row],[Duree_Cumulee_Panne_Min]]/60</f>
        <v>7.6333333333333337</v>
      </c>
      <c r="J279">
        <v>98.11</v>
      </c>
      <c r="K279">
        <v>0</v>
      </c>
      <c r="L27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79">
        <f>Clients_Churn_Part[[#This Row],[Facture_Mensuelle]]*Clients_Churn_Part[[#This Row],[Remise]]</f>
        <v>68.676999999999992</v>
      </c>
      <c r="N27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80" spans="1:14" x14ac:dyDescent="0.3">
      <c r="A280" t="s">
        <v>360</v>
      </c>
      <c r="B280" t="s">
        <v>396</v>
      </c>
      <c r="C280" t="s">
        <v>62</v>
      </c>
      <c r="D280">
        <v>115</v>
      </c>
      <c r="E280" s="7">
        <f>Clients_Churn_Part[[#This Row],[Anciennete_Mois]]/12</f>
        <v>9.5833333333333339</v>
      </c>
      <c r="F280" t="s">
        <v>21</v>
      </c>
      <c r="G280" t="str">
        <f>IF(Clients_Churn_Part[[#This Row],[Type_Forfait]]="pro Monde","B2B","B2C")</f>
        <v>B2C</v>
      </c>
      <c r="H280">
        <v>467</v>
      </c>
      <c r="I280" s="2">
        <f>Clients_Churn_Part[[#This Row],[Duree_Cumulee_Panne_Min]]/60</f>
        <v>7.7833333333333332</v>
      </c>
      <c r="J280">
        <v>24.57</v>
      </c>
      <c r="K280">
        <v>3</v>
      </c>
      <c r="L28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80">
        <f>Clients_Churn_Part[[#This Row],[Facture_Mensuelle]]*Clients_Churn_Part[[#This Row],[Remise]]</f>
        <v>17.198999999999998</v>
      </c>
      <c r="N28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81" spans="1:14" x14ac:dyDescent="0.3">
      <c r="A281" t="s">
        <v>538</v>
      </c>
      <c r="B281" t="s">
        <v>546</v>
      </c>
      <c r="C281" t="s">
        <v>24</v>
      </c>
      <c r="D281">
        <v>103</v>
      </c>
      <c r="E281" s="7">
        <f>Clients_Churn_Part[[#This Row],[Anciennete_Mois]]/12</f>
        <v>8.5833333333333339</v>
      </c>
      <c r="F281" t="s">
        <v>10</v>
      </c>
      <c r="G281" t="str">
        <f>IF(Clients_Churn_Part[[#This Row],[Type_Forfait]]="pro Monde","B2B","B2C")</f>
        <v>B2C</v>
      </c>
      <c r="H281">
        <v>310</v>
      </c>
      <c r="I281" s="2">
        <f>Clients_Churn_Part[[#This Row],[Duree_Cumulee_Panne_Min]]/60</f>
        <v>5.166666666666667</v>
      </c>
      <c r="J281">
        <v>49.25</v>
      </c>
      <c r="K281">
        <v>2</v>
      </c>
      <c r="L28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81">
        <f>Clients_Churn_Part[[#This Row],[Facture_Mensuelle]]*Clients_Churn_Part[[#This Row],[Remise]]</f>
        <v>34.474999999999994</v>
      </c>
      <c r="N28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82" spans="1:14" x14ac:dyDescent="0.3">
      <c r="A282" t="s">
        <v>405</v>
      </c>
      <c r="B282" t="s">
        <v>414</v>
      </c>
      <c r="C282" t="s">
        <v>23</v>
      </c>
      <c r="D282">
        <v>54</v>
      </c>
      <c r="E282" s="7">
        <f>Clients_Churn_Part[[#This Row],[Anciennete_Mois]]/12</f>
        <v>4.5</v>
      </c>
      <c r="F282" t="s">
        <v>18</v>
      </c>
      <c r="G282" t="str">
        <f>IF(Clients_Churn_Part[[#This Row],[Type_Forfait]]="pro Monde","B2B","B2C")</f>
        <v>B2C</v>
      </c>
      <c r="H282">
        <v>450</v>
      </c>
      <c r="I282" s="2">
        <f>Clients_Churn_Part[[#This Row],[Duree_Cumulee_Panne_Min]]/60</f>
        <v>7.5</v>
      </c>
      <c r="J282">
        <v>90.85</v>
      </c>
      <c r="K282">
        <v>1</v>
      </c>
      <c r="L28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82">
        <f>Clients_Churn_Part[[#This Row],[Facture_Mensuelle]]*Clients_Churn_Part[[#This Row],[Remise]]</f>
        <v>0</v>
      </c>
      <c r="N28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83" spans="1:14" x14ac:dyDescent="0.3">
      <c r="A283" t="s">
        <v>8</v>
      </c>
      <c r="B283" t="s">
        <v>11</v>
      </c>
      <c r="C283" t="s">
        <v>12</v>
      </c>
      <c r="D283">
        <v>63</v>
      </c>
      <c r="E283" s="7">
        <f>Clients_Churn_Part[[#This Row],[Anciennete_Mois]]/12</f>
        <v>5.25</v>
      </c>
      <c r="F283" t="s">
        <v>13</v>
      </c>
      <c r="G283" t="str">
        <f>IF(Clients_Churn_Part[[#This Row],[Type_Forfait]]="pro Monde","B2B","B2C")</f>
        <v>B2B</v>
      </c>
      <c r="H283">
        <v>205</v>
      </c>
      <c r="I283" s="2">
        <f>Clients_Churn_Part[[#This Row],[Duree_Cumulee_Panne_Min]]/60</f>
        <v>3.4166666666666665</v>
      </c>
      <c r="J283">
        <v>89.19</v>
      </c>
      <c r="K283">
        <v>0</v>
      </c>
      <c r="L28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83">
        <f>Clients_Churn_Part[[#This Row],[Facture_Mensuelle]]*Clients_Churn_Part[[#This Row],[Remise]]</f>
        <v>62.432999999999993</v>
      </c>
      <c r="N28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84" spans="1:14" x14ac:dyDescent="0.3">
      <c r="A284" t="s">
        <v>538</v>
      </c>
      <c r="B284" t="s">
        <v>567</v>
      </c>
      <c r="C284" t="s">
        <v>23</v>
      </c>
      <c r="D284">
        <v>16</v>
      </c>
      <c r="E284" s="7">
        <f>Clients_Churn_Part[[#This Row],[Anciennete_Mois]]/12</f>
        <v>1.3333333333333333</v>
      </c>
      <c r="F284" t="s">
        <v>10</v>
      </c>
      <c r="G284" t="str">
        <f>IF(Clients_Churn_Part[[#This Row],[Type_Forfait]]="pro Monde","B2B","B2C")</f>
        <v>B2C</v>
      </c>
      <c r="H284">
        <v>274</v>
      </c>
      <c r="I284" s="2">
        <f>Clients_Churn_Part[[#This Row],[Duree_Cumulee_Panne_Min]]/60</f>
        <v>4.5666666666666664</v>
      </c>
      <c r="J284">
        <v>27.97</v>
      </c>
      <c r="K284">
        <v>4</v>
      </c>
      <c r="L28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284">
        <f>Clients_Churn_Part[[#This Row],[Facture_Mensuelle]]*Clients_Churn_Part[[#This Row],[Remise]]</f>
        <v>12.586499999999999</v>
      </c>
      <c r="N28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85" spans="1:14" x14ac:dyDescent="0.3">
      <c r="A285" t="s">
        <v>682</v>
      </c>
      <c r="B285" t="s">
        <v>717</v>
      </c>
      <c r="C285" t="s">
        <v>126</v>
      </c>
      <c r="D285">
        <v>95</v>
      </c>
      <c r="E285" s="7">
        <f>Clients_Churn_Part[[#This Row],[Anciennete_Mois]]/12</f>
        <v>7.916666666666667</v>
      </c>
      <c r="F285" t="s">
        <v>10</v>
      </c>
      <c r="G285" t="str">
        <f>IF(Clients_Churn_Part[[#This Row],[Type_Forfait]]="pro Monde","B2B","B2C")</f>
        <v>B2C</v>
      </c>
      <c r="H285">
        <v>313</v>
      </c>
      <c r="I285" s="2">
        <f>Clients_Churn_Part[[#This Row],[Duree_Cumulee_Panne_Min]]/60</f>
        <v>5.2166666666666668</v>
      </c>
      <c r="J285">
        <v>32.49</v>
      </c>
      <c r="K285">
        <v>1</v>
      </c>
      <c r="L28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85">
        <f>Clients_Churn_Part[[#This Row],[Facture_Mensuelle]]*Clients_Churn_Part[[#This Row],[Remise]]</f>
        <v>22.742999999999999</v>
      </c>
      <c r="N28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86" spans="1:14" x14ac:dyDescent="0.3">
      <c r="A286" t="s">
        <v>174</v>
      </c>
      <c r="B286" t="s">
        <v>185</v>
      </c>
      <c r="C286" t="s">
        <v>35</v>
      </c>
      <c r="D286">
        <v>48</v>
      </c>
      <c r="E286" s="7">
        <f>Clients_Churn_Part[[#This Row],[Anciennete_Mois]]/12</f>
        <v>4</v>
      </c>
      <c r="F286" t="s">
        <v>13</v>
      </c>
      <c r="G286" t="str">
        <f>IF(Clients_Churn_Part[[#This Row],[Type_Forfait]]="pro Monde","B2B","B2C")</f>
        <v>B2B</v>
      </c>
      <c r="H286">
        <v>76</v>
      </c>
      <c r="I286" s="2">
        <f>Clients_Churn_Part[[#This Row],[Duree_Cumulee_Panne_Min]]/60</f>
        <v>1.2666666666666666</v>
      </c>
      <c r="J286">
        <v>39.35</v>
      </c>
      <c r="K286">
        <v>2</v>
      </c>
      <c r="L28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286">
        <f>Clients_Churn_Part[[#This Row],[Facture_Mensuelle]]*Clients_Churn_Part[[#This Row],[Remise]]</f>
        <v>3.9350000000000005</v>
      </c>
      <c r="N28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87" spans="1:14" x14ac:dyDescent="0.3">
      <c r="A287" t="s">
        <v>79</v>
      </c>
      <c r="B287" t="s">
        <v>120</v>
      </c>
      <c r="C287" t="s">
        <v>23</v>
      </c>
      <c r="D287">
        <v>83</v>
      </c>
      <c r="E287" s="7">
        <f>Clients_Churn_Part[[#This Row],[Anciennete_Mois]]/12</f>
        <v>6.916666666666667</v>
      </c>
      <c r="F287" t="s">
        <v>18</v>
      </c>
      <c r="G287" t="str">
        <f>IF(Clients_Churn_Part[[#This Row],[Type_Forfait]]="pro Monde","B2B","B2C")</f>
        <v>B2C</v>
      </c>
      <c r="H287">
        <v>126</v>
      </c>
      <c r="I287" s="2">
        <f>Clients_Churn_Part[[#This Row],[Duree_Cumulee_Panne_Min]]/60</f>
        <v>2.1</v>
      </c>
      <c r="J287">
        <v>67.17</v>
      </c>
      <c r="K287">
        <v>1</v>
      </c>
      <c r="L28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87">
        <f>Clients_Churn_Part[[#This Row],[Facture_Mensuelle]]*Clients_Churn_Part[[#This Row],[Remise]]</f>
        <v>47.018999999999998</v>
      </c>
      <c r="N28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88" spans="1:14" x14ac:dyDescent="0.3">
      <c r="A288" t="s">
        <v>405</v>
      </c>
      <c r="B288" t="s">
        <v>424</v>
      </c>
      <c r="C288" t="s">
        <v>15</v>
      </c>
      <c r="D288">
        <v>96</v>
      </c>
      <c r="E288" s="7">
        <f>Clients_Churn_Part[[#This Row],[Anciennete_Mois]]/12</f>
        <v>8</v>
      </c>
      <c r="F288" t="s">
        <v>21</v>
      </c>
      <c r="G288" t="str">
        <f>IF(Clients_Churn_Part[[#This Row],[Type_Forfait]]="pro Monde","B2B","B2C")</f>
        <v>B2C</v>
      </c>
      <c r="H288">
        <v>155</v>
      </c>
      <c r="I288" s="2">
        <f>Clients_Churn_Part[[#This Row],[Duree_Cumulee_Panne_Min]]/60</f>
        <v>2.5833333333333335</v>
      </c>
      <c r="J288">
        <v>69.16</v>
      </c>
      <c r="K288">
        <v>4</v>
      </c>
      <c r="L28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88">
        <f>Clients_Churn_Part[[#This Row],[Facture_Mensuelle]]*Clients_Churn_Part[[#This Row],[Remise]]</f>
        <v>48.411999999999992</v>
      </c>
      <c r="N28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89" spans="1:14" x14ac:dyDescent="0.3">
      <c r="A289" t="s">
        <v>405</v>
      </c>
      <c r="B289" t="s">
        <v>440</v>
      </c>
      <c r="C289" t="s">
        <v>122</v>
      </c>
      <c r="D289">
        <v>13</v>
      </c>
      <c r="E289" s="7">
        <f>Clients_Churn_Part[[#This Row],[Anciennete_Mois]]/12</f>
        <v>1.0833333333333333</v>
      </c>
      <c r="F289" t="s">
        <v>21</v>
      </c>
      <c r="G289" t="str">
        <f>IF(Clients_Churn_Part[[#This Row],[Type_Forfait]]="pro Monde","B2B","B2C")</f>
        <v>B2C</v>
      </c>
      <c r="H289">
        <v>482</v>
      </c>
      <c r="I289" s="2">
        <f>Clients_Churn_Part[[#This Row],[Duree_Cumulee_Panne_Min]]/60</f>
        <v>8.0333333333333332</v>
      </c>
      <c r="J289">
        <v>50.15</v>
      </c>
      <c r="K289">
        <v>0</v>
      </c>
      <c r="L28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89">
        <f>Clients_Churn_Part[[#This Row],[Facture_Mensuelle]]*Clients_Churn_Part[[#This Row],[Remise]]</f>
        <v>0</v>
      </c>
      <c r="N28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90" spans="1:14" x14ac:dyDescent="0.3">
      <c r="A290" t="s">
        <v>129</v>
      </c>
      <c r="B290" t="s">
        <v>171</v>
      </c>
      <c r="C290" t="s">
        <v>12</v>
      </c>
      <c r="D290">
        <v>4</v>
      </c>
      <c r="E290" s="7">
        <f>Clients_Churn_Part[[#This Row],[Anciennete_Mois]]/12</f>
        <v>0.33333333333333331</v>
      </c>
      <c r="F290" t="s">
        <v>18</v>
      </c>
      <c r="G290" t="str">
        <f>IF(Clients_Churn_Part[[#This Row],[Type_Forfait]]="pro Monde","B2B","B2C")</f>
        <v>B2C</v>
      </c>
      <c r="H290">
        <v>227</v>
      </c>
      <c r="I290" s="2">
        <f>Clients_Churn_Part[[#This Row],[Duree_Cumulee_Panne_Min]]/60</f>
        <v>3.7833333333333332</v>
      </c>
      <c r="J290">
        <v>83.32</v>
      </c>
      <c r="K290">
        <v>2</v>
      </c>
      <c r="L29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90">
        <f>Clients_Churn_Part[[#This Row],[Facture_Mensuelle]]*Clients_Churn_Part[[#This Row],[Remise]]</f>
        <v>0</v>
      </c>
      <c r="N29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91" spans="1:14" x14ac:dyDescent="0.3">
      <c r="A291" t="s">
        <v>220</v>
      </c>
      <c r="B291" t="s">
        <v>232</v>
      </c>
      <c r="C291" t="s">
        <v>118</v>
      </c>
      <c r="D291">
        <v>49</v>
      </c>
      <c r="E291" s="7">
        <f>Clients_Churn_Part[[#This Row],[Anciennete_Mois]]/12</f>
        <v>4.083333333333333</v>
      </c>
      <c r="F291" t="s">
        <v>21</v>
      </c>
      <c r="G291" t="str">
        <f>IF(Clients_Churn_Part[[#This Row],[Type_Forfait]]="pro Monde","B2B","B2C")</f>
        <v>B2C</v>
      </c>
      <c r="H291">
        <v>6</v>
      </c>
      <c r="I291" s="2">
        <f>Clients_Churn_Part[[#This Row],[Duree_Cumulee_Panne_Min]]/60</f>
        <v>0.1</v>
      </c>
      <c r="J291">
        <v>44.41</v>
      </c>
      <c r="K291">
        <v>3</v>
      </c>
      <c r="L29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91">
        <f>Clients_Churn_Part[[#This Row],[Facture_Mensuelle]]*Clients_Churn_Part[[#This Row],[Remise]]</f>
        <v>0</v>
      </c>
      <c r="N29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92" spans="1:14" x14ac:dyDescent="0.3">
      <c r="A292" t="s">
        <v>637</v>
      </c>
      <c r="B292" t="s">
        <v>669</v>
      </c>
      <c r="C292" t="s">
        <v>9</v>
      </c>
      <c r="D292">
        <v>37</v>
      </c>
      <c r="E292" s="7">
        <f>Clients_Churn_Part[[#This Row],[Anciennete_Mois]]/12</f>
        <v>3.0833333333333335</v>
      </c>
      <c r="F292" t="s">
        <v>10</v>
      </c>
      <c r="G292" t="str">
        <f>IF(Clients_Churn_Part[[#This Row],[Type_Forfait]]="pro Monde","B2B","B2C")</f>
        <v>B2C</v>
      </c>
      <c r="H292">
        <v>420</v>
      </c>
      <c r="I292" s="2">
        <f>Clients_Churn_Part[[#This Row],[Duree_Cumulee_Panne_Min]]/60</f>
        <v>7</v>
      </c>
      <c r="J292">
        <v>67.260000000000005</v>
      </c>
      <c r="K292">
        <v>4</v>
      </c>
      <c r="L29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292">
        <f>Clients_Churn_Part[[#This Row],[Facture_Mensuelle]]*Clients_Churn_Part[[#This Row],[Remise]]</f>
        <v>30.267000000000003</v>
      </c>
      <c r="N29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93" spans="1:14" x14ac:dyDescent="0.3">
      <c r="A293" t="s">
        <v>637</v>
      </c>
      <c r="B293" t="s">
        <v>673</v>
      </c>
      <c r="C293" t="s">
        <v>23</v>
      </c>
      <c r="D293">
        <v>86</v>
      </c>
      <c r="E293" s="7">
        <f>Clients_Churn_Part[[#This Row],[Anciennete_Mois]]/12</f>
        <v>7.166666666666667</v>
      </c>
      <c r="F293" t="s">
        <v>13</v>
      </c>
      <c r="G293" t="str">
        <f>IF(Clients_Churn_Part[[#This Row],[Type_Forfait]]="pro Monde","B2B","B2C")</f>
        <v>B2B</v>
      </c>
      <c r="H293">
        <v>353</v>
      </c>
      <c r="I293" s="2">
        <f>Clients_Churn_Part[[#This Row],[Duree_Cumulee_Panne_Min]]/60</f>
        <v>5.8833333333333337</v>
      </c>
      <c r="J293">
        <v>25.37</v>
      </c>
      <c r="K293">
        <v>1</v>
      </c>
      <c r="L29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93">
        <f>Clients_Churn_Part[[#This Row],[Facture_Mensuelle]]*Clients_Churn_Part[[#This Row],[Remise]]</f>
        <v>17.759</v>
      </c>
      <c r="N29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94" spans="1:14" x14ac:dyDescent="0.3">
      <c r="A294" t="s">
        <v>589</v>
      </c>
      <c r="B294" t="s">
        <v>614</v>
      </c>
      <c r="C294" t="s">
        <v>72</v>
      </c>
      <c r="D294">
        <v>101</v>
      </c>
      <c r="E294" s="7">
        <f>Clients_Churn_Part[[#This Row],[Anciennete_Mois]]/12</f>
        <v>8.4166666666666661</v>
      </c>
      <c r="F294" t="s">
        <v>13</v>
      </c>
      <c r="G294" t="str">
        <f>IF(Clients_Churn_Part[[#This Row],[Type_Forfait]]="pro Monde","B2B","B2C")</f>
        <v>B2B</v>
      </c>
      <c r="H294">
        <v>108</v>
      </c>
      <c r="I294" s="2">
        <f>Clients_Churn_Part[[#This Row],[Duree_Cumulee_Panne_Min]]/60</f>
        <v>1.8</v>
      </c>
      <c r="J294">
        <v>76.05</v>
      </c>
      <c r="K294">
        <v>3</v>
      </c>
      <c r="L29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94">
        <f>Clients_Churn_Part[[#This Row],[Facture_Mensuelle]]*Clients_Churn_Part[[#This Row],[Remise]]</f>
        <v>53.234999999999992</v>
      </c>
      <c r="N29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95" spans="1:14" x14ac:dyDescent="0.3">
      <c r="A295" t="s">
        <v>314</v>
      </c>
      <c r="B295" t="s">
        <v>339</v>
      </c>
      <c r="C295" t="s">
        <v>54</v>
      </c>
      <c r="D295">
        <v>105</v>
      </c>
      <c r="E295" s="7">
        <f>Clients_Churn_Part[[#This Row],[Anciennete_Mois]]/12</f>
        <v>8.75</v>
      </c>
      <c r="F295" t="s">
        <v>10</v>
      </c>
      <c r="G295" t="str">
        <f>IF(Clients_Churn_Part[[#This Row],[Type_Forfait]]="pro Monde","B2B","B2C")</f>
        <v>B2C</v>
      </c>
      <c r="H295">
        <v>17</v>
      </c>
      <c r="I295" s="2">
        <f>Clients_Churn_Part[[#This Row],[Duree_Cumulee_Panne_Min]]/60</f>
        <v>0.28333333333333333</v>
      </c>
      <c r="J295">
        <v>60.05</v>
      </c>
      <c r="K295">
        <v>4</v>
      </c>
      <c r="L29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295">
        <f>Clients_Churn_Part[[#This Row],[Facture_Mensuelle]]*Clients_Churn_Part[[#This Row],[Remise]]</f>
        <v>27.022500000000001</v>
      </c>
      <c r="N29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96" spans="1:14" x14ac:dyDescent="0.3">
      <c r="A296" t="s">
        <v>220</v>
      </c>
      <c r="B296" t="s">
        <v>258</v>
      </c>
      <c r="C296" t="s">
        <v>37</v>
      </c>
      <c r="D296">
        <v>61</v>
      </c>
      <c r="E296" s="7">
        <f>Clients_Churn_Part[[#This Row],[Anciennete_Mois]]/12</f>
        <v>5.083333333333333</v>
      </c>
      <c r="F296" t="s">
        <v>21</v>
      </c>
      <c r="G296" t="str">
        <f>IF(Clients_Churn_Part[[#This Row],[Type_Forfait]]="pro Monde","B2B","B2C")</f>
        <v>B2C</v>
      </c>
      <c r="H296">
        <v>87</v>
      </c>
      <c r="I296" s="2">
        <f>Clients_Churn_Part[[#This Row],[Duree_Cumulee_Panne_Min]]/60</f>
        <v>1.45</v>
      </c>
      <c r="J296">
        <v>68.319999999999993</v>
      </c>
      <c r="K296">
        <v>2</v>
      </c>
      <c r="L29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96">
        <f>Clients_Churn_Part[[#This Row],[Facture_Mensuelle]]*Clients_Churn_Part[[#This Row],[Remise]]</f>
        <v>47.823999999999991</v>
      </c>
      <c r="N29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97" spans="1:14" x14ac:dyDescent="0.3">
      <c r="A297" t="s">
        <v>452</v>
      </c>
      <c r="B297" t="s">
        <v>493</v>
      </c>
      <c r="C297" t="s">
        <v>68</v>
      </c>
      <c r="D297">
        <v>94</v>
      </c>
      <c r="E297" s="7">
        <f>Clients_Churn_Part[[#This Row],[Anciennete_Mois]]/12</f>
        <v>7.833333333333333</v>
      </c>
      <c r="F297" t="s">
        <v>21</v>
      </c>
      <c r="G297" t="str">
        <f>IF(Clients_Churn_Part[[#This Row],[Type_Forfait]]="pro Monde","B2B","B2C")</f>
        <v>B2C</v>
      </c>
      <c r="H297">
        <v>6</v>
      </c>
      <c r="I297" s="2">
        <f>Clients_Churn_Part[[#This Row],[Duree_Cumulee_Panne_Min]]/60</f>
        <v>0.1</v>
      </c>
      <c r="J297">
        <v>67.459999999999994</v>
      </c>
      <c r="K297">
        <v>5</v>
      </c>
      <c r="L29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297">
        <f>Clients_Churn_Part[[#This Row],[Facture_Mensuelle]]*Clients_Churn_Part[[#This Row],[Remise]]</f>
        <v>0</v>
      </c>
      <c r="N29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98" spans="1:14" x14ac:dyDescent="0.3">
      <c r="A298" t="s">
        <v>220</v>
      </c>
      <c r="B298" t="s">
        <v>223</v>
      </c>
      <c r="C298" t="s">
        <v>29</v>
      </c>
      <c r="D298">
        <v>6</v>
      </c>
      <c r="E298" s="7">
        <f>Clients_Churn_Part[[#This Row],[Anciennete_Mois]]/12</f>
        <v>0.5</v>
      </c>
      <c r="F298" t="s">
        <v>13</v>
      </c>
      <c r="G298" t="str">
        <f>IF(Clients_Churn_Part[[#This Row],[Type_Forfait]]="pro Monde","B2B","B2C")</f>
        <v>B2B</v>
      </c>
      <c r="H298">
        <v>109</v>
      </c>
      <c r="I298" s="2">
        <f>Clients_Churn_Part[[#This Row],[Duree_Cumulee_Panne_Min]]/60</f>
        <v>1.8166666666666667</v>
      </c>
      <c r="J298">
        <v>39.880000000000003</v>
      </c>
      <c r="K298">
        <v>4</v>
      </c>
      <c r="L29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298">
        <f>Clients_Churn_Part[[#This Row],[Facture_Mensuelle]]*Clients_Churn_Part[[#This Row],[Remise]]</f>
        <v>3.9880000000000004</v>
      </c>
      <c r="N29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299" spans="1:14" x14ac:dyDescent="0.3">
      <c r="A299" t="s">
        <v>267</v>
      </c>
      <c r="B299" t="s">
        <v>305</v>
      </c>
      <c r="C299" t="s">
        <v>61</v>
      </c>
      <c r="D299">
        <v>62</v>
      </c>
      <c r="E299" s="7">
        <f>Clients_Churn_Part[[#This Row],[Anciennete_Mois]]/12</f>
        <v>5.166666666666667</v>
      </c>
      <c r="F299" t="s">
        <v>21</v>
      </c>
      <c r="G299" t="str">
        <f>IF(Clients_Churn_Part[[#This Row],[Type_Forfait]]="pro Monde","B2B","B2C")</f>
        <v>B2C</v>
      </c>
      <c r="H299">
        <v>136</v>
      </c>
      <c r="I299" s="2">
        <f>Clients_Churn_Part[[#This Row],[Duree_Cumulee_Panne_Min]]/60</f>
        <v>2.2666666666666666</v>
      </c>
      <c r="J299">
        <v>88.61</v>
      </c>
      <c r="K299">
        <v>2</v>
      </c>
      <c r="L29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299">
        <f>Clients_Churn_Part[[#This Row],[Facture_Mensuelle]]*Clients_Churn_Part[[#This Row],[Remise]]</f>
        <v>62.026999999999994</v>
      </c>
      <c r="N29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00" spans="1:14" x14ac:dyDescent="0.3">
      <c r="A300" t="s">
        <v>589</v>
      </c>
      <c r="B300" t="s">
        <v>612</v>
      </c>
      <c r="C300" t="s">
        <v>33</v>
      </c>
      <c r="D300">
        <v>34</v>
      </c>
      <c r="E300" s="7">
        <f>Clients_Churn_Part[[#This Row],[Anciennete_Mois]]/12</f>
        <v>2.8333333333333335</v>
      </c>
      <c r="F300" t="s">
        <v>21</v>
      </c>
      <c r="G300" t="str">
        <f>IF(Clients_Churn_Part[[#This Row],[Type_Forfait]]="pro Monde","B2B","B2C")</f>
        <v>B2C</v>
      </c>
      <c r="H300">
        <v>181</v>
      </c>
      <c r="I300" s="2">
        <f>Clients_Churn_Part[[#This Row],[Duree_Cumulee_Panne_Min]]/60</f>
        <v>3.0166666666666666</v>
      </c>
      <c r="J300">
        <v>35.92</v>
      </c>
      <c r="K300">
        <v>2</v>
      </c>
      <c r="L30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300">
        <f>Clients_Churn_Part[[#This Row],[Facture_Mensuelle]]*Clients_Churn_Part[[#This Row],[Remise]]</f>
        <v>0</v>
      </c>
      <c r="N30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01" spans="1:14" x14ac:dyDescent="0.3">
      <c r="A301" t="s">
        <v>405</v>
      </c>
      <c r="B301" t="s">
        <v>445</v>
      </c>
      <c r="C301" t="s">
        <v>15</v>
      </c>
      <c r="D301">
        <v>99</v>
      </c>
      <c r="E301" s="7">
        <f>Clients_Churn_Part[[#This Row],[Anciennete_Mois]]/12</f>
        <v>8.25</v>
      </c>
      <c r="F301" t="s">
        <v>13</v>
      </c>
      <c r="G301" t="str">
        <f>IF(Clients_Churn_Part[[#This Row],[Type_Forfait]]="pro Monde","B2B","B2C")</f>
        <v>B2B</v>
      </c>
      <c r="H301">
        <v>138</v>
      </c>
      <c r="I301" s="2">
        <f>Clients_Churn_Part[[#This Row],[Duree_Cumulee_Panne_Min]]/60</f>
        <v>2.2999999999999998</v>
      </c>
      <c r="J301">
        <v>54.64</v>
      </c>
      <c r="K301">
        <v>5</v>
      </c>
      <c r="L30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01">
        <f>Clients_Churn_Part[[#This Row],[Facture_Mensuelle]]*Clients_Churn_Part[[#This Row],[Remise]]</f>
        <v>38.247999999999998</v>
      </c>
      <c r="N30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02" spans="1:14" x14ac:dyDescent="0.3">
      <c r="A302" t="s">
        <v>314</v>
      </c>
      <c r="B302" t="s">
        <v>343</v>
      </c>
      <c r="C302" t="s">
        <v>37</v>
      </c>
      <c r="D302">
        <v>59</v>
      </c>
      <c r="E302" s="7">
        <f>Clients_Churn_Part[[#This Row],[Anciennete_Mois]]/12</f>
        <v>4.916666666666667</v>
      </c>
      <c r="F302" t="s">
        <v>10</v>
      </c>
      <c r="G302" t="str">
        <f>IF(Clients_Churn_Part[[#This Row],[Type_Forfait]]="pro Monde","B2B","B2C")</f>
        <v>B2C</v>
      </c>
      <c r="H302">
        <v>352</v>
      </c>
      <c r="I302" s="2">
        <f>Clients_Churn_Part[[#This Row],[Duree_Cumulee_Panne_Min]]/60</f>
        <v>5.8666666666666663</v>
      </c>
      <c r="J302">
        <v>74.239999999999995</v>
      </c>
      <c r="K302">
        <v>0</v>
      </c>
      <c r="L30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302">
        <f>Clients_Churn_Part[[#This Row],[Facture_Mensuelle]]*Clients_Churn_Part[[#This Row],[Remise]]</f>
        <v>33.408000000000001</v>
      </c>
      <c r="N30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03" spans="1:14" x14ac:dyDescent="0.3">
      <c r="A303" t="s">
        <v>267</v>
      </c>
      <c r="B303" t="s">
        <v>285</v>
      </c>
      <c r="C303" t="s">
        <v>57</v>
      </c>
      <c r="D303">
        <v>56</v>
      </c>
      <c r="E303" s="7">
        <f>Clients_Churn_Part[[#This Row],[Anciennete_Mois]]/12</f>
        <v>4.666666666666667</v>
      </c>
      <c r="F303" t="s">
        <v>13</v>
      </c>
      <c r="G303" t="str">
        <f>IF(Clients_Churn_Part[[#This Row],[Type_Forfait]]="pro Monde","B2B","B2C")</f>
        <v>B2B</v>
      </c>
      <c r="H303">
        <v>55</v>
      </c>
      <c r="I303" s="2">
        <f>Clients_Churn_Part[[#This Row],[Duree_Cumulee_Panne_Min]]/60</f>
        <v>0.91666666666666663</v>
      </c>
      <c r="J303">
        <v>82.56</v>
      </c>
      <c r="K303">
        <v>2</v>
      </c>
      <c r="L30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303">
        <f>Clients_Churn_Part[[#This Row],[Facture_Mensuelle]]*Clients_Churn_Part[[#This Row],[Remise]]</f>
        <v>8.2560000000000002</v>
      </c>
      <c r="N30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04" spans="1:14" x14ac:dyDescent="0.3">
      <c r="A304" t="s">
        <v>538</v>
      </c>
      <c r="B304" t="s">
        <v>553</v>
      </c>
      <c r="C304" t="s">
        <v>35</v>
      </c>
      <c r="D304">
        <v>94</v>
      </c>
      <c r="E304" s="7">
        <f>Clients_Churn_Part[[#This Row],[Anciennete_Mois]]/12</f>
        <v>7.833333333333333</v>
      </c>
      <c r="F304" t="s">
        <v>13</v>
      </c>
      <c r="G304" t="str">
        <f>IF(Clients_Churn_Part[[#This Row],[Type_Forfait]]="pro Monde","B2B","B2C")</f>
        <v>B2B</v>
      </c>
      <c r="H304">
        <v>247</v>
      </c>
      <c r="I304" s="2">
        <f>Clients_Churn_Part[[#This Row],[Duree_Cumulee_Panne_Min]]/60</f>
        <v>4.1166666666666663</v>
      </c>
      <c r="J304">
        <v>96.57</v>
      </c>
      <c r="K304">
        <v>0</v>
      </c>
      <c r="L30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04">
        <f>Clients_Churn_Part[[#This Row],[Facture_Mensuelle]]*Clients_Churn_Part[[#This Row],[Remise]]</f>
        <v>67.59899999999999</v>
      </c>
      <c r="N30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05" spans="1:14" x14ac:dyDescent="0.3">
      <c r="A305" t="s">
        <v>589</v>
      </c>
      <c r="B305" t="s">
        <v>591</v>
      </c>
      <c r="C305" t="s">
        <v>61</v>
      </c>
      <c r="D305">
        <v>14</v>
      </c>
      <c r="E305" s="7">
        <f>Clients_Churn_Part[[#This Row],[Anciennete_Mois]]/12</f>
        <v>1.1666666666666667</v>
      </c>
      <c r="F305" t="s">
        <v>13</v>
      </c>
      <c r="G305" t="str">
        <f>IF(Clients_Churn_Part[[#This Row],[Type_Forfait]]="pro Monde","B2B","B2C")</f>
        <v>B2B</v>
      </c>
      <c r="H305">
        <v>236</v>
      </c>
      <c r="I305" s="2">
        <f>Clients_Churn_Part[[#This Row],[Duree_Cumulee_Panne_Min]]/60</f>
        <v>3.9333333333333331</v>
      </c>
      <c r="J305">
        <v>54.43</v>
      </c>
      <c r="K305">
        <v>3</v>
      </c>
      <c r="L30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305">
        <f>Clients_Churn_Part[[#This Row],[Facture_Mensuelle]]*Clients_Churn_Part[[#This Row],[Remise]]</f>
        <v>5.4430000000000005</v>
      </c>
      <c r="N30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06" spans="1:14" x14ac:dyDescent="0.3">
      <c r="A306" t="s">
        <v>405</v>
      </c>
      <c r="B306" t="s">
        <v>435</v>
      </c>
      <c r="C306" t="s">
        <v>61</v>
      </c>
      <c r="D306">
        <v>63</v>
      </c>
      <c r="E306" s="7">
        <f>Clients_Churn_Part[[#This Row],[Anciennete_Mois]]/12</f>
        <v>5.25</v>
      </c>
      <c r="F306" t="s">
        <v>13</v>
      </c>
      <c r="G306" t="str">
        <f>IF(Clients_Churn_Part[[#This Row],[Type_Forfait]]="pro Monde","B2B","B2C")</f>
        <v>B2B</v>
      </c>
      <c r="H306">
        <v>121</v>
      </c>
      <c r="I306" s="2">
        <f>Clients_Churn_Part[[#This Row],[Duree_Cumulee_Panne_Min]]/60</f>
        <v>2.0166666666666666</v>
      </c>
      <c r="J306">
        <v>39.18</v>
      </c>
      <c r="K306">
        <v>2</v>
      </c>
      <c r="L30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06">
        <f>Clients_Churn_Part[[#This Row],[Facture_Mensuelle]]*Clients_Churn_Part[[#This Row],[Remise]]</f>
        <v>27.425999999999998</v>
      </c>
      <c r="N30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07" spans="1:14" x14ac:dyDescent="0.3">
      <c r="A307" t="s">
        <v>360</v>
      </c>
      <c r="B307" t="s">
        <v>391</v>
      </c>
      <c r="C307" t="s">
        <v>9</v>
      </c>
      <c r="D307">
        <v>111</v>
      </c>
      <c r="E307" s="7">
        <f>Clients_Churn_Part[[#This Row],[Anciennete_Mois]]/12</f>
        <v>9.25</v>
      </c>
      <c r="F307" t="s">
        <v>18</v>
      </c>
      <c r="G307" t="str">
        <f>IF(Clients_Churn_Part[[#This Row],[Type_Forfait]]="pro Monde","B2B","B2C")</f>
        <v>B2C</v>
      </c>
      <c r="H307">
        <v>194</v>
      </c>
      <c r="I307" s="2">
        <f>Clients_Churn_Part[[#This Row],[Duree_Cumulee_Panne_Min]]/60</f>
        <v>3.2333333333333334</v>
      </c>
      <c r="J307">
        <v>48.55</v>
      </c>
      <c r="K307">
        <v>2</v>
      </c>
      <c r="L30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07">
        <f>Clients_Churn_Part[[#This Row],[Facture_Mensuelle]]*Clients_Churn_Part[[#This Row],[Remise]]</f>
        <v>33.984999999999992</v>
      </c>
      <c r="N30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08" spans="1:14" x14ac:dyDescent="0.3">
      <c r="A308" t="s">
        <v>682</v>
      </c>
      <c r="B308" t="s">
        <v>723</v>
      </c>
      <c r="C308" t="s">
        <v>48</v>
      </c>
      <c r="D308">
        <v>25</v>
      </c>
      <c r="E308" s="7">
        <f>Clients_Churn_Part[[#This Row],[Anciennete_Mois]]/12</f>
        <v>2.0833333333333335</v>
      </c>
      <c r="F308" t="s">
        <v>13</v>
      </c>
      <c r="G308" t="str">
        <f>IF(Clients_Churn_Part[[#This Row],[Type_Forfait]]="pro Monde","B2B","B2C")</f>
        <v>B2B</v>
      </c>
      <c r="H308">
        <v>66</v>
      </c>
      <c r="I308" s="2">
        <f>Clients_Churn_Part[[#This Row],[Duree_Cumulee_Panne_Min]]/60</f>
        <v>1.1000000000000001</v>
      </c>
      <c r="J308">
        <v>90.14</v>
      </c>
      <c r="K308">
        <v>5</v>
      </c>
      <c r="L30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308">
        <f>Clients_Churn_Part[[#This Row],[Facture_Mensuelle]]*Clients_Churn_Part[[#This Row],[Remise]]</f>
        <v>9.0140000000000011</v>
      </c>
      <c r="N30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09" spans="1:14" x14ac:dyDescent="0.3">
      <c r="A309" t="s">
        <v>314</v>
      </c>
      <c r="B309" t="s">
        <v>346</v>
      </c>
      <c r="C309" t="s">
        <v>83</v>
      </c>
      <c r="D309">
        <v>37</v>
      </c>
      <c r="E309" s="7">
        <f>Clients_Churn_Part[[#This Row],[Anciennete_Mois]]/12</f>
        <v>3.0833333333333335</v>
      </c>
      <c r="F309" t="s">
        <v>13</v>
      </c>
      <c r="G309" t="str">
        <f>IF(Clients_Churn_Part[[#This Row],[Type_Forfait]]="pro Monde","B2B","B2C")</f>
        <v>B2B</v>
      </c>
      <c r="H309">
        <v>88</v>
      </c>
      <c r="I309" s="2">
        <f>Clients_Churn_Part[[#This Row],[Duree_Cumulee_Panne_Min]]/60</f>
        <v>1.4666666666666666</v>
      </c>
      <c r="J309">
        <v>77.77</v>
      </c>
      <c r="K309">
        <v>1</v>
      </c>
      <c r="L30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309">
        <f>Clients_Churn_Part[[#This Row],[Facture_Mensuelle]]*Clients_Churn_Part[[#This Row],[Remise]]</f>
        <v>7.7770000000000001</v>
      </c>
      <c r="N30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10" spans="1:14" x14ac:dyDescent="0.3">
      <c r="A310" t="s">
        <v>682</v>
      </c>
      <c r="B310" t="s">
        <v>715</v>
      </c>
      <c r="C310" t="s">
        <v>24</v>
      </c>
      <c r="D310">
        <v>29</v>
      </c>
      <c r="E310" s="7">
        <f>Clients_Churn_Part[[#This Row],[Anciennete_Mois]]/12</f>
        <v>2.4166666666666665</v>
      </c>
      <c r="F310" t="s">
        <v>18</v>
      </c>
      <c r="G310" t="str">
        <f>IF(Clients_Churn_Part[[#This Row],[Type_Forfait]]="pro Monde","B2B","B2C")</f>
        <v>B2C</v>
      </c>
      <c r="H310">
        <v>306</v>
      </c>
      <c r="I310" s="2">
        <f>Clients_Churn_Part[[#This Row],[Duree_Cumulee_Panne_Min]]/60</f>
        <v>5.0999999999999996</v>
      </c>
      <c r="J310">
        <v>82.16</v>
      </c>
      <c r="K310">
        <v>1</v>
      </c>
      <c r="L31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310">
        <f>Clients_Churn_Part[[#This Row],[Facture_Mensuelle]]*Clients_Churn_Part[[#This Row],[Remise]]</f>
        <v>0</v>
      </c>
      <c r="N31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11" spans="1:14" x14ac:dyDescent="0.3">
      <c r="A311" t="s">
        <v>405</v>
      </c>
      <c r="B311" t="s">
        <v>432</v>
      </c>
      <c r="C311" t="s">
        <v>62</v>
      </c>
      <c r="D311">
        <v>13</v>
      </c>
      <c r="E311" s="7">
        <f>Clients_Churn_Part[[#This Row],[Anciennete_Mois]]/12</f>
        <v>1.0833333333333333</v>
      </c>
      <c r="F311" t="s">
        <v>13</v>
      </c>
      <c r="G311" t="str">
        <f>IF(Clients_Churn_Part[[#This Row],[Type_Forfait]]="pro Monde","B2B","B2C")</f>
        <v>B2B</v>
      </c>
      <c r="H311">
        <v>87</v>
      </c>
      <c r="I311" s="2">
        <f>Clients_Churn_Part[[#This Row],[Duree_Cumulee_Panne_Min]]/60</f>
        <v>1.45</v>
      </c>
      <c r="J311">
        <v>66.36</v>
      </c>
      <c r="K311">
        <v>0</v>
      </c>
      <c r="L31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311">
        <f>Clients_Churn_Part[[#This Row],[Facture_Mensuelle]]*Clients_Churn_Part[[#This Row],[Remise]]</f>
        <v>6.6360000000000001</v>
      </c>
      <c r="N31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12" spans="1:14" x14ac:dyDescent="0.3">
      <c r="A312" t="s">
        <v>174</v>
      </c>
      <c r="B312" t="s">
        <v>200</v>
      </c>
      <c r="C312" t="s">
        <v>72</v>
      </c>
      <c r="D312">
        <v>27</v>
      </c>
      <c r="E312" s="7">
        <f>Clients_Churn_Part[[#This Row],[Anciennete_Mois]]/12</f>
        <v>2.25</v>
      </c>
      <c r="F312" t="s">
        <v>10</v>
      </c>
      <c r="G312" t="str">
        <f>IF(Clients_Churn_Part[[#This Row],[Type_Forfait]]="pro Monde","B2B","B2C")</f>
        <v>B2C</v>
      </c>
      <c r="H312">
        <v>369</v>
      </c>
      <c r="I312" s="2">
        <f>Clients_Churn_Part[[#This Row],[Duree_Cumulee_Panne_Min]]/60</f>
        <v>6.15</v>
      </c>
      <c r="J312">
        <v>19.78</v>
      </c>
      <c r="K312">
        <v>1</v>
      </c>
      <c r="L31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312">
        <f>Clients_Churn_Part[[#This Row],[Facture_Mensuelle]]*Clients_Churn_Part[[#This Row],[Remise]]</f>
        <v>8.9010000000000016</v>
      </c>
      <c r="N31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13" spans="1:14" x14ac:dyDescent="0.3">
      <c r="A313" t="s">
        <v>637</v>
      </c>
      <c r="B313" t="s">
        <v>671</v>
      </c>
      <c r="C313" t="s">
        <v>118</v>
      </c>
      <c r="D313">
        <v>110</v>
      </c>
      <c r="E313" s="7">
        <f>Clients_Churn_Part[[#This Row],[Anciennete_Mois]]/12</f>
        <v>9.1666666666666661</v>
      </c>
      <c r="F313" t="s">
        <v>10</v>
      </c>
      <c r="G313" t="str">
        <f>IF(Clients_Churn_Part[[#This Row],[Type_Forfait]]="pro Monde","B2B","B2C")</f>
        <v>B2C</v>
      </c>
      <c r="H313">
        <v>289</v>
      </c>
      <c r="I313" s="2">
        <f>Clients_Churn_Part[[#This Row],[Duree_Cumulee_Panne_Min]]/60</f>
        <v>4.8166666666666664</v>
      </c>
      <c r="J313">
        <v>83.67</v>
      </c>
      <c r="K313">
        <v>4</v>
      </c>
      <c r="L31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13">
        <f>Clients_Churn_Part[[#This Row],[Facture_Mensuelle]]*Clients_Churn_Part[[#This Row],[Remise]]</f>
        <v>58.568999999999996</v>
      </c>
      <c r="N31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14" spans="1:14" x14ac:dyDescent="0.3">
      <c r="A314" t="s">
        <v>682</v>
      </c>
      <c r="B314" t="s">
        <v>707</v>
      </c>
      <c r="C314" t="s">
        <v>59</v>
      </c>
      <c r="D314">
        <v>82</v>
      </c>
      <c r="E314" s="7">
        <f>Clients_Churn_Part[[#This Row],[Anciennete_Mois]]/12</f>
        <v>6.833333333333333</v>
      </c>
      <c r="F314" t="s">
        <v>13</v>
      </c>
      <c r="G314" t="str">
        <f>IF(Clients_Churn_Part[[#This Row],[Type_Forfait]]="pro Monde","B2B","B2C")</f>
        <v>B2B</v>
      </c>
      <c r="H314">
        <v>312</v>
      </c>
      <c r="I314" s="2">
        <f>Clients_Churn_Part[[#This Row],[Duree_Cumulee_Panne_Min]]/60</f>
        <v>5.2</v>
      </c>
      <c r="J314">
        <v>40.880000000000003</v>
      </c>
      <c r="K314">
        <v>0</v>
      </c>
      <c r="L31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14">
        <f>Clients_Churn_Part[[#This Row],[Facture_Mensuelle]]*Clients_Churn_Part[[#This Row],[Remise]]</f>
        <v>28.616</v>
      </c>
      <c r="N31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15" spans="1:14" x14ac:dyDescent="0.3">
      <c r="A315" t="s">
        <v>129</v>
      </c>
      <c r="B315" t="s">
        <v>135</v>
      </c>
      <c r="C315" t="s">
        <v>20</v>
      </c>
      <c r="D315">
        <v>72</v>
      </c>
      <c r="E315" s="7">
        <f>Clients_Churn_Part[[#This Row],[Anciennete_Mois]]/12</f>
        <v>6</v>
      </c>
      <c r="F315" t="s">
        <v>10</v>
      </c>
      <c r="G315" t="str">
        <f>IF(Clients_Churn_Part[[#This Row],[Type_Forfait]]="pro Monde","B2B","B2C")</f>
        <v>B2C</v>
      </c>
      <c r="H315">
        <v>5</v>
      </c>
      <c r="I315" s="2">
        <f>Clients_Churn_Part[[#This Row],[Duree_Cumulee_Panne_Min]]/60</f>
        <v>8.3333333333333329E-2</v>
      </c>
      <c r="J315">
        <v>68.650000000000006</v>
      </c>
      <c r="K315">
        <v>0</v>
      </c>
      <c r="L31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315">
        <f>Clients_Churn_Part[[#This Row],[Facture_Mensuelle]]*Clients_Churn_Part[[#This Row],[Remise]]</f>
        <v>0</v>
      </c>
      <c r="N31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16" spans="1:14" x14ac:dyDescent="0.3">
      <c r="A316" t="s">
        <v>129</v>
      </c>
      <c r="B316" t="s">
        <v>139</v>
      </c>
      <c r="C316" t="s">
        <v>61</v>
      </c>
      <c r="D316">
        <v>7</v>
      </c>
      <c r="E316" s="7">
        <f>Clients_Churn_Part[[#This Row],[Anciennete_Mois]]/12</f>
        <v>0.58333333333333337</v>
      </c>
      <c r="F316" t="s">
        <v>10</v>
      </c>
      <c r="G316" t="str">
        <f>IF(Clients_Churn_Part[[#This Row],[Type_Forfait]]="pro Monde","B2B","B2C")</f>
        <v>B2C</v>
      </c>
      <c r="H316">
        <v>317</v>
      </c>
      <c r="I316" s="2">
        <f>Clients_Churn_Part[[#This Row],[Duree_Cumulee_Panne_Min]]/60</f>
        <v>5.2833333333333332</v>
      </c>
      <c r="J316">
        <v>97.32</v>
      </c>
      <c r="K316">
        <v>1</v>
      </c>
      <c r="L31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316">
        <f>Clients_Churn_Part[[#This Row],[Facture_Mensuelle]]*Clients_Churn_Part[[#This Row],[Remise]]</f>
        <v>43.793999999999997</v>
      </c>
      <c r="N31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17" spans="1:14" x14ac:dyDescent="0.3">
      <c r="A317" t="s">
        <v>589</v>
      </c>
      <c r="B317" t="s">
        <v>632</v>
      </c>
      <c r="C317" t="s">
        <v>48</v>
      </c>
      <c r="D317">
        <v>16</v>
      </c>
      <c r="E317" s="7">
        <f>Clients_Churn_Part[[#This Row],[Anciennete_Mois]]/12</f>
        <v>1.3333333333333333</v>
      </c>
      <c r="F317" t="s">
        <v>10</v>
      </c>
      <c r="G317" t="str">
        <f>IF(Clients_Churn_Part[[#This Row],[Type_Forfait]]="pro Monde","B2B","B2C")</f>
        <v>B2C</v>
      </c>
      <c r="H317">
        <v>96</v>
      </c>
      <c r="I317" s="2">
        <f>Clients_Churn_Part[[#This Row],[Duree_Cumulee_Panne_Min]]/60</f>
        <v>1.6</v>
      </c>
      <c r="J317">
        <v>86.78</v>
      </c>
      <c r="K317">
        <v>1</v>
      </c>
      <c r="L31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317">
        <f>Clients_Churn_Part[[#This Row],[Facture_Mensuelle]]*Clients_Churn_Part[[#This Row],[Remise]]</f>
        <v>39.051000000000002</v>
      </c>
      <c r="N31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18" spans="1:14" x14ac:dyDescent="0.3">
      <c r="A318" t="s">
        <v>538</v>
      </c>
      <c r="B318" t="s">
        <v>569</v>
      </c>
      <c r="C318" t="s">
        <v>12</v>
      </c>
      <c r="D318">
        <v>74</v>
      </c>
      <c r="E318" s="7">
        <f>Clients_Churn_Part[[#This Row],[Anciennete_Mois]]/12</f>
        <v>6.166666666666667</v>
      </c>
      <c r="F318" t="s">
        <v>18</v>
      </c>
      <c r="G318" t="str">
        <f>IF(Clients_Churn_Part[[#This Row],[Type_Forfait]]="pro Monde","B2B","B2C")</f>
        <v>B2C</v>
      </c>
      <c r="H318">
        <v>265</v>
      </c>
      <c r="I318" s="2">
        <f>Clients_Churn_Part[[#This Row],[Duree_Cumulee_Panne_Min]]/60</f>
        <v>4.416666666666667</v>
      </c>
      <c r="J318">
        <v>90.81</v>
      </c>
      <c r="K318">
        <v>3</v>
      </c>
      <c r="L31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18">
        <f>Clients_Churn_Part[[#This Row],[Facture_Mensuelle]]*Clients_Churn_Part[[#This Row],[Remise]]</f>
        <v>63.567</v>
      </c>
      <c r="N31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19" spans="1:14" x14ac:dyDescent="0.3">
      <c r="A319" t="s">
        <v>220</v>
      </c>
      <c r="B319" t="s">
        <v>259</v>
      </c>
      <c r="C319" t="s">
        <v>126</v>
      </c>
      <c r="D319">
        <v>106</v>
      </c>
      <c r="E319" s="7">
        <f>Clients_Churn_Part[[#This Row],[Anciennete_Mois]]/12</f>
        <v>8.8333333333333339</v>
      </c>
      <c r="F319" t="s">
        <v>21</v>
      </c>
      <c r="G319" t="str">
        <f>IF(Clients_Churn_Part[[#This Row],[Type_Forfait]]="pro Monde","B2B","B2C")</f>
        <v>B2C</v>
      </c>
      <c r="H319">
        <v>128</v>
      </c>
      <c r="I319" s="2">
        <f>Clients_Churn_Part[[#This Row],[Duree_Cumulee_Panne_Min]]/60</f>
        <v>2.1333333333333333</v>
      </c>
      <c r="J319">
        <v>35.96</v>
      </c>
      <c r="K319">
        <v>2</v>
      </c>
      <c r="L31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19">
        <f>Clients_Churn_Part[[#This Row],[Facture_Mensuelle]]*Clients_Churn_Part[[#This Row],[Remise]]</f>
        <v>25.172000000000001</v>
      </c>
      <c r="N31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20" spans="1:14" x14ac:dyDescent="0.3">
      <c r="A320" t="s">
        <v>637</v>
      </c>
      <c r="B320" t="s">
        <v>652</v>
      </c>
      <c r="C320" t="s">
        <v>27</v>
      </c>
      <c r="D320">
        <v>37</v>
      </c>
      <c r="E320" s="7">
        <f>Clients_Churn_Part[[#This Row],[Anciennete_Mois]]/12</f>
        <v>3.0833333333333335</v>
      </c>
      <c r="F320" t="s">
        <v>21</v>
      </c>
      <c r="G320" t="str">
        <f>IF(Clients_Churn_Part[[#This Row],[Type_Forfait]]="pro Monde","B2B","B2C")</f>
        <v>B2C</v>
      </c>
      <c r="H320">
        <v>3</v>
      </c>
      <c r="I320" s="2">
        <f>Clients_Churn_Part[[#This Row],[Duree_Cumulee_Panne_Min]]/60</f>
        <v>0.05</v>
      </c>
      <c r="J320">
        <v>20.89</v>
      </c>
      <c r="K320">
        <v>5</v>
      </c>
      <c r="L32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320">
        <f>Clients_Churn_Part[[#This Row],[Facture_Mensuelle]]*Clients_Churn_Part[[#This Row],[Remise]]</f>
        <v>0</v>
      </c>
      <c r="N32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21" spans="1:14" x14ac:dyDescent="0.3">
      <c r="A321" t="s">
        <v>405</v>
      </c>
      <c r="B321" t="s">
        <v>444</v>
      </c>
      <c r="C321" t="s">
        <v>35</v>
      </c>
      <c r="D321">
        <v>71</v>
      </c>
      <c r="E321" s="7">
        <f>Clients_Churn_Part[[#This Row],[Anciennete_Mois]]/12</f>
        <v>5.916666666666667</v>
      </c>
      <c r="F321" t="s">
        <v>21</v>
      </c>
      <c r="G321" t="str">
        <f>IF(Clients_Churn_Part[[#This Row],[Type_Forfait]]="pro Monde","B2B","B2C")</f>
        <v>B2C</v>
      </c>
      <c r="H321">
        <v>68</v>
      </c>
      <c r="I321" s="2">
        <f>Clients_Churn_Part[[#This Row],[Duree_Cumulee_Panne_Min]]/60</f>
        <v>1.1333333333333333</v>
      </c>
      <c r="J321">
        <v>53.11</v>
      </c>
      <c r="K321">
        <v>2</v>
      </c>
      <c r="L32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21">
        <f>Clients_Churn_Part[[#This Row],[Facture_Mensuelle]]*Clients_Churn_Part[[#This Row],[Remise]]</f>
        <v>37.177</v>
      </c>
      <c r="N32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22" spans="1:14" x14ac:dyDescent="0.3">
      <c r="A322" t="s">
        <v>8</v>
      </c>
      <c r="B322" t="s">
        <v>47</v>
      </c>
      <c r="C322" t="s">
        <v>48</v>
      </c>
      <c r="D322">
        <v>119</v>
      </c>
      <c r="E322" s="7">
        <f>Clients_Churn_Part[[#This Row],[Anciennete_Mois]]/12</f>
        <v>9.9166666666666661</v>
      </c>
      <c r="F322" t="s">
        <v>21</v>
      </c>
      <c r="G322" t="str">
        <f>IF(Clients_Churn_Part[[#This Row],[Type_Forfait]]="pro Monde","B2B","B2C")</f>
        <v>B2C</v>
      </c>
      <c r="H322">
        <v>228</v>
      </c>
      <c r="I322" s="2">
        <f>Clients_Churn_Part[[#This Row],[Duree_Cumulee_Panne_Min]]/60</f>
        <v>3.8</v>
      </c>
      <c r="J322">
        <v>94.72</v>
      </c>
      <c r="K322">
        <v>3</v>
      </c>
      <c r="L32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22">
        <f>Clients_Churn_Part[[#This Row],[Facture_Mensuelle]]*Clients_Churn_Part[[#This Row],[Remise]]</f>
        <v>66.304000000000002</v>
      </c>
      <c r="N32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23" spans="1:14" x14ac:dyDescent="0.3">
      <c r="A323" t="s">
        <v>637</v>
      </c>
      <c r="B323" t="s">
        <v>638</v>
      </c>
      <c r="C323" t="s">
        <v>17</v>
      </c>
      <c r="D323">
        <v>20</v>
      </c>
      <c r="E323" s="7">
        <f>Clients_Churn_Part[[#This Row],[Anciennete_Mois]]/12</f>
        <v>1.6666666666666667</v>
      </c>
      <c r="F323" t="s">
        <v>18</v>
      </c>
      <c r="G323" t="str">
        <f>IF(Clients_Churn_Part[[#This Row],[Type_Forfait]]="pro Monde","B2B","B2C")</f>
        <v>B2C</v>
      </c>
      <c r="H323">
        <v>297</v>
      </c>
      <c r="I323" s="2">
        <f>Clients_Churn_Part[[#This Row],[Duree_Cumulee_Panne_Min]]/60</f>
        <v>4.95</v>
      </c>
      <c r="J323">
        <v>14.77</v>
      </c>
      <c r="K323">
        <v>0</v>
      </c>
      <c r="L32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323">
        <f>Clients_Churn_Part[[#This Row],[Facture_Mensuelle]]*Clients_Churn_Part[[#This Row],[Remise]]</f>
        <v>0</v>
      </c>
      <c r="N32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24" spans="1:14" x14ac:dyDescent="0.3">
      <c r="A324" t="s">
        <v>682</v>
      </c>
      <c r="B324" t="s">
        <v>691</v>
      </c>
      <c r="C324" t="s">
        <v>27</v>
      </c>
      <c r="D324">
        <v>109</v>
      </c>
      <c r="E324" s="7">
        <f>Clients_Churn_Part[[#This Row],[Anciennete_Mois]]/12</f>
        <v>9.0833333333333339</v>
      </c>
      <c r="F324" t="s">
        <v>21</v>
      </c>
      <c r="G324" t="str">
        <f>IF(Clients_Churn_Part[[#This Row],[Type_Forfait]]="pro Monde","B2B","B2C")</f>
        <v>B2C</v>
      </c>
      <c r="H324">
        <v>104</v>
      </c>
      <c r="I324" s="2">
        <f>Clients_Churn_Part[[#This Row],[Duree_Cumulee_Panne_Min]]/60</f>
        <v>1.7333333333333334</v>
      </c>
      <c r="J324">
        <v>12.37</v>
      </c>
      <c r="K324">
        <v>5</v>
      </c>
      <c r="L32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24">
        <f>Clients_Churn_Part[[#This Row],[Facture_Mensuelle]]*Clients_Churn_Part[[#This Row],[Remise]]</f>
        <v>8.6589999999999989</v>
      </c>
      <c r="N32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25" spans="1:14" x14ac:dyDescent="0.3">
      <c r="A325" t="s">
        <v>682</v>
      </c>
      <c r="B325" t="s">
        <v>697</v>
      </c>
      <c r="C325" t="s">
        <v>68</v>
      </c>
      <c r="D325">
        <v>78</v>
      </c>
      <c r="E325" s="7">
        <f>Clients_Churn_Part[[#This Row],[Anciennete_Mois]]/12</f>
        <v>6.5</v>
      </c>
      <c r="F325" t="s">
        <v>10</v>
      </c>
      <c r="G325" t="str">
        <f>IF(Clients_Churn_Part[[#This Row],[Type_Forfait]]="pro Monde","B2B","B2C")</f>
        <v>B2C</v>
      </c>
      <c r="H325">
        <v>387</v>
      </c>
      <c r="I325" s="2">
        <f>Clients_Churn_Part[[#This Row],[Duree_Cumulee_Panne_Min]]/60</f>
        <v>6.45</v>
      </c>
      <c r="J325">
        <v>11.63</v>
      </c>
      <c r="K325">
        <v>2</v>
      </c>
      <c r="L32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25">
        <f>Clients_Churn_Part[[#This Row],[Facture_Mensuelle]]*Clients_Churn_Part[[#This Row],[Remise]]</f>
        <v>8.141</v>
      </c>
      <c r="N32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26" spans="1:14" x14ac:dyDescent="0.3">
      <c r="A326" t="s">
        <v>494</v>
      </c>
      <c r="B326" t="s">
        <v>535</v>
      </c>
      <c r="C326" t="s">
        <v>37</v>
      </c>
      <c r="D326">
        <v>11</v>
      </c>
      <c r="E326" s="7">
        <f>Clients_Churn_Part[[#This Row],[Anciennete_Mois]]/12</f>
        <v>0.91666666666666663</v>
      </c>
      <c r="F326" t="s">
        <v>13</v>
      </c>
      <c r="G326" t="str">
        <f>IF(Clients_Churn_Part[[#This Row],[Type_Forfait]]="pro Monde","B2B","B2C")</f>
        <v>B2B</v>
      </c>
      <c r="H326">
        <v>214</v>
      </c>
      <c r="I326" s="2">
        <f>Clients_Churn_Part[[#This Row],[Duree_Cumulee_Panne_Min]]/60</f>
        <v>3.5666666666666669</v>
      </c>
      <c r="J326">
        <v>11.46</v>
      </c>
      <c r="K326">
        <v>5</v>
      </c>
      <c r="L32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326">
        <f>Clients_Churn_Part[[#This Row],[Facture_Mensuelle]]*Clients_Churn_Part[[#This Row],[Remise]]</f>
        <v>1.1460000000000001</v>
      </c>
      <c r="N32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27" spans="1:14" x14ac:dyDescent="0.3">
      <c r="A327" t="s">
        <v>79</v>
      </c>
      <c r="B327" t="s">
        <v>125</v>
      </c>
      <c r="C327" t="s">
        <v>126</v>
      </c>
      <c r="D327">
        <v>80</v>
      </c>
      <c r="E327" s="7">
        <f>Clients_Churn_Part[[#This Row],[Anciennete_Mois]]/12</f>
        <v>6.666666666666667</v>
      </c>
      <c r="F327" t="s">
        <v>21</v>
      </c>
      <c r="G327" t="str">
        <f>IF(Clients_Churn_Part[[#This Row],[Type_Forfait]]="pro Monde","B2B","B2C")</f>
        <v>B2C</v>
      </c>
      <c r="H327">
        <v>155</v>
      </c>
      <c r="I327" s="2">
        <f>Clients_Churn_Part[[#This Row],[Duree_Cumulee_Panne_Min]]/60</f>
        <v>2.5833333333333335</v>
      </c>
      <c r="J327">
        <v>28.96</v>
      </c>
      <c r="K327">
        <v>2</v>
      </c>
      <c r="L32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27">
        <f>Clients_Churn_Part[[#This Row],[Facture_Mensuelle]]*Clients_Churn_Part[[#This Row],[Remise]]</f>
        <v>20.271999999999998</v>
      </c>
      <c r="N32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28" spans="1:14" x14ac:dyDescent="0.3">
      <c r="A328" t="s">
        <v>494</v>
      </c>
      <c r="B328" t="s">
        <v>523</v>
      </c>
      <c r="C328" t="s">
        <v>83</v>
      </c>
      <c r="D328">
        <v>110</v>
      </c>
      <c r="E328" s="7">
        <f>Clients_Churn_Part[[#This Row],[Anciennete_Mois]]/12</f>
        <v>9.1666666666666661</v>
      </c>
      <c r="F328" t="s">
        <v>21</v>
      </c>
      <c r="G328" t="str">
        <f>IF(Clients_Churn_Part[[#This Row],[Type_Forfait]]="pro Monde","B2B","B2C")</f>
        <v>B2C</v>
      </c>
      <c r="H328">
        <v>47</v>
      </c>
      <c r="I328" s="2">
        <f>Clients_Churn_Part[[#This Row],[Duree_Cumulee_Panne_Min]]/60</f>
        <v>0.78333333333333333</v>
      </c>
      <c r="J328">
        <v>29.68</v>
      </c>
      <c r="K328">
        <v>0</v>
      </c>
      <c r="L32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28">
        <f>Clients_Churn_Part[[#This Row],[Facture_Mensuelle]]*Clients_Churn_Part[[#This Row],[Remise]]</f>
        <v>20.776</v>
      </c>
      <c r="N32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29" spans="1:14" x14ac:dyDescent="0.3">
      <c r="A329" t="s">
        <v>174</v>
      </c>
      <c r="B329" t="s">
        <v>199</v>
      </c>
      <c r="C329" t="s">
        <v>41</v>
      </c>
      <c r="D329">
        <v>5</v>
      </c>
      <c r="E329" s="7">
        <f>Clients_Churn_Part[[#This Row],[Anciennete_Mois]]/12</f>
        <v>0.41666666666666669</v>
      </c>
      <c r="F329" t="s">
        <v>18</v>
      </c>
      <c r="G329" t="str">
        <f>IF(Clients_Churn_Part[[#This Row],[Type_Forfait]]="pro Monde","B2B","B2C")</f>
        <v>B2C</v>
      </c>
      <c r="H329">
        <v>239</v>
      </c>
      <c r="I329" s="2">
        <f>Clients_Churn_Part[[#This Row],[Duree_Cumulee_Panne_Min]]/60</f>
        <v>3.9833333333333334</v>
      </c>
      <c r="J329">
        <v>26.95</v>
      </c>
      <c r="K329">
        <v>2</v>
      </c>
      <c r="L32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329">
        <f>Clients_Churn_Part[[#This Row],[Facture_Mensuelle]]*Clients_Churn_Part[[#This Row],[Remise]]</f>
        <v>0</v>
      </c>
      <c r="N32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30" spans="1:14" x14ac:dyDescent="0.3">
      <c r="A330" t="s">
        <v>360</v>
      </c>
      <c r="B330" t="s">
        <v>389</v>
      </c>
      <c r="C330" t="s">
        <v>72</v>
      </c>
      <c r="D330">
        <v>90</v>
      </c>
      <c r="E330" s="7">
        <f>Clients_Churn_Part[[#This Row],[Anciennete_Mois]]/12</f>
        <v>7.5</v>
      </c>
      <c r="F330" t="s">
        <v>18</v>
      </c>
      <c r="G330" t="str">
        <f>IF(Clients_Churn_Part[[#This Row],[Type_Forfait]]="pro Monde","B2B","B2C")</f>
        <v>B2C</v>
      </c>
      <c r="H330">
        <v>216</v>
      </c>
      <c r="I330" s="2">
        <f>Clients_Churn_Part[[#This Row],[Duree_Cumulee_Panne_Min]]/60</f>
        <v>3.6</v>
      </c>
      <c r="J330">
        <v>45.58</v>
      </c>
      <c r="K330">
        <v>0</v>
      </c>
      <c r="L33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30">
        <f>Clients_Churn_Part[[#This Row],[Facture_Mensuelle]]*Clients_Churn_Part[[#This Row],[Remise]]</f>
        <v>31.905999999999995</v>
      </c>
      <c r="N33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31" spans="1:14" x14ac:dyDescent="0.3">
      <c r="A331" t="s">
        <v>267</v>
      </c>
      <c r="B331" t="s">
        <v>308</v>
      </c>
      <c r="C331" t="s">
        <v>17</v>
      </c>
      <c r="D331">
        <v>105</v>
      </c>
      <c r="E331" s="7">
        <f>Clients_Churn_Part[[#This Row],[Anciennete_Mois]]/12</f>
        <v>8.75</v>
      </c>
      <c r="F331" t="s">
        <v>21</v>
      </c>
      <c r="G331" t="str">
        <f>IF(Clients_Churn_Part[[#This Row],[Type_Forfait]]="pro Monde","B2B","B2C")</f>
        <v>B2C</v>
      </c>
      <c r="H331">
        <v>3</v>
      </c>
      <c r="I331" s="2">
        <f>Clients_Churn_Part[[#This Row],[Duree_Cumulee_Panne_Min]]/60</f>
        <v>0.05</v>
      </c>
      <c r="J331">
        <v>71.010000000000005</v>
      </c>
      <c r="K331">
        <v>1</v>
      </c>
      <c r="L33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331">
        <f>Clients_Churn_Part[[#This Row],[Facture_Mensuelle]]*Clients_Churn_Part[[#This Row],[Remise]]</f>
        <v>0</v>
      </c>
      <c r="N33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32" spans="1:14" x14ac:dyDescent="0.3">
      <c r="A332" t="s">
        <v>405</v>
      </c>
      <c r="B332" t="s">
        <v>438</v>
      </c>
      <c r="C332" t="s">
        <v>37</v>
      </c>
      <c r="D332">
        <v>39</v>
      </c>
      <c r="E332" s="7">
        <f>Clients_Churn_Part[[#This Row],[Anciennete_Mois]]/12</f>
        <v>3.25</v>
      </c>
      <c r="F332" t="s">
        <v>21</v>
      </c>
      <c r="G332" t="str">
        <f>IF(Clients_Churn_Part[[#This Row],[Type_Forfait]]="pro Monde","B2B","B2C")</f>
        <v>B2C</v>
      </c>
      <c r="H332">
        <v>327</v>
      </c>
      <c r="I332" s="2">
        <f>Clients_Churn_Part[[#This Row],[Duree_Cumulee_Panne_Min]]/60</f>
        <v>5.45</v>
      </c>
      <c r="J332">
        <v>87.24</v>
      </c>
      <c r="K332">
        <v>4</v>
      </c>
      <c r="L33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332">
        <f>Clients_Churn_Part[[#This Row],[Facture_Mensuelle]]*Clients_Churn_Part[[#This Row],[Remise]]</f>
        <v>0</v>
      </c>
      <c r="N33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33" spans="1:14" x14ac:dyDescent="0.3">
      <c r="A333" t="s">
        <v>538</v>
      </c>
      <c r="B333" t="s">
        <v>559</v>
      </c>
      <c r="C333" t="s">
        <v>23</v>
      </c>
      <c r="D333">
        <v>21</v>
      </c>
      <c r="E333" s="7">
        <f>Clients_Churn_Part[[#This Row],[Anciennete_Mois]]/12</f>
        <v>1.75</v>
      </c>
      <c r="F333" t="s">
        <v>18</v>
      </c>
      <c r="G333" t="str">
        <f>IF(Clients_Churn_Part[[#This Row],[Type_Forfait]]="pro Monde","B2B","B2C")</f>
        <v>B2C</v>
      </c>
      <c r="H333">
        <v>267</v>
      </c>
      <c r="I333" s="2">
        <f>Clients_Churn_Part[[#This Row],[Duree_Cumulee_Panne_Min]]/60</f>
        <v>4.45</v>
      </c>
      <c r="J333">
        <v>74.989999999999995</v>
      </c>
      <c r="K333">
        <v>1</v>
      </c>
      <c r="L33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333">
        <f>Clients_Churn_Part[[#This Row],[Facture_Mensuelle]]*Clients_Churn_Part[[#This Row],[Remise]]</f>
        <v>0</v>
      </c>
      <c r="N33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34" spans="1:14" x14ac:dyDescent="0.3">
      <c r="A334" t="s">
        <v>682</v>
      </c>
      <c r="B334" t="s">
        <v>686</v>
      </c>
      <c r="C334" t="s">
        <v>15</v>
      </c>
      <c r="D334">
        <v>9</v>
      </c>
      <c r="E334" s="7">
        <f>Clients_Churn_Part[[#This Row],[Anciennete_Mois]]/12</f>
        <v>0.75</v>
      </c>
      <c r="F334" t="s">
        <v>21</v>
      </c>
      <c r="G334" t="str">
        <f>IF(Clients_Churn_Part[[#This Row],[Type_Forfait]]="pro Monde","B2B","B2C")</f>
        <v>B2C</v>
      </c>
      <c r="H334">
        <v>102</v>
      </c>
      <c r="I334" s="2">
        <f>Clients_Churn_Part[[#This Row],[Duree_Cumulee_Panne_Min]]/60</f>
        <v>1.7</v>
      </c>
      <c r="J334">
        <v>41.52</v>
      </c>
      <c r="K334">
        <v>0</v>
      </c>
      <c r="L33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334">
        <f>Clients_Churn_Part[[#This Row],[Facture_Mensuelle]]*Clients_Churn_Part[[#This Row],[Remise]]</f>
        <v>0</v>
      </c>
      <c r="N33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35" spans="1:14" x14ac:dyDescent="0.3">
      <c r="A335" t="s">
        <v>79</v>
      </c>
      <c r="B335" t="s">
        <v>95</v>
      </c>
      <c r="C335" t="s">
        <v>23</v>
      </c>
      <c r="D335">
        <v>53</v>
      </c>
      <c r="E335" s="7">
        <f>Clients_Churn_Part[[#This Row],[Anciennete_Mois]]/12</f>
        <v>4.416666666666667</v>
      </c>
      <c r="F335" t="s">
        <v>13</v>
      </c>
      <c r="G335" t="str">
        <f>IF(Clients_Churn_Part[[#This Row],[Type_Forfait]]="pro Monde","B2B","B2C")</f>
        <v>B2B</v>
      </c>
      <c r="H335">
        <v>385</v>
      </c>
      <c r="I335" s="2">
        <f>Clients_Churn_Part[[#This Row],[Duree_Cumulee_Panne_Min]]/60</f>
        <v>6.416666666666667</v>
      </c>
      <c r="J335">
        <v>68.78</v>
      </c>
      <c r="K335">
        <v>3</v>
      </c>
      <c r="L33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335">
        <f>Clients_Churn_Part[[#This Row],[Facture_Mensuelle]]*Clients_Churn_Part[[#This Row],[Remise]]</f>
        <v>6.8780000000000001</v>
      </c>
      <c r="N33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36" spans="1:14" x14ac:dyDescent="0.3">
      <c r="A336" t="s">
        <v>452</v>
      </c>
      <c r="B336" t="s">
        <v>468</v>
      </c>
      <c r="C336" t="s">
        <v>54</v>
      </c>
      <c r="D336">
        <v>64</v>
      </c>
      <c r="E336" s="7">
        <f>Clients_Churn_Part[[#This Row],[Anciennete_Mois]]/12</f>
        <v>5.333333333333333</v>
      </c>
      <c r="F336" t="s">
        <v>13</v>
      </c>
      <c r="G336" t="str">
        <f>IF(Clients_Churn_Part[[#This Row],[Type_Forfait]]="pro Monde","B2B","B2C")</f>
        <v>B2B</v>
      </c>
      <c r="H336">
        <v>15</v>
      </c>
      <c r="I336" s="2">
        <f>Clients_Churn_Part[[#This Row],[Duree_Cumulee_Panne_Min]]/60</f>
        <v>0.25</v>
      </c>
      <c r="J336">
        <v>56.94</v>
      </c>
      <c r="K336">
        <v>4</v>
      </c>
      <c r="L33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336">
        <f>Clients_Churn_Part[[#This Row],[Facture_Mensuelle]]*Clients_Churn_Part[[#This Row],[Remise]]</f>
        <v>25.623000000000001</v>
      </c>
      <c r="N33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37" spans="1:14" x14ac:dyDescent="0.3">
      <c r="A337" t="s">
        <v>360</v>
      </c>
      <c r="B337" t="s">
        <v>403</v>
      </c>
      <c r="C337" t="s">
        <v>37</v>
      </c>
      <c r="D337">
        <v>45</v>
      </c>
      <c r="E337" s="7">
        <f>Clients_Churn_Part[[#This Row],[Anciennete_Mois]]/12</f>
        <v>3.75</v>
      </c>
      <c r="F337" t="s">
        <v>18</v>
      </c>
      <c r="G337" t="str">
        <f>IF(Clients_Churn_Part[[#This Row],[Type_Forfait]]="pro Monde","B2B","B2C")</f>
        <v>B2C</v>
      </c>
      <c r="H337">
        <v>439</v>
      </c>
      <c r="I337" s="2">
        <f>Clients_Churn_Part[[#This Row],[Duree_Cumulee_Panne_Min]]/60</f>
        <v>7.3166666666666664</v>
      </c>
      <c r="J337">
        <v>13.62</v>
      </c>
      <c r="K337">
        <v>4</v>
      </c>
      <c r="L33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337">
        <f>Clients_Churn_Part[[#This Row],[Facture_Mensuelle]]*Clients_Churn_Part[[#This Row],[Remise]]</f>
        <v>0</v>
      </c>
      <c r="N33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38" spans="1:14" x14ac:dyDescent="0.3">
      <c r="A338" t="s">
        <v>79</v>
      </c>
      <c r="B338" t="s">
        <v>85</v>
      </c>
      <c r="C338" t="s">
        <v>59</v>
      </c>
      <c r="D338">
        <v>86</v>
      </c>
      <c r="E338" s="7">
        <f>Clients_Churn_Part[[#This Row],[Anciennete_Mois]]/12</f>
        <v>7.166666666666667</v>
      </c>
      <c r="F338" t="s">
        <v>18</v>
      </c>
      <c r="G338" t="str">
        <f>IF(Clients_Churn_Part[[#This Row],[Type_Forfait]]="pro Monde","B2B","B2C")</f>
        <v>B2C</v>
      </c>
      <c r="H338">
        <v>460</v>
      </c>
      <c r="I338" s="2">
        <f>Clients_Churn_Part[[#This Row],[Duree_Cumulee_Panne_Min]]/60</f>
        <v>7.666666666666667</v>
      </c>
      <c r="J338">
        <v>22.81</v>
      </c>
      <c r="K338">
        <v>4</v>
      </c>
      <c r="L33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38">
        <f>Clients_Churn_Part[[#This Row],[Facture_Mensuelle]]*Clients_Churn_Part[[#This Row],[Remise]]</f>
        <v>15.966999999999999</v>
      </c>
      <c r="N33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39" spans="1:14" x14ac:dyDescent="0.3">
      <c r="A339" t="s">
        <v>360</v>
      </c>
      <c r="B339" t="s">
        <v>388</v>
      </c>
      <c r="C339" t="s">
        <v>41</v>
      </c>
      <c r="D339">
        <v>45</v>
      </c>
      <c r="E339" s="7">
        <f>Clients_Churn_Part[[#This Row],[Anciennete_Mois]]/12</f>
        <v>3.75</v>
      </c>
      <c r="F339" t="s">
        <v>21</v>
      </c>
      <c r="G339" t="str">
        <f>IF(Clients_Churn_Part[[#This Row],[Type_Forfait]]="pro Monde","B2B","B2C")</f>
        <v>B2C</v>
      </c>
      <c r="H339">
        <v>26</v>
      </c>
      <c r="I339" s="2">
        <f>Clients_Churn_Part[[#This Row],[Duree_Cumulee_Panne_Min]]/60</f>
        <v>0.43333333333333335</v>
      </c>
      <c r="J339">
        <v>30.35</v>
      </c>
      <c r="K339">
        <v>1</v>
      </c>
      <c r="L33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339">
        <f>Clients_Churn_Part[[#This Row],[Facture_Mensuelle]]*Clients_Churn_Part[[#This Row],[Remise]]</f>
        <v>13.657500000000001</v>
      </c>
      <c r="N33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40" spans="1:14" x14ac:dyDescent="0.3">
      <c r="A340" t="s">
        <v>360</v>
      </c>
      <c r="B340" t="s">
        <v>375</v>
      </c>
      <c r="C340" t="s">
        <v>62</v>
      </c>
      <c r="D340">
        <v>101</v>
      </c>
      <c r="E340" s="7">
        <f>Clients_Churn_Part[[#This Row],[Anciennete_Mois]]/12</f>
        <v>8.4166666666666661</v>
      </c>
      <c r="F340" t="s">
        <v>10</v>
      </c>
      <c r="G340" t="str">
        <f>IF(Clients_Churn_Part[[#This Row],[Type_Forfait]]="pro Monde","B2B","B2C")</f>
        <v>B2C</v>
      </c>
      <c r="H340">
        <v>476</v>
      </c>
      <c r="I340" s="2">
        <f>Clients_Churn_Part[[#This Row],[Duree_Cumulee_Panne_Min]]/60</f>
        <v>7.9333333333333336</v>
      </c>
      <c r="J340">
        <v>41.85</v>
      </c>
      <c r="K340">
        <v>4</v>
      </c>
      <c r="L34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40">
        <f>Clients_Churn_Part[[#This Row],[Facture_Mensuelle]]*Clients_Churn_Part[[#This Row],[Remise]]</f>
        <v>29.294999999999998</v>
      </c>
      <c r="N34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41" spans="1:14" x14ac:dyDescent="0.3">
      <c r="A341" t="s">
        <v>174</v>
      </c>
      <c r="B341" t="s">
        <v>213</v>
      </c>
      <c r="C341" t="s">
        <v>24</v>
      </c>
      <c r="D341">
        <v>21</v>
      </c>
      <c r="E341" s="7">
        <f>Clients_Churn_Part[[#This Row],[Anciennete_Mois]]/12</f>
        <v>1.75</v>
      </c>
      <c r="F341" t="s">
        <v>21</v>
      </c>
      <c r="G341" t="str">
        <f>IF(Clients_Churn_Part[[#This Row],[Type_Forfait]]="pro Monde","B2B","B2C")</f>
        <v>B2C</v>
      </c>
      <c r="H341">
        <v>107</v>
      </c>
      <c r="I341" s="2">
        <f>Clients_Churn_Part[[#This Row],[Duree_Cumulee_Panne_Min]]/60</f>
        <v>1.7833333333333334</v>
      </c>
      <c r="J341">
        <v>30.97</v>
      </c>
      <c r="K341">
        <v>4</v>
      </c>
      <c r="L34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341">
        <f>Clients_Churn_Part[[#This Row],[Facture_Mensuelle]]*Clients_Churn_Part[[#This Row],[Remise]]</f>
        <v>0</v>
      </c>
      <c r="N34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42" spans="1:14" x14ac:dyDescent="0.3">
      <c r="A342" t="s">
        <v>538</v>
      </c>
      <c r="B342" t="s">
        <v>586</v>
      </c>
      <c r="C342" t="s">
        <v>9</v>
      </c>
      <c r="D342">
        <v>2</v>
      </c>
      <c r="E342" s="7">
        <f>Clients_Churn_Part[[#This Row],[Anciennete_Mois]]/12</f>
        <v>0.16666666666666666</v>
      </c>
      <c r="F342" t="s">
        <v>13</v>
      </c>
      <c r="G342" t="str">
        <f>IF(Clients_Churn_Part[[#This Row],[Type_Forfait]]="pro Monde","B2B","B2C")</f>
        <v>B2B</v>
      </c>
      <c r="H342">
        <v>481</v>
      </c>
      <c r="I342" s="2">
        <f>Clients_Churn_Part[[#This Row],[Duree_Cumulee_Panne_Min]]/60</f>
        <v>8.0166666666666675</v>
      </c>
      <c r="J342">
        <v>29.37</v>
      </c>
      <c r="K342">
        <v>4</v>
      </c>
      <c r="L34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342">
        <f>Clients_Churn_Part[[#This Row],[Facture_Mensuelle]]*Clients_Churn_Part[[#This Row],[Remise]]</f>
        <v>2.9370000000000003</v>
      </c>
      <c r="N34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43" spans="1:14" x14ac:dyDescent="0.3">
      <c r="A343" t="s">
        <v>494</v>
      </c>
      <c r="B343" t="s">
        <v>533</v>
      </c>
      <c r="C343" t="s">
        <v>23</v>
      </c>
      <c r="D343">
        <v>41</v>
      </c>
      <c r="E343" s="7">
        <f>Clients_Churn_Part[[#This Row],[Anciennete_Mois]]/12</f>
        <v>3.4166666666666665</v>
      </c>
      <c r="F343" t="s">
        <v>10</v>
      </c>
      <c r="G343" t="str">
        <f>IF(Clients_Churn_Part[[#This Row],[Type_Forfait]]="pro Monde","B2B","B2C")</f>
        <v>B2C</v>
      </c>
      <c r="H343">
        <v>178</v>
      </c>
      <c r="I343" s="2">
        <f>Clients_Churn_Part[[#This Row],[Duree_Cumulee_Panne_Min]]/60</f>
        <v>2.9666666666666668</v>
      </c>
      <c r="J343">
        <v>11.29</v>
      </c>
      <c r="K343">
        <v>4</v>
      </c>
      <c r="L34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343">
        <f>Clients_Churn_Part[[#This Row],[Facture_Mensuelle]]*Clients_Churn_Part[[#This Row],[Remise]]</f>
        <v>5.0804999999999998</v>
      </c>
      <c r="N34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44" spans="1:14" x14ac:dyDescent="0.3">
      <c r="A344" t="s">
        <v>538</v>
      </c>
      <c r="B344" t="s">
        <v>551</v>
      </c>
      <c r="C344" t="s">
        <v>9</v>
      </c>
      <c r="D344">
        <v>82</v>
      </c>
      <c r="E344" s="7">
        <f>Clients_Churn_Part[[#This Row],[Anciennete_Mois]]/12</f>
        <v>6.833333333333333</v>
      </c>
      <c r="F344" t="s">
        <v>21</v>
      </c>
      <c r="G344" t="str">
        <f>IF(Clients_Churn_Part[[#This Row],[Type_Forfait]]="pro Monde","B2B","B2C")</f>
        <v>B2C</v>
      </c>
      <c r="H344">
        <v>175</v>
      </c>
      <c r="I344" s="2">
        <f>Clients_Churn_Part[[#This Row],[Duree_Cumulee_Panne_Min]]/60</f>
        <v>2.9166666666666665</v>
      </c>
      <c r="J344">
        <v>86.14</v>
      </c>
      <c r="K344">
        <v>1</v>
      </c>
      <c r="L34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44">
        <f>Clients_Churn_Part[[#This Row],[Facture_Mensuelle]]*Clients_Churn_Part[[#This Row],[Remise]]</f>
        <v>60.297999999999995</v>
      </c>
      <c r="N34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45" spans="1:14" x14ac:dyDescent="0.3">
      <c r="A345" t="s">
        <v>220</v>
      </c>
      <c r="B345" t="s">
        <v>245</v>
      </c>
      <c r="C345" t="s">
        <v>33</v>
      </c>
      <c r="D345">
        <v>86</v>
      </c>
      <c r="E345" s="7">
        <f>Clients_Churn_Part[[#This Row],[Anciennete_Mois]]/12</f>
        <v>7.166666666666667</v>
      </c>
      <c r="F345" t="s">
        <v>10</v>
      </c>
      <c r="G345" t="str">
        <f>IF(Clients_Churn_Part[[#This Row],[Type_Forfait]]="pro Monde","B2B","B2C")</f>
        <v>B2C</v>
      </c>
      <c r="H345">
        <v>111</v>
      </c>
      <c r="I345" s="2">
        <f>Clients_Churn_Part[[#This Row],[Duree_Cumulee_Panne_Min]]/60</f>
        <v>1.85</v>
      </c>
      <c r="J345">
        <v>23.65</v>
      </c>
      <c r="K345">
        <v>0</v>
      </c>
      <c r="L34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45">
        <f>Clients_Churn_Part[[#This Row],[Facture_Mensuelle]]*Clients_Churn_Part[[#This Row],[Remise]]</f>
        <v>16.555</v>
      </c>
      <c r="N34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46" spans="1:14" x14ac:dyDescent="0.3">
      <c r="A346" t="s">
        <v>405</v>
      </c>
      <c r="B346" t="s">
        <v>412</v>
      </c>
      <c r="C346" t="s">
        <v>24</v>
      </c>
      <c r="D346">
        <v>45</v>
      </c>
      <c r="E346" s="7">
        <f>Clients_Churn_Part[[#This Row],[Anciennete_Mois]]/12</f>
        <v>3.75</v>
      </c>
      <c r="F346" t="s">
        <v>21</v>
      </c>
      <c r="G346" t="str">
        <f>IF(Clients_Churn_Part[[#This Row],[Type_Forfait]]="pro Monde","B2B","B2C")</f>
        <v>B2C</v>
      </c>
      <c r="H346">
        <v>356</v>
      </c>
      <c r="I346" s="2">
        <f>Clients_Churn_Part[[#This Row],[Duree_Cumulee_Panne_Min]]/60</f>
        <v>5.9333333333333336</v>
      </c>
      <c r="J346">
        <v>33.76</v>
      </c>
      <c r="K346">
        <v>0</v>
      </c>
      <c r="L34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346">
        <f>Clients_Churn_Part[[#This Row],[Facture_Mensuelle]]*Clients_Churn_Part[[#This Row],[Remise]]</f>
        <v>0</v>
      </c>
      <c r="N34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47" spans="1:14" x14ac:dyDescent="0.3">
      <c r="A347" t="s">
        <v>79</v>
      </c>
      <c r="B347" t="s">
        <v>88</v>
      </c>
      <c r="C347" t="s">
        <v>48</v>
      </c>
      <c r="D347">
        <v>111</v>
      </c>
      <c r="E347" s="7">
        <f>Clients_Churn_Part[[#This Row],[Anciennete_Mois]]/12</f>
        <v>9.25</v>
      </c>
      <c r="F347" t="s">
        <v>10</v>
      </c>
      <c r="G347" t="str">
        <f>IF(Clients_Churn_Part[[#This Row],[Type_Forfait]]="pro Monde","B2B","B2C")</f>
        <v>B2C</v>
      </c>
      <c r="H347">
        <v>103</v>
      </c>
      <c r="I347" s="2">
        <f>Clients_Churn_Part[[#This Row],[Duree_Cumulee_Panne_Min]]/60</f>
        <v>1.7166666666666666</v>
      </c>
      <c r="J347">
        <v>32.06</v>
      </c>
      <c r="K347">
        <v>0</v>
      </c>
      <c r="L34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47">
        <f>Clients_Churn_Part[[#This Row],[Facture_Mensuelle]]*Clients_Churn_Part[[#This Row],[Remise]]</f>
        <v>22.442</v>
      </c>
      <c r="N34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48" spans="1:14" x14ac:dyDescent="0.3">
      <c r="A348" t="s">
        <v>538</v>
      </c>
      <c r="B348" t="s">
        <v>576</v>
      </c>
      <c r="C348" t="s">
        <v>41</v>
      </c>
      <c r="D348">
        <v>34</v>
      </c>
      <c r="E348" s="7">
        <f>Clients_Churn_Part[[#This Row],[Anciennete_Mois]]/12</f>
        <v>2.8333333333333335</v>
      </c>
      <c r="F348" t="s">
        <v>13</v>
      </c>
      <c r="G348" t="str">
        <f>IF(Clients_Churn_Part[[#This Row],[Type_Forfait]]="pro Monde","B2B","B2C")</f>
        <v>B2B</v>
      </c>
      <c r="H348">
        <v>58</v>
      </c>
      <c r="I348" s="2">
        <f>Clients_Churn_Part[[#This Row],[Duree_Cumulee_Panne_Min]]/60</f>
        <v>0.96666666666666667</v>
      </c>
      <c r="J348">
        <v>64.349999999999994</v>
      </c>
      <c r="K348">
        <v>0</v>
      </c>
      <c r="L34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348">
        <f>Clients_Churn_Part[[#This Row],[Facture_Mensuelle]]*Clients_Churn_Part[[#This Row],[Remise]]</f>
        <v>6.4349999999999996</v>
      </c>
      <c r="N34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49" spans="1:14" x14ac:dyDescent="0.3">
      <c r="A349" t="s">
        <v>538</v>
      </c>
      <c r="B349" t="s">
        <v>563</v>
      </c>
      <c r="C349" t="s">
        <v>62</v>
      </c>
      <c r="D349">
        <v>91</v>
      </c>
      <c r="E349" s="7">
        <f>Clients_Churn_Part[[#This Row],[Anciennete_Mois]]/12</f>
        <v>7.583333333333333</v>
      </c>
      <c r="F349" t="s">
        <v>18</v>
      </c>
      <c r="G349" t="str">
        <f>IF(Clients_Churn_Part[[#This Row],[Type_Forfait]]="pro Monde","B2B","B2C")</f>
        <v>B2C</v>
      </c>
      <c r="H349">
        <v>62</v>
      </c>
      <c r="I349" s="2">
        <f>Clients_Churn_Part[[#This Row],[Duree_Cumulee_Panne_Min]]/60</f>
        <v>1.0333333333333334</v>
      </c>
      <c r="J349">
        <v>34.450000000000003</v>
      </c>
      <c r="K349">
        <v>5</v>
      </c>
      <c r="L34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49">
        <f>Clients_Churn_Part[[#This Row],[Facture_Mensuelle]]*Clients_Churn_Part[[#This Row],[Remise]]</f>
        <v>24.115000000000002</v>
      </c>
      <c r="N34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50" spans="1:14" x14ac:dyDescent="0.3">
      <c r="A350" t="s">
        <v>267</v>
      </c>
      <c r="B350" t="s">
        <v>303</v>
      </c>
      <c r="C350" t="s">
        <v>41</v>
      </c>
      <c r="D350">
        <v>95</v>
      </c>
      <c r="E350" s="7">
        <f>Clients_Churn_Part[[#This Row],[Anciennete_Mois]]/12</f>
        <v>7.916666666666667</v>
      </c>
      <c r="F350" t="s">
        <v>10</v>
      </c>
      <c r="G350" t="str">
        <f>IF(Clients_Churn_Part[[#This Row],[Type_Forfait]]="pro Monde","B2B","B2C")</f>
        <v>B2C</v>
      </c>
      <c r="H350">
        <v>51</v>
      </c>
      <c r="I350" s="2">
        <f>Clients_Churn_Part[[#This Row],[Duree_Cumulee_Panne_Min]]/60</f>
        <v>0.85</v>
      </c>
      <c r="J350">
        <v>94.77</v>
      </c>
      <c r="K350">
        <v>5</v>
      </c>
      <c r="L35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50">
        <f>Clients_Churn_Part[[#This Row],[Facture_Mensuelle]]*Clients_Churn_Part[[#This Row],[Remise]]</f>
        <v>66.338999999999999</v>
      </c>
      <c r="N35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51" spans="1:14" x14ac:dyDescent="0.3">
      <c r="A351" t="s">
        <v>452</v>
      </c>
      <c r="B351" t="s">
        <v>462</v>
      </c>
      <c r="C351" t="s">
        <v>68</v>
      </c>
      <c r="D351">
        <v>37</v>
      </c>
      <c r="E351" s="7">
        <f>Clients_Churn_Part[[#This Row],[Anciennete_Mois]]/12</f>
        <v>3.0833333333333335</v>
      </c>
      <c r="F351" t="s">
        <v>13</v>
      </c>
      <c r="G351" t="str">
        <f>IF(Clients_Churn_Part[[#This Row],[Type_Forfait]]="pro Monde","B2B","B2C")</f>
        <v>B2B</v>
      </c>
      <c r="H351">
        <v>37</v>
      </c>
      <c r="I351" s="2">
        <f>Clients_Churn_Part[[#This Row],[Duree_Cumulee_Panne_Min]]/60</f>
        <v>0.6166666666666667</v>
      </c>
      <c r="J351">
        <v>92.72</v>
      </c>
      <c r="K351">
        <v>0</v>
      </c>
      <c r="L35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351">
        <f>Clients_Churn_Part[[#This Row],[Facture_Mensuelle]]*Clients_Churn_Part[[#This Row],[Remise]]</f>
        <v>9.2720000000000002</v>
      </c>
      <c r="N35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52" spans="1:14" x14ac:dyDescent="0.3">
      <c r="A352" t="s">
        <v>538</v>
      </c>
      <c r="B352" t="s">
        <v>560</v>
      </c>
      <c r="C352" t="s">
        <v>54</v>
      </c>
      <c r="D352">
        <v>56</v>
      </c>
      <c r="E352" s="7">
        <f>Clients_Churn_Part[[#This Row],[Anciennete_Mois]]/12</f>
        <v>4.666666666666667</v>
      </c>
      <c r="F352" t="s">
        <v>18</v>
      </c>
      <c r="G352" t="str">
        <f>IF(Clients_Churn_Part[[#This Row],[Type_Forfait]]="pro Monde","B2B","B2C")</f>
        <v>B2C</v>
      </c>
      <c r="H352">
        <v>379</v>
      </c>
      <c r="I352" s="2">
        <f>Clients_Churn_Part[[#This Row],[Duree_Cumulee_Panne_Min]]/60</f>
        <v>6.3166666666666664</v>
      </c>
      <c r="J352">
        <v>49.01</v>
      </c>
      <c r="K352">
        <v>0</v>
      </c>
      <c r="L35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352">
        <f>Clients_Churn_Part[[#This Row],[Facture_Mensuelle]]*Clients_Churn_Part[[#This Row],[Remise]]</f>
        <v>0</v>
      </c>
      <c r="N35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53" spans="1:14" x14ac:dyDescent="0.3">
      <c r="A353" t="s">
        <v>682</v>
      </c>
      <c r="B353" t="s">
        <v>699</v>
      </c>
      <c r="C353" t="s">
        <v>35</v>
      </c>
      <c r="D353">
        <v>4</v>
      </c>
      <c r="E353" s="7">
        <f>Clients_Churn_Part[[#This Row],[Anciennete_Mois]]/12</f>
        <v>0.33333333333333331</v>
      </c>
      <c r="F353" t="s">
        <v>13</v>
      </c>
      <c r="G353" t="str">
        <f>IF(Clients_Churn_Part[[#This Row],[Type_Forfait]]="pro Monde","B2B","B2C")</f>
        <v>B2B</v>
      </c>
      <c r="H353">
        <v>449</v>
      </c>
      <c r="I353" s="2">
        <f>Clients_Churn_Part[[#This Row],[Duree_Cumulee_Panne_Min]]/60</f>
        <v>7.4833333333333334</v>
      </c>
      <c r="J353">
        <v>43.95</v>
      </c>
      <c r="K353">
        <v>2</v>
      </c>
      <c r="L35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353">
        <f>Clients_Churn_Part[[#This Row],[Facture_Mensuelle]]*Clients_Churn_Part[[#This Row],[Remise]]</f>
        <v>4.3950000000000005</v>
      </c>
      <c r="N35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54" spans="1:14" x14ac:dyDescent="0.3">
      <c r="A354" t="s">
        <v>360</v>
      </c>
      <c r="B354" t="s">
        <v>395</v>
      </c>
      <c r="C354" t="s">
        <v>37</v>
      </c>
      <c r="D354">
        <v>13</v>
      </c>
      <c r="E354" s="7">
        <f>Clients_Churn_Part[[#This Row],[Anciennete_Mois]]/12</f>
        <v>1.0833333333333333</v>
      </c>
      <c r="F354" t="s">
        <v>13</v>
      </c>
      <c r="G354" t="str">
        <f>IF(Clients_Churn_Part[[#This Row],[Type_Forfait]]="pro Monde","B2B","B2C")</f>
        <v>B2B</v>
      </c>
      <c r="H354">
        <v>173</v>
      </c>
      <c r="I354" s="2">
        <f>Clients_Churn_Part[[#This Row],[Duree_Cumulee_Panne_Min]]/60</f>
        <v>2.8833333333333333</v>
      </c>
      <c r="J354">
        <v>85.54</v>
      </c>
      <c r="K354">
        <v>3</v>
      </c>
      <c r="L35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354">
        <f>Clients_Churn_Part[[#This Row],[Facture_Mensuelle]]*Clients_Churn_Part[[#This Row],[Remise]]</f>
        <v>8.5540000000000003</v>
      </c>
      <c r="N35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55" spans="1:14" x14ac:dyDescent="0.3">
      <c r="A355" t="s">
        <v>79</v>
      </c>
      <c r="B355" t="s">
        <v>127</v>
      </c>
      <c r="C355" t="s">
        <v>41</v>
      </c>
      <c r="D355">
        <v>70</v>
      </c>
      <c r="E355" s="7">
        <f>Clients_Churn_Part[[#This Row],[Anciennete_Mois]]/12</f>
        <v>5.833333333333333</v>
      </c>
      <c r="F355" t="s">
        <v>13</v>
      </c>
      <c r="G355" t="str">
        <f>IF(Clients_Churn_Part[[#This Row],[Type_Forfait]]="pro Monde","B2B","B2C")</f>
        <v>B2B</v>
      </c>
      <c r="H355">
        <v>290</v>
      </c>
      <c r="I355" s="2">
        <f>Clients_Churn_Part[[#This Row],[Duree_Cumulee_Panne_Min]]/60</f>
        <v>4.833333333333333</v>
      </c>
      <c r="J355">
        <v>96.31</v>
      </c>
      <c r="K355">
        <v>1</v>
      </c>
      <c r="L35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55">
        <f>Clients_Churn_Part[[#This Row],[Facture_Mensuelle]]*Clients_Churn_Part[[#This Row],[Remise]]</f>
        <v>67.417000000000002</v>
      </c>
      <c r="N35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56" spans="1:14" x14ac:dyDescent="0.3">
      <c r="A356" t="s">
        <v>589</v>
      </c>
      <c r="B356" t="s">
        <v>624</v>
      </c>
      <c r="C356" t="s">
        <v>33</v>
      </c>
      <c r="D356">
        <v>49</v>
      </c>
      <c r="E356" s="7">
        <f>Clients_Churn_Part[[#This Row],[Anciennete_Mois]]/12</f>
        <v>4.083333333333333</v>
      </c>
      <c r="F356" t="s">
        <v>21</v>
      </c>
      <c r="G356" t="str">
        <f>IF(Clients_Churn_Part[[#This Row],[Type_Forfait]]="pro Monde","B2B","B2C")</f>
        <v>B2C</v>
      </c>
      <c r="H356">
        <v>25</v>
      </c>
      <c r="I356" s="2">
        <f>Clients_Churn_Part[[#This Row],[Duree_Cumulee_Panne_Min]]/60</f>
        <v>0.41666666666666669</v>
      </c>
      <c r="J356">
        <v>22.77</v>
      </c>
      <c r="K356">
        <v>3</v>
      </c>
      <c r="L35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356">
        <f>Clients_Churn_Part[[#This Row],[Facture_Mensuelle]]*Clients_Churn_Part[[#This Row],[Remise]]</f>
        <v>10.246499999999999</v>
      </c>
      <c r="N35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57" spans="1:14" x14ac:dyDescent="0.3">
      <c r="A357" t="s">
        <v>129</v>
      </c>
      <c r="B357" t="s">
        <v>167</v>
      </c>
      <c r="C357" t="s">
        <v>17</v>
      </c>
      <c r="D357">
        <v>11</v>
      </c>
      <c r="E357" s="7">
        <f>Clients_Churn_Part[[#This Row],[Anciennete_Mois]]/12</f>
        <v>0.91666666666666663</v>
      </c>
      <c r="F357" t="s">
        <v>18</v>
      </c>
      <c r="G357" t="str">
        <f>IF(Clients_Churn_Part[[#This Row],[Type_Forfait]]="pro Monde","B2B","B2C")</f>
        <v>B2C</v>
      </c>
      <c r="H357">
        <v>215</v>
      </c>
      <c r="I357" s="2">
        <f>Clients_Churn_Part[[#This Row],[Duree_Cumulee_Panne_Min]]/60</f>
        <v>3.5833333333333335</v>
      </c>
      <c r="J357">
        <v>51.99</v>
      </c>
      <c r="K357">
        <v>1</v>
      </c>
      <c r="L35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357">
        <f>Clients_Churn_Part[[#This Row],[Facture_Mensuelle]]*Clients_Churn_Part[[#This Row],[Remise]]</f>
        <v>0</v>
      </c>
      <c r="N35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58" spans="1:14" x14ac:dyDescent="0.3">
      <c r="A358" t="s">
        <v>637</v>
      </c>
      <c r="B358" t="s">
        <v>658</v>
      </c>
      <c r="C358" t="s">
        <v>83</v>
      </c>
      <c r="D358">
        <v>40</v>
      </c>
      <c r="E358" s="7">
        <f>Clients_Churn_Part[[#This Row],[Anciennete_Mois]]/12</f>
        <v>3.3333333333333335</v>
      </c>
      <c r="F358" t="s">
        <v>10</v>
      </c>
      <c r="G358" t="str">
        <f>IF(Clients_Churn_Part[[#This Row],[Type_Forfait]]="pro Monde","B2B","B2C")</f>
        <v>B2C</v>
      </c>
      <c r="H358">
        <v>235</v>
      </c>
      <c r="I358" s="2">
        <f>Clients_Churn_Part[[#This Row],[Duree_Cumulee_Panne_Min]]/60</f>
        <v>3.9166666666666665</v>
      </c>
      <c r="J358">
        <v>15.01</v>
      </c>
      <c r="K358">
        <v>3</v>
      </c>
      <c r="L35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358">
        <f>Clients_Churn_Part[[#This Row],[Facture_Mensuelle]]*Clients_Churn_Part[[#This Row],[Remise]]</f>
        <v>6.7545000000000002</v>
      </c>
      <c r="N35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59" spans="1:14" x14ac:dyDescent="0.3">
      <c r="A359" t="s">
        <v>129</v>
      </c>
      <c r="B359" t="s">
        <v>133</v>
      </c>
      <c r="C359" t="s">
        <v>54</v>
      </c>
      <c r="D359">
        <v>33</v>
      </c>
      <c r="E359" s="7">
        <f>Clients_Churn_Part[[#This Row],[Anciennete_Mois]]/12</f>
        <v>2.75</v>
      </c>
      <c r="F359" t="s">
        <v>21</v>
      </c>
      <c r="G359" t="str">
        <f>IF(Clients_Churn_Part[[#This Row],[Type_Forfait]]="pro Monde","B2B","B2C")</f>
        <v>B2C</v>
      </c>
      <c r="H359">
        <v>337</v>
      </c>
      <c r="I359" s="2">
        <f>Clients_Churn_Part[[#This Row],[Duree_Cumulee_Panne_Min]]/60</f>
        <v>5.6166666666666663</v>
      </c>
      <c r="J359">
        <v>62.61</v>
      </c>
      <c r="K359">
        <v>2</v>
      </c>
      <c r="L35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359">
        <f>Clients_Churn_Part[[#This Row],[Facture_Mensuelle]]*Clients_Churn_Part[[#This Row],[Remise]]</f>
        <v>0</v>
      </c>
      <c r="N35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60" spans="1:14" x14ac:dyDescent="0.3">
      <c r="A360" t="s">
        <v>494</v>
      </c>
      <c r="B360" t="s">
        <v>504</v>
      </c>
      <c r="C360" t="s">
        <v>126</v>
      </c>
      <c r="D360">
        <v>91</v>
      </c>
      <c r="E360" s="7">
        <f>Clients_Churn_Part[[#This Row],[Anciennete_Mois]]/12</f>
        <v>7.583333333333333</v>
      </c>
      <c r="F360" t="s">
        <v>21</v>
      </c>
      <c r="G360" t="str">
        <f>IF(Clients_Churn_Part[[#This Row],[Type_Forfait]]="pro Monde","B2B","B2C")</f>
        <v>B2C</v>
      </c>
      <c r="H360">
        <v>90</v>
      </c>
      <c r="I360" s="2">
        <f>Clients_Churn_Part[[#This Row],[Duree_Cumulee_Panne_Min]]/60</f>
        <v>1.5</v>
      </c>
      <c r="J360">
        <v>39.14</v>
      </c>
      <c r="K360">
        <v>3</v>
      </c>
      <c r="L36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60">
        <f>Clients_Churn_Part[[#This Row],[Facture_Mensuelle]]*Clients_Churn_Part[[#This Row],[Remise]]</f>
        <v>27.398</v>
      </c>
      <c r="N36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61" spans="1:14" x14ac:dyDescent="0.3">
      <c r="A361" t="s">
        <v>174</v>
      </c>
      <c r="B361" t="s">
        <v>219</v>
      </c>
      <c r="C361" t="s">
        <v>122</v>
      </c>
      <c r="D361">
        <v>18</v>
      </c>
      <c r="E361" s="7">
        <f>Clients_Churn_Part[[#This Row],[Anciennete_Mois]]/12</f>
        <v>1.5</v>
      </c>
      <c r="F361" t="s">
        <v>13</v>
      </c>
      <c r="G361" t="str">
        <f>IF(Clients_Churn_Part[[#This Row],[Type_Forfait]]="pro Monde","B2B","B2C")</f>
        <v>B2B</v>
      </c>
      <c r="H361">
        <v>71</v>
      </c>
      <c r="I361" s="2">
        <f>Clients_Churn_Part[[#This Row],[Duree_Cumulee_Panne_Min]]/60</f>
        <v>1.1833333333333333</v>
      </c>
      <c r="J361">
        <v>46.98</v>
      </c>
      <c r="K361">
        <v>2</v>
      </c>
      <c r="L36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361">
        <f>Clients_Churn_Part[[#This Row],[Facture_Mensuelle]]*Clients_Churn_Part[[#This Row],[Remise]]</f>
        <v>4.6979999999999995</v>
      </c>
      <c r="N36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62" spans="1:14" x14ac:dyDescent="0.3">
      <c r="A362" t="s">
        <v>8</v>
      </c>
      <c r="B362" t="s">
        <v>39</v>
      </c>
      <c r="C362" t="s">
        <v>24</v>
      </c>
      <c r="D362">
        <v>112</v>
      </c>
      <c r="E362" s="7">
        <f>Clients_Churn_Part[[#This Row],[Anciennete_Mois]]/12</f>
        <v>9.3333333333333339</v>
      </c>
      <c r="F362" t="s">
        <v>10</v>
      </c>
      <c r="G362" t="str">
        <f>IF(Clients_Churn_Part[[#This Row],[Type_Forfait]]="pro Monde","B2B","B2C")</f>
        <v>B2C</v>
      </c>
      <c r="H362">
        <v>460</v>
      </c>
      <c r="I362" s="2">
        <f>Clients_Churn_Part[[#This Row],[Duree_Cumulee_Panne_Min]]/60</f>
        <v>7.666666666666667</v>
      </c>
      <c r="J362">
        <v>55.47</v>
      </c>
      <c r="K362">
        <v>4</v>
      </c>
      <c r="L36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62">
        <f>Clients_Churn_Part[[#This Row],[Facture_Mensuelle]]*Clients_Churn_Part[[#This Row],[Remise]]</f>
        <v>38.828999999999994</v>
      </c>
      <c r="N36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63" spans="1:14" x14ac:dyDescent="0.3">
      <c r="A363" t="s">
        <v>538</v>
      </c>
      <c r="B363" t="s">
        <v>581</v>
      </c>
      <c r="C363" t="s">
        <v>29</v>
      </c>
      <c r="D363">
        <v>27</v>
      </c>
      <c r="E363" s="7">
        <f>Clients_Churn_Part[[#This Row],[Anciennete_Mois]]/12</f>
        <v>2.25</v>
      </c>
      <c r="F363" t="s">
        <v>18</v>
      </c>
      <c r="G363" t="str">
        <f>IF(Clients_Churn_Part[[#This Row],[Type_Forfait]]="pro Monde","B2B","B2C")</f>
        <v>B2C</v>
      </c>
      <c r="H363">
        <v>70</v>
      </c>
      <c r="I363" s="2">
        <f>Clients_Churn_Part[[#This Row],[Duree_Cumulee_Panne_Min]]/60</f>
        <v>1.1666666666666667</v>
      </c>
      <c r="J363">
        <v>20.32</v>
      </c>
      <c r="K363">
        <v>3</v>
      </c>
      <c r="L36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363">
        <f>Clients_Churn_Part[[#This Row],[Facture_Mensuelle]]*Clients_Churn_Part[[#This Row],[Remise]]</f>
        <v>0</v>
      </c>
      <c r="N36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64" spans="1:14" x14ac:dyDescent="0.3">
      <c r="A364" t="s">
        <v>682</v>
      </c>
      <c r="B364" t="s">
        <v>703</v>
      </c>
      <c r="C364" t="s">
        <v>83</v>
      </c>
      <c r="D364">
        <v>90</v>
      </c>
      <c r="E364" s="7">
        <f>Clients_Churn_Part[[#This Row],[Anciennete_Mois]]/12</f>
        <v>7.5</v>
      </c>
      <c r="F364" t="s">
        <v>21</v>
      </c>
      <c r="G364" t="str">
        <f>IF(Clients_Churn_Part[[#This Row],[Type_Forfait]]="pro Monde","B2B","B2C")</f>
        <v>B2C</v>
      </c>
      <c r="H364">
        <v>412</v>
      </c>
      <c r="I364" s="2">
        <f>Clients_Churn_Part[[#This Row],[Duree_Cumulee_Panne_Min]]/60</f>
        <v>6.8666666666666663</v>
      </c>
      <c r="J364">
        <v>20.62</v>
      </c>
      <c r="K364">
        <v>2</v>
      </c>
      <c r="L36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64">
        <f>Clients_Churn_Part[[#This Row],[Facture_Mensuelle]]*Clients_Churn_Part[[#This Row],[Remise]]</f>
        <v>14.433999999999999</v>
      </c>
      <c r="N36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65" spans="1:14" x14ac:dyDescent="0.3">
      <c r="A365" t="s">
        <v>682</v>
      </c>
      <c r="B365" t="s">
        <v>689</v>
      </c>
      <c r="C365" t="s">
        <v>24</v>
      </c>
      <c r="D365">
        <v>33</v>
      </c>
      <c r="E365" s="7">
        <f>Clients_Churn_Part[[#This Row],[Anciennete_Mois]]/12</f>
        <v>2.75</v>
      </c>
      <c r="F365" t="s">
        <v>13</v>
      </c>
      <c r="G365" t="str">
        <f>IF(Clients_Churn_Part[[#This Row],[Type_Forfait]]="pro Monde","B2B","B2C")</f>
        <v>B2B</v>
      </c>
      <c r="H365">
        <v>391</v>
      </c>
      <c r="I365" s="2">
        <f>Clients_Churn_Part[[#This Row],[Duree_Cumulee_Panne_Min]]/60</f>
        <v>6.5166666666666666</v>
      </c>
      <c r="J365">
        <v>88.88</v>
      </c>
      <c r="K365">
        <v>4</v>
      </c>
      <c r="L36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365">
        <f>Clients_Churn_Part[[#This Row],[Facture_Mensuelle]]*Clients_Churn_Part[[#This Row],[Remise]]</f>
        <v>8.8879999999999999</v>
      </c>
      <c r="N36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66" spans="1:14" x14ac:dyDescent="0.3">
      <c r="A366" t="s">
        <v>405</v>
      </c>
      <c r="B366" t="s">
        <v>421</v>
      </c>
      <c r="C366" t="s">
        <v>27</v>
      </c>
      <c r="D366">
        <v>1</v>
      </c>
      <c r="E366" s="7">
        <f>Clients_Churn_Part[[#This Row],[Anciennete_Mois]]/12</f>
        <v>8.3333333333333329E-2</v>
      </c>
      <c r="F366" t="s">
        <v>10</v>
      </c>
      <c r="G366" t="str">
        <f>IF(Clients_Churn_Part[[#This Row],[Type_Forfait]]="pro Monde","B2B","B2C")</f>
        <v>B2C</v>
      </c>
      <c r="H366">
        <v>368</v>
      </c>
      <c r="I366" s="2">
        <f>Clients_Churn_Part[[#This Row],[Duree_Cumulee_Panne_Min]]/60</f>
        <v>6.1333333333333337</v>
      </c>
      <c r="J366">
        <v>35.17</v>
      </c>
      <c r="K366">
        <v>1</v>
      </c>
      <c r="L36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366">
        <f>Clients_Churn_Part[[#This Row],[Facture_Mensuelle]]*Clients_Churn_Part[[#This Row],[Remise]]</f>
        <v>15.826500000000001</v>
      </c>
      <c r="N36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67" spans="1:14" x14ac:dyDescent="0.3">
      <c r="A367" t="s">
        <v>360</v>
      </c>
      <c r="B367" t="s">
        <v>363</v>
      </c>
      <c r="C367" t="s">
        <v>15</v>
      </c>
      <c r="D367">
        <v>117</v>
      </c>
      <c r="E367" s="7">
        <f>Clients_Churn_Part[[#This Row],[Anciennete_Mois]]/12</f>
        <v>9.75</v>
      </c>
      <c r="F367" t="s">
        <v>21</v>
      </c>
      <c r="G367" t="str">
        <f>IF(Clients_Churn_Part[[#This Row],[Type_Forfait]]="pro Monde","B2B","B2C")</f>
        <v>B2C</v>
      </c>
      <c r="H367">
        <v>338</v>
      </c>
      <c r="I367" s="2">
        <f>Clients_Churn_Part[[#This Row],[Duree_Cumulee_Panne_Min]]/60</f>
        <v>5.6333333333333337</v>
      </c>
      <c r="J367">
        <v>29.18</v>
      </c>
      <c r="K367">
        <v>5</v>
      </c>
      <c r="L36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67">
        <f>Clients_Churn_Part[[#This Row],[Facture_Mensuelle]]*Clients_Churn_Part[[#This Row],[Remise]]</f>
        <v>20.425999999999998</v>
      </c>
      <c r="N36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68" spans="1:14" x14ac:dyDescent="0.3">
      <c r="A368" t="s">
        <v>267</v>
      </c>
      <c r="B368" t="s">
        <v>279</v>
      </c>
      <c r="C368" t="s">
        <v>37</v>
      </c>
      <c r="D368">
        <v>50</v>
      </c>
      <c r="E368" s="7">
        <f>Clients_Churn_Part[[#This Row],[Anciennete_Mois]]/12</f>
        <v>4.166666666666667</v>
      </c>
      <c r="F368" t="s">
        <v>21</v>
      </c>
      <c r="G368" t="str">
        <f>IF(Clients_Churn_Part[[#This Row],[Type_Forfait]]="pro Monde","B2B","B2C")</f>
        <v>B2C</v>
      </c>
      <c r="H368">
        <v>446</v>
      </c>
      <c r="I368" s="2">
        <f>Clients_Churn_Part[[#This Row],[Duree_Cumulee_Panne_Min]]/60</f>
        <v>7.4333333333333336</v>
      </c>
      <c r="J368">
        <v>31.56</v>
      </c>
      <c r="K368">
        <v>5</v>
      </c>
      <c r="L36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368">
        <f>Clients_Churn_Part[[#This Row],[Facture_Mensuelle]]*Clients_Churn_Part[[#This Row],[Remise]]</f>
        <v>0</v>
      </c>
      <c r="N36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69" spans="1:14" x14ac:dyDescent="0.3">
      <c r="A369" t="s">
        <v>360</v>
      </c>
      <c r="B369" t="s">
        <v>383</v>
      </c>
      <c r="C369" t="s">
        <v>12</v>
      </c>
      <c r="D369">
        <v>76</v>
      </c>
      <c r="E369" s="7">
        <f>Clients_Churn_Part[[#This Row],[Anciennete_Mois]]/12</f>
        <v>6.333333333333333</v>
      </c>
      <c r="F369" t="s">
        <v>10</v>
      </c>
      <c r="G369" t="str">
        <f>IF(Clients_Churn_Part[[#This Row],[Type_Forfait]]="pro Monde","B2B","B2C")</f>
        <v>B2C</v>
      </c>
      <c r="H369">
        <v>187</v>
      </c>
      <c r="I369" s="2">
        <f>Clients_Churn_Part[[#This Row],[Duree_Cumulee_Panne_Min]]/60</f>
        <v>3.1166666666666667</v>
      </c>
      <c r="J369">
        <v>56.29</v>
      </c>
      <c r="K369">
        <v>1</v>
      </c>
      <c r="L36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69">
        <f>Clients_Churn_Part[[#This Row],[Facture_Mensuelle]]*Clients_Churn_Part[[#This Row],[Remise]]</f>
        <v>39.402999999999999</v>
      </c>
      <c r="N36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70" spans="1:14" x14ac:dyDescent="0.3">
      <c r="A370" t="s">
        <v>405</v>
      </c>
      <c r="B370" t="s">
        <v>443</v>
      </c>
      <c r="C370" t="s">
        <v>33</v>
      </c>
      <c r="D370">
        <v>88</v>
      </c>
      <c r="E370" s="7">
        <f>Clients_Churn_Part[[#This Row],[Anciennete_Mois]]/12</f>
        <v>7.333333333333333</v>
      </c>
      <c r="F370" t="s">
        <v>18</v>
      </c>
      <c r="G370" t="str">
        <f>IF(Clients_Churn_Part[[#This Row],[Type_Forfait]]="pro Monde","B2B","B2C")</f>
        <v>B2C</v>
      </c>
      <c r="H370">
        <v>474</v>
      </c>
      <c r="I370" s="2">
        <f>Clients_Churn_Part[[#This Row],[Duree_Cumulee_Panne_Min]]/60</f>
        <v>7.9</v>
      </c>
      <c r="J370">
        <v>23.35</v>
      </c>
      <c r="K370">
        <v>5</v>
      </c>
      <c r="L37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70">
        <f>Clients_Churn_Part[[#This Row],[Facture_Mensuelle]]*Clients_Churn_Part[[#This Row],[Remise]]</f>
        <v>16.344999999999999</v>
      </c>
      <c r="N37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71" spans="1:14" x14ac:dyDescent="0.3">
      <c r="A371" t="s">
        <v>452</v>
      </c>
      <c r="B371" t="s">
        <v>456</v>
      </c>
      <c r="C371" t="s">
        <v>61</v>
      </c>
      <c r="D371">
        <v>115</v>
      </c>
      <c r="E371" s="7">
        <f>Clients_Churn_Part[[#This Row],[Anciennete_Mois]]/12</f>
        <v>9.5833333333333339</v>
      </c>
      <c r="F371" t="s">
        <v>13</v>
      </c>
      <c r="G371" t="str">
        <f>IF(Clients_Churn_Part[[#This Row],[Type_Forfait]]="pro Monde","B2B","B2C")</f>
        <v>B2B</v>
      </c>
      <c r="H371">
        <v>190</v>
      </c>
      <c r="I371" s="2">
        <f>Clients_Churn_Part[[#This Row],[Duree_Cumulee_Panne_Min]]/60</f>
        <v>3.1666666666666665</v>
      </c>
      <c r="J371">
        <v>10.98</v>
      </c>
      <c r="K371">
        <v>0</v>
      </c>
      <c r="L37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71">
        <f>Clients_Churn_Part[[#This Row],[Facture_Mensuelle]]*Clients_Churn_Part[[#This Row],[Remise]]</f>
        <v>7.6859999999999999</v>
      </c>
      <c r="N37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72" spans="1:14" x14ac:dyDescent="0.3">
      <c r="A372" t="s">
        <v>267</v>
      </c>
      <c r="B372" t="s">
        <v>299</v>
      </c>
      <c r="C372" t="s">
        <v>41</v>
      </c>
      <c r="D372">
        <v>84</v>
      </c>
      <c r="E372" s="7">
        <f>Clients_Churn_Part[[#This Row],[Anciennete_Mois]]/12</f>
        <v>7</v>
      </c>
      <c r="F372" t="s">
        <v>18</v>
      </c>
      <c r="G372" t="str">
        <f>IF(Clients_Churn_Part[[#This Row],[Type_Forfait]]="pro Monde","B2B","B2C")</f>
        <v>B2C</v>
      </c>
      <c r="H372">
        <v>244</v>
      </c>
      <c r="I372" s="2">
        <f>Clients_Churn_Part[[#This Row],[Duree_Cumulee_Panne_Min]]/60</f>
        <v>4.0666666666666664</v>
      </c>
      <c r="J372">
        <v>56.34</v>
      </c>
      <c r="K372">
        <v>5</v>
      </c>
      <c r="L37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72">
        <f>Clients_Churn_Part[[#This Row],[Facture_Mensuelle]]*Clients_Churn_Part[[#This Row],[Remise]]</f>
        <v>39.438000000000002</v>
      </c>
      <c r="N37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73" spans="1:14" x14ac:dyDescent="0.3">
      <c r="A373" t="s">
        <v>538</v>
      </c>
      <c r="B373" t="s">
        <v>579</v>
      </c>
      <c r="C373" t="s">
        <v>68</v>
      </c>
      <c r="D373">
        <v>21</v>
      </c>
      <c r="E373" s="7">
        <f>Clients_Churn_Part[[#This Row],[Anciennete_Mois]]/12</f>
        <v>1.75</v>
      </c>
      <c r="F373" t="s">
        <v>18</v>
      </c>
      <c r="G373" t="str">
        <f>IF(Clients_Churn_Part[[#This Row],[Type_Forfait]]="pro Monde","B2B","B2C")</f>
        <v>B2C</v>
      </c>
      <c r="H373">
        <v>15</v>
      </c>
      <c r="I373" s="2">
        <f>Clients_Churn_Part[[#This Row],[Duree_Cumulee_Panne_Min]]/60</f>
        <v>0.25</v>
      </c>
      <c r="J373">
        <v>57.74</v>
      </c>
      <c r="K373">
        <v>0</v>
      </c>
      <c r="L37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373">
        <f>Clients_Churn_Part[[#This Row],[Facture_Mensuelle]]*Clients_Churn_Part[[#This Row],[Remise]]</f>
        <v>25.983000000000001</v>
      </c>
      <c r="N37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74" spans="1:14" x14ac:dyDescent="0.3">
      <c r="A374" t="s">
        <v>494</v>
      </c>
      <c r="B374" t="s">
        <v>496</v>
      </c>
      <c r="C374" t="s">
        <v>126</v>
      </c>
      <c r="D374">
        <v>21</v>
      </c>
      <c r="E374" s="7">
        <f>Clients_Churn_Part[[#This Row],[Anciennete_Mois]]/12</f>
        <v>1.75</v>
      </c>
      <c r="F374" t="s">
        <v>21</v>
      </c>
      <c r="G374" t="str">
        <f>IF(Clients_Churn_Part[[#This Row],[Type_Forfait]]="pro Monde","B2B","B2C")</f>
        <v>B2C</v>
      </c>
      <c r="H374">
        <v>444</v>
      </c>
      <c r="I374" s="2">
        <f>Clients_Churn_Part[[#This Row],[Duree_Cumulee_Panne_Min]]/60</f>
        <v>7.4</v>
      </c>
      <c r="J374">
        <v>41.92</v>
      </c>
      <c r="K374">
        <v>3</v>
      </c>
      <c r="L37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374">
        <f>Clients_Churn_Part[[#This Row],[Facture_Mensuelle]]*Clients_Churn_Part[[#This Row],[Remise]]</f>
        <v>0</v>
      </c>
      <c r="N37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75" spans="1:14" x14ac:dyDescent="0.3">
      <c r="A375" t="s">
        <v>637</v>
      </c>
      <c r="B375" t="s">
        <v>676</v>
      </c>
      <c r="C375" t="s">
        <v>61</v>
      </c>
      <c r="D375">
        <v>92</v>
      </c>
      <c r="E375" s="7">
        <f>Clients_Churn_Part[[#This Row],[Anciennete_Mois]]/12</f>
        <v>7.666666666666667</v>
      </c>
      <c r="F375" t="s">
        <v>18</v>
      </c>
      <c r="G375" t="str">
        <f>IF(Clients_Churn_Part[[#This Row],[Type_Forfait]]="pro Monde","B2B","B2C")</f>
        <v>B2C</v>
      </c>
      <c r="H375">
        <v>379</v>
      </c>
      <c r="I375" s="2">
        <f>Clients_Churn_Part[[#This Row],[Duree_Cumulee_Panne_Min]]/60</f>
        <v>6.3166666666666664</v>
      </c>
      <c r="J375">
        <v>70.08</v>
      </c>
      <c r="K375">
        <v>5</v>
      </c>
      <c r="L37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75">
        <f>Clients_Churn_Part[[#This Row],[Facture_Mensuelle]]*Clients_Churn_Part[[#This Row],[Remise]]</f>
        <v>49.055999999999997</v>
      </c>
      <c r="N37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76" spans="1:14" x14ac:dyDescent="0.3">
      <c r="A376" t="s">
        <v>267</v>
      </c>
      <c r="B376" t="s">
        <v>275</v>
      </c>
      <c r="C376" t="s">
        <v>61</v>
      </c>
      <c r="D376">
        <v>114</v>
      </c>
      <c r="E376" s="7">
        <f>Clients_Churn_Part[[#This Row],[Anciennete_Mois]]/12</f>
        <v>9.5</v>
      </c>
      <c r="F376" t="s">
        <v>18</v>
      </c>
      <c r="G376" t="str">
        <f>IF(Clients_Churn_Part[[#This Row],[Type_Forfait]]="pro Monde","B2B","B2C")</f>
        <v>B2C</v>
      </c>
      <c r="H376">
        <v>388</v>
      </c>
      <c r="I376" s="2">
        <f>Clients_Churn_Part[[#This Row],[Duree_Cumulee_Panne_Min]]/60</f>
        <v>6.4666666666666668</v>
      </c>
      <c r="J376">
        <v>40.29</v>
      </c>
      <c r="K376">
        <v>5</v>
      </c>
      <c r="L37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76">
        <f>Clients_Churn_Part[[#This Row],[Facture_Mensuelle]]*Clients_Churn_Part[[#This Row],[Remise]]</f>
        <v>28.202999999999996</v>
      </c>
      <c r="N37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77" spans="1:14" x14ac:dyDescent="0.3">
      <c r="A377" t="s">
        <v>79</v>
      </c>
      <c r="B377" t="s">
        <v>82</v>
      </c>
      <c r="C377" t="s">
        <v>83</v>
      </c>
      <c r="D377">
        <v>98</v>
      </c>
      <c r="E377" s="7">
        <f>Clients_Churn_Part[[#This Row],[Anciennete_Mois]]/12</f>
        <v>8.1666666666666661</v>
      </c>
      <c r="F377" t="s">
        <v>13</v>
      </c>
      <c r="G377" t="str">
        <f>IF(Clients_Churn_Part[[#This Row],[Type_Forfait]]="pro Monde","B2B","B2C")</f>
        <v>B2B</v>
      </c>
      <c r="H377">
        <v>482</v>
      </c>
      <c r="I377" s="2">
        <f>Clients_Churn_Part[[#This Row],[Duree_Cumulee_Panne_Min]]/60</f>
        <v>8.0333333333333332</v>
      </c>
      <c r="J377">
        <v>55.04</v>
      </c>
      <c r="K377">
        <v>5</v>
      </c>
      <c r="L37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77">
        <f>Clients_Churn_Part[[#This Row],[Facture_Mensuelle]]*Clients_Churn_Part[[#This Row],[Remise]]</f>
        <v>38.527999999999999</v>
      </c>
      <c r="N37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78" spans="1:14" x14ac:dyDescent="0.3">
      <c r="A378" t="s">
        <v>220</v>
      </c>
      <c r="B378" t="s">
        <v>241</v>
      </c>
      <c r="C378" t="s">
        <v>54</v>
      </c>
      <c r="D378">
        <v>15</v>
      </c>
      <c r="E378" s="7">
        <f>Clients_Churn_Part[[#This Row],[Anciennete_Mois]]/12</f>
        <v>1.25</v>
      </c>
      <c r="F378" t="s">
        <v>18</v>
      </c>
      <c r="G378" t="str">
        <f>IF(Clients_Churn_Part[[#This Row],[Type_Forfait]]="pro Monde","B2B","B2C")</f>
        <v>B2C</v>
      </c>
      <c r="H378">
        <v>319</v>
      </c>
      <c r="I378" s="2">
        <f>Clients_Churn_Part[[#This Row],[Duree_Cumulee_Panne_Min]]/60</f>
        <v>5.3166666666666664</v>
      </c>
      <c r="J378">
        <v>78.150000000000006</v>
      </c>
      <c r="K378">
        <v>4</v>
      </c>
      <c r="L37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378">
        <f>Clients_Churn_Part[[#This Row],[Facture_Mensuelle]]*Clients_Churn_Part[[#This Row],[Remise]]</f>
        <v>0</v>
      </c>
      <c r="N37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79" spans="1:14" x14ac:dyDescent="0.3">
      <c r="A379" t="s">
        <v>682</v>
      </c>
      <c r="B379" t="s">
        <v>702</v>
      </c>
      <c r="C379" t="s">
        <v>83</v>
      </c>
      <c r="D379">
        <v>42</v>
      </c>
      <c r="E379" s="7">
        <f>Clients_Churn_Part[[#This Row],[Anciennete_Mois]]/12</f>
        <v>3.5</v>
      </c>
      <c r="F379" t="s">
        <v>18</v>
      </c>
      <c r="G379" t="str">
        <f>IF(Clients_Churn_Part[[#This Row],[Type_Forfait]]="pro Monde","B2B","B2C")</f>
        <v>B2C</v>
      </c>
      <c r="H379">
        <v>252</v>
      </c>
      <c r="I379" s="2">
        <f>Clients_Churn_Part[[#This Row],[Duree_Cumulee_Panne_Min]]/60</f>
        <v>4.2</v>
      </c>
      <c r="J379">
        <v>59.46</v>
      </c>
      <c r="K379">
        <v>4</v>
      </c>
      <c r="L37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379">
        <f>Clients_Churn_Part[[#This Row],[Facture_Mensuelle]]*Clients_Churn_Part[[#This Row],[Remise]]</f>
        <v>0</v>
      </c>
      <c r="N37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80" spans="1:14" x14ac:dyDescent="0.3">
      <c r="A380" t="s">
        <v>682</v>
      </c>
      <c r="B380" t="s">
        <v>687</v>
      </c>
      <c r="C380" t="s">
        <v>24</v>
      </c>
      <c r="D380">
        <v>8</v>
      </c>
      <c r="E380" s="7">
        <f>Clients_Churn_Part[[#This Row],[Anciennete_Mois]]/12</f>
        <v>0.66666666666666663</v>
      </c>
      <c r="F380" t="s">
        <v>18</v>
      </c>
      <c r="G380" t="str">
        <f>IF(Clients_Churn_Part[[#This Row],[Type_Forfait]]="pro Monde","B2B","B2C")</f>
        <v>B2C</v>
      </c>
      <c r="H380">
        <v>171</v>
      </c>
      <c r="I380" s="2">
        <f>Clients_Churn_Part[[#This Row],[Duree_Cumulee_Panne_Min]]/60</f>
        <v>2.85</v>
      </c>
      <c r="J380">
        <v>52.98</v>
      </c>
      <c r="K380">
        <v>0</v>
      </c>
      <c r="L38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380">
        <f>Clients_Churn_Part[[#This Row],[Facture_Mensuelle]]*Clients_Churn_Part[[#This Row],[Remise]]</f>
        <v>0</v>
      </c>
      <c r="N38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81" spans="1:14" x14ac:dyDescent="0.3">
      <c r="A381" t="s">
        <v>79</v>
      </c>
      <c r="B381" t="s">
        <v>91</v>
      </c>
      <c r="C381" t="s">
        <v>20</v>
      </c>
      <c r="D381">
        <v>12</v>
      </c>
      <c r="E381" s="7">
        <f>Clients_Churn_Part[[#This Row],[Anciennete_Mois]]/12</f>
        <v>1</v>
      </c>
      <c r="F381" t="s">
        <v>13</v>
      </c>
      <c r="G381" t="str">
        <f>IF(Clients_Churn_Part[[#This Row],[Type_Forfait]]="pro Monde","B2B","B2C")</f>
        <v>B2B</v>
      </c>
      <c r="H381">
        <v>305</v>
      </c>
      <c r="I381" s="2">
        <f>Clients_Churn_Part[[#This Row],[Duree_Cumulee_Panne_Min]]/60</f>
        <v>5.083333333333333</v>
      </c>
      <c r="J381">
        <v>59.96</v>
      </c>
      <c r="K381">
        <v>3</v>
      </c>
      <c r="L38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381">
        <f>Clients_Churn_Part[[#This Row],[Facture_Mensuelle]]*Clients_Churn_Part[[#This Row],[Remise]]</f>
        <v>5.9960000000000004</v>
      </c>
      <c r="N38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82" spans="1:14" x14ac:dyDescent="0.3">
      <c r="A382" t="s">
        <v>314</v>
      </c>
      <c r="B382" t="s">
        <v>341</v>
      </c>
      <c r="C382" t="s">
        <v>33</v>
      </c>
      <c r="D382">
        <v>29</v>
      </c>
      <c r="E382" s="7">
        <f>Clients_Churn_Part[[#This Row],[Anciennete_Mois]]/12</f>
        <v>2.4166666666666665</v>
      </c>
      <c r="F382" t="s">
        <v>13</v>
      </c>
      <c r="G382" t="str">
        <f>IF(Clients_Churn_Part[[#This Row],[Type_Forfait]]="pro Monde","B2B","B2C")</f>
        <v>B2B</v>
      </c>
      <c r="H382">
        <v>203</v>
      </c>
      <c r="I382" s="2">
        <f>Clients_Churn_Part[[#This Row],[Duree_Cumulee_Panne_Min]]/60</f>
        <v>3.3833333333333333</v>
      </c>
      <c r="J382">
        <v>53.97</v>
      </c>
      <c r="K382">
        <v>5</v>
      </c>
      <c r="L38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382">
        <f>Clients_Churn_Part[[#This Row],[Facture_Mensuelle]]*Clients_Churn_Part[[#This Row],[Remise]]</f>
        <v>5.3970000000000002</v>
      </c>
      <c r="N38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83" spans="1:14" x14ac:dyDescent="0.3">
      <c r="A383" t="s">
        <v>452</v>
      </c>
      <c r="B383" t="s">
        <v>460</v>
      </c>
      <c r="C383" t="s">
        <v>33</v>
      </c>
      <c r="D383">
        <v>80</v>
      </c>
      <c r="E383" s="7">
        <f>Clients_Churn_Part[[#This Row],[Anciennete_Mois]]/12</f>
        <v>6.666666666666667</v>
      </c>
      <c r="F383" t="s">
        <v>13</v>
      </c>
      <c r="G383" t="str">
        <f>IF(Clients_Churn_Part[[#This Row],[Type_Forfait]]="pro Monde","B2B","B2C")</f>
        <v>B2B</v>
      </c>
      <c r="H383">
        <v>339</v>
      </c>
      <c r="I383" s="2">
        <f>Clients_Churn_Part[[#This Row],[Duree_Cumulee_Panne_Min]]/60</f>
        <v>5.65</v>
      </c>
      <c r="J383">
        <v>59.87</v>
      </c>
      <c r="K383">
        <v>0</v>
      </c>
      <c r="L38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83">
        <f>Clients_Churn_Part[[#This Row],[Facture_Mensuelle]]*Clients_Churn_Part[[#This Row],[Remise]]</f>
        <v>41.908999999999999</v>
      </c>
      <c r="N38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84" spans="1:14" x14ac:dyDescent="0.3">
      <c r="A384" t="s">
        <v>79</v>
      </c>
      <c r="B384" t="s">
        <v>104</v>
      </c>
      <c r="C384" t="s">
        <v>17</v>
      </c>
      <c r="D384">
        <v>95</v>
      </c>
      <c r="E384" s="7">
        <f>Clients_Churn_Part[[#This Row],[Anciennete_Mois]]/12</f>
        <v>7.916666666666667</v>
      </c>
      <c r="F384" t="s">
        <v>18</v>
      </c>
      <c r="G384" t="str">
        <f>IF(Clients_Churn_Part[[#This Row],[Type_Forfait]]="pro Monde","B2B","B2C")</f>
        <v>B2C</v>
      </c>
      <c r="H384">
        <v>33</v>
      </c>
      <c r="I384" s="2">
        <f>Clients_Churn_Part[[#This Row],[Duree_Cumulee_Panne_Min]]/60</f>
        <v>0.55000000000000004</v>
      </c>
      <c r="J384">
        <v>35.32</v>
      </c>
      <c r="K384">
        <v>0</v>
      </c>
      <c r="L38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84">
        <f>Clients_Churn_Part[[#This Row],[Facture_Mensuelle]]*Clients_Churn_Part[[#This Row],[Remise]]</f>
        <v>24.724</v>
      </c>
      <c r="N38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85" spans="1:14" x14ac:dyDescent="0.3">
      <c r="A385" t="s">
        <v>637</v>
      </c>
      <c r="B385" t="s">
        <v>674</v>
      </c>
      <c r="C385" t="s">
        <v>23</v>
      </c>
      <c r="D385">
        <v>99</v>
      </c>
      <c r="E385" s="7">
        <f>Clients_Churn_Part[[#This Row],[Anciennete_Mois]]/12</f>
        <v>8.25</v>
      </c>
      <c r="F385" t="s">
        <v>13</v>
      </c>
      <c r="G385" t="str">
        <f>IF(Clients_Churn_Part[[#This Row],[Type_Forfait]]="pro Monde","B2B","B2C")</f>
        <v>B2B</v>
      </c>
      <c r="H385">
        <v>169</v>
      </c>
      <c r="I385" s="2">
        <f>Clients_Churn_Part[[#This Row],[Duree_Cumulee_Panne_Min]]/60</f>
        <v>2.8166666666666669</v>
      </c>
      <c r="J385">
        <v>76.75</v>
      </c>
      <c r="K385">
        <v>5</v>
      </c>
      <c r="L38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85">
        <f>Clients_Churn_Part[[#This Row],[Facture_Mensuelle]]*Clients_Churn_Part[[#This Row],[Remise]]</f>
        <v>53.724999999999994</v>
      </c>
      <c r="N38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86" spans="1:14" x14ac:dyDescent="0.3">
      <c r="A386" t="s">
        <v>452</v>
      </c>
      <c r="B386" t="s">
        <v>458</v>
      </c>
      <c r="C386" t="s">
        <v>48</v>
      </c>
      <c r="D386">
        <v>88</v>
      </c>
      <c r="E386" s="7">
        <f>Clients_Churn_Part[[#This Row],[Anciennete_Mois]]/12</f>
        <v>7.333333333333333</v>
      </c>
      <c r="F386" t="s">
        <v>10</v>
      </c>
      <c r="G386" t="str">
        <f>IF(Clients_Churn_Part[[#This Row],[Type_Forfait]]="pro Monde","B2B","B2C")</f>
        <v>B2C</v>
      </c>
      <c r="H386">
        <v>359</v>
      </c>
      <c r="I386" s="2">
        <f>Clients_Churn_Part[[#This Row],[Duree_Cumulee_Panne_Min]]/60</f>
        <v>5.9833333333333334</v>
      </c>
      <c r="J386">
        <v>71.19</v>
      </c>
      <c r="K386">
        <v>3</v>
      </c>
      <c r="L38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86">
        <f>Clients_Churn_Part[[#This Row],[Facture_Mensuelle]]*Clients_Churn_Part[[#This Row],[Remise]]</f>
        <v>49.832999999999998</v>
      </c>
      <c r="N38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87" spans="1:14" x14ac:dyDescent="0.3">
      <c r="A387" t="s">
        <v>589</v>
      </c>
      <c r="B387" t="s">
        <v>611</v>
      </c>
      <c r="C387" t="s">
        <v>17</v>
      </c>
      <c r="D387">
        <v>7</v>
      </c>
      <c r="E387" s="7">
        <f>Clients_Churn_Part[[#This Row],[Anciennete_Mois]]/12</f>
        <v>0.58333333333333337</v>
      </c>
      <c r="F387" t="s">
        <v>18</v>
      </c>
      <c r="G387" t="str">
        <f>IF(Clients_Churn_Part[[#This Row],[Type_Forfait]]="pro Monde","B2B","B2C")</f>
        <v>B2C</v>
      </c>
      <c r="H387">
        <v>43</v>
      </c>
      <c r="I387" s="2">
        <f>Clients_Churn_Part[[#This Row],[Duree_Cumulee_Panne_Min]]/60</f>
        <v>0.71666666666666667</v>
      </c>
      <c r="J387">
        <v>41.29</v>
      </c>
      <c r="K387">
        <v>4</v>
      </c>
      <c r="L38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387">
        <f>Clients_Churn_Part[[#This Row],[Facture_Mensuelle]]*Clients_Churn_Part[[#This Row],[Remise]]</f>
        <v>0</v>
      </c>
      <c r="N38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88" spans="1:14" x14ac:dyDescent="0.3">
      <c r="A388" t="s">
        <v>682</v>
      </c>
      <c r="B388" t="s">
        <v>720</v>
      </c>
      <c r="C388" t="s">
        <v>17</v>
      </c>
      <c r="D388">
        <v>68</v>
      </c>
      <c r="E388" s="7">
        <f>Clients_Churn_Part[[#This Row],[Anciennete_Mois]]/12</f>
        <v>5.666666666666667</v>
      </c>
      <c r="F388" t="s">
        <v>13</v>
      </c>
      <c r="G388" t="str">
        <f>IF(Clients_Churn_Part[[#This Row],[Type_Forfait]]="pro Monde","B2B","B2C")</f>
        <v>B2B</v>
      </c>
      <c r="H388">
        <v>282</v>
      </c>
      <c r="I388" s="2">
        <f>Clients_Churn_Part[[#This Row],[Duree_Cumulee_Panne_Min]]/60</f>
        <v>4.7</v>
      </c>
      <c r="J388">
        <v>35.43</v>
      </c>
      <c r="K388">
        <v>1</v>
      </c>
      <c r="L38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88">
        <f>Clients_Churn_Part[[#This Row],[Facture_Mensuelle]]*Clients_Churn_Part[[#This Row],[Remise]]</f>
        <v>24.800999999999998</v>
      </c>
      <c r="N38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89" spans="1:14" x14ac:dyDescent="0.3">
      <c r="A389" t="s">
        <v>452</v>
      </c>
      <c r="B389" t="s">
        <v>478</v>
      </c>
      <c r="C389" t="s">
        <v>35</v>
      </c>
      <c r="D389">
        <v>1</v>
      </c>
      <c r="E389" s="7">
        <f>Clients_Churn_Part[[#This Row],[Anciennete_Mois]]/12</f>
        <v>8.3333333333333329E-2</v>
      </c>
      <c r="F389" t="s">
        <v>21</v>
      </c>
      <c r="G389" t="str">
        <f>IF(Clients_Churn_Part[[#This Row],[Type_Forfait]]="pro Monde","B2B","B2C")</f>
        <v>B2C</v>
      </c>
      <c r="H389">
        <v>213</v>
      </c>
      <c r="I389" s="2">
        <f>Clients_Churn_Part[[#This Row],[Duree_Cumulee_Panne_Min]]/60</f>
        <v>3.55</v>
      </c>
      <c r="J389">
        <v>52.16</v>
      </c>
      <c r="K389">
        <v>3</v>
      </c>
      <c r="L38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389">
        <f>Clients_Churn_Part[[#This Row],[Facture_Mensuelle]]*Clients_Churn_Part[[#This Row],[Remise]]</f>
        <v>0</v>
      </c>
      <c r="N38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90" spans="1:14" x14ac:dyDescent="0.3">
      <c r="A390" t="s">
        <v>682</v>
      </c>
      <c r="B390" t="s">
        <v>695</v>
      </c>
      <c r="C390" t="s">
        <v>126</v>
      </c>
      <c r="D390">
        <v>98</v>
      </c>
      <c r="E390" s="7">
        <f>Clients_Churn_Part[[#This Row],[Anciennete_Mois]]/12</f>
        <v>8.1666666666666661</v>
      </c>
      <c r="F390" t="s">
        <v>13</v>
      </c>
      <c r="G390" t="str">
        <f>IF(Clients_Churn_Part[[#This Row],[Type_Forfait]]="pro Monde","B2B","B2C")</f>
        <v>B2B</v>
      </c>
      <c r="H390">
        <v>168</v>
      </c>
      <c r="I390" s="2">
        <f>Clients_Churn_Part[[#This Row],[Duree_Cumulee_Panne_Min]]/60</f>
        <v>2.8</v>
      </c>
      <c r="J390">
        <v>44.14</v>
      </c>
      <c r="K390">
        <v>3</v>
      </c>
      <c r="L39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90">
        <f>Clients_Churn_Part[[#This Row],[Facture_Mensuelle]]*Clients_Churn_Part[[#This Row],[Remise]]</f>
        <v>30.898</v>
      </c>
      <c r="N39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91" spans="1:14" x14ac:dyDescent="0.3">
      <c r="A391" t="s">
        <v>220</v>
      </c>
      <c r="B391" t="s">
        <v>253</v>
      </c>
      <c r="C391" t="s">
        <v>9</v>
      </c>
      <c r="D391">
        <v>85</v>
      </c>
      <c r="E391" s="7">
        <f>Clients_Churn_Part[[#This Row],[Anciennete_Mois]]/12</f>
        <v>7.083333333333333</v>
      </c>
      <c r="F391" t="s">
        <v>10</v>
      </c>
      <c r="G391" t="str">
        <f>IF(Clients_Churn_Part[[#This Row],[Type_Forfait]]="pro Monde","B2B","B2C")</f>
        <v>B2C</v>
      </c>
      <c r="H391">
        <v>274</v>
      </c>
      <c r="I391" s="2">
        <f>Clients_Churn_Part[[#This Row],[Duree_Cumulee_Panne_Min]]/60</f>
        <v>4.5666666666666664</v>
      </c>
      <c r="J391">
        <v>35.03</v>
      </c>
      <c r="K391">
        <v>1</v>
      </c>
      <c r="L39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91">
        <f>Clients_Churn_Part[[#This Row],[Facture_Mensuelle]]*Clients_Churn_Part[[#This Row],[Remise]]</f>
        <v>24.521000000000001</v>
      </c>
      <c r="N39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92" spans="1:14" x14ac:dyDescent="0.3">
      <c r="A392" t="s">
        <v>682</v>
      </c>
      <c r="B392" t="s">
        <v>688</v>
      </c>
      <c r="C392" t="s">
        <v>122</v>
      </c>
      <c r="D392">
        <v>79</v>
      </c>
      <c r="E392" s="7">
        <f>Clients_Churn_Part[[#This Row],[Anciennete_Mois]]/12</f>
        <v>6.583333333333333</v>
      </c>
      <c r="F392" t="s">
        <v>10</v>
      </c>
      <c r="G392" t="str">
        <f>IF(Clients_Churn_Part[[#This Row],[Type_Forfait]]="pro Monde","B2B","B2C")</f>
        <v>B2C</v>
      </c>
      <c r="H392">
        <v>454</v>
      </c>
      <c r="I392" s="2">
        <f>Clients_Churn_Part[[#This Row],[Duree_Cumulee_Panne_Min]]/60</f>
        <v>7.5666666666666664</v>
      </c>
      <c r="J392">
        <v>80.34</v>
      </c>
      <c r="K392">
        <v>2</v>
      </c>
      <c r="L39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92">
        <f>Clients_Churn_Part[[#This Row],[Facture_Mensuelle]]*Clients_Churn_Part[[#This Row],[Remise]]</f>
        <v>56.238</v>
      </c>
      <c r="N39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93" spans="1:14" x14ac:dyDescent="0.3">
      <c r="A393" t="s">
        <v>314</v>
      </c>
      <c r="B393" t="s">
        <v>358</v>
      </c>
      <c r="C393" t="s">
        <v>33</v>
      </c>
      <c r="D393">
        <v>65</v>
      </c>
      <c r="E393" s="7">
        <f>Clients_Churn_Part[[#This Row],[Anciennete_Mois]]/12</f>
        <v>5.416666666666667</v>
      </c>
      <c r="F393" t="s">
        <v>18</v>
      </c>
      <c r="G393" t="str">
        <f>IF(Clients_Churn_Part[[#This Row],[Type_Forfait]]="pro Monde","B2B","B2C")</f>
        <v>B2C</v>
      </c>
      <c r="H393">
        <v>442</v>
      </c>
      <c r="I393" s="2">
        <f>Clients_Churn_Part[[#This Row],[Duree_Cumulee_Panne_Min]]/60</f>
        <v>7.3666666666666663</v>
      </c>
      <c r="J393">
        <v>60.62</v>
      </c>
      <c r="K393">
        <v>5</v>
      </c>
      <c r="L39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93">
        <f>Clients_Churn_Part[[#This Row],[Facture_Mensuelle]]*Clients_Churn_Part[[#This Row],[Remise]]</f>
        <v>42.433999999999997</v>
      </c>
      <c r="N39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94" spans="1:14" x14ac:dyDescent="0.3">
      <c r="A394" t="s">
        <v>360</v>
      </c>
      <c r="B394" t="s">
        <v>371</v>
      </c>
      <c r="C394" t="s">
        <v>41</v>
      </c>
      <c r="D394">
        <v>2</v>
      </c>
      <c r="E394" s="7">
        <f>Clients_Churn_Part[[#This Row],[Anciennete_Mois]]/12</f>
        <v>0.16666666666666666</v>
      </c>
      <c r="F394" t="s">
        <v>10</v>
      </c>
      <c r="G394" t="str">
        <f>IF(Clients_Churn_Part[[#This Row],[Type_Forfait]]="pro Monde","B2B","B2C")</f>
        <v>B2C</v>
      </c>
      <c r="H394">
        <v>21</v>
      </c>
      <c r="I394" s="2">
        <f>Clients_Churn_Part[[#This Row],[Duree_Cumulee_Panne_Min]]/60</f>
        <v>0.35</v>
      </c>
      <c r="J394">
        <v>51.68</v>
      </c>
      <c r="K394">
        <v>3</v>
      </c>
      <c r="L39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394">
        <f>Clients_Churn_Part[[#This Row],[Facture_Mensuelle]]*Clients_Churn_Part[[#This Row],[Remise]]</f>
        <v>23.256</v>
      </c>
      <c r="N39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95" spans="1:14" x14ac:dyDescent="0.3">
      <c r="A395" t="s">
        <v>8</v>
      </c>
      <c r="B395" t="s">
        <v>58</v>
      </c>
      <c r="C395" t="s">
        <v>59</v>
      </c>
      <c r="D395">
        <v>101</v>
      </c>
      <c r="E395" s="7">
        <f>Clients_Churn_Part[[#This Row],[Anciennete_Mois]]/12</f>
        <v>8.4166666666666661</v>
      </c>
      <c r="F395" t="s">
        <v>13</v>
      </c>
      <c r="G395" t="str">
        <f>IF(Clients_Churn_Part[[#This Row],[Type_Forfait]]="pro Monde","B2B","B2C")</f>
        <v>B2B</v>
      </c>
      <c r="H395">
        <v>333</v>
      </c>
      <c r="I395" s="2">
        <f>Clients_Churn_Part[[#This Row],[Duree_Cumulee_Panne_Min]]/60</f>
        <v>5.55</v>
      </c>
      <c r="J395">
        <v>74.319999999999993</v>
      </c>
      <c r="K395">
        <v>1</v>
      </c>
      <c r="L39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95">
        <f>Clients_Churn_Part[[#This Row],[Facture_Mensuelle]]*Clients_Churn_Part[[#This Row],[Remise]]</f>
        <v>52.023999999999994</v>
      </c>
      <c r="N39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96" spans="1:14" x14ac:dyDescent="0.3">
      <c r="A396" t="s">
        <v>174</v>
      </c>
      <c r="B396" t="s">
        <v>216</v>
      </c>
      <c r="C396" t="s">
        <v>37</v>
      </c>
      <c r="D396">
        <v>33</v>
      </c>
      <c r="E396" s="7">
        <f>Clients_Churn_Part[[#This Row],[Anciennete_Mois]]/12</f>
        <v>2.75</v>
      </c>
      <c r="F396" t="s">
        <v>10</v>
      </c>
      <c r="G396" t="str">
        <f>IF(Clients_Churn_Part[[#This Row],[Type_Forfait]]="pro Monde","B2B","B2C")</f>
        <v>B2C</v>
      </c>
      <c r="H396">
        <v>285</v>
      </c>
      <c r="I396" s="2">
        <f>Clients_Churn_Part[[#This Row],[Duree_Cumulee_Panne_Min]]/60</f>
        <v>4.75</v>
      </c>
      <c r="J396">
        <v>56.67</v>
      </c>
      <c r="K396">
        <v>2</v>
      </c>
      <c r="L39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396">
        <f>Clients_Churn_Part[[#This Row],[Facture_Mensuelle]]*Clients_Churn_Part[[#This Row],[Remise]]</f>
        <v>25.5015</v>
      </c>
      <c r="N39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97" spans="1:14" x14ac:dyDescent="0.3">
      <c r="A397" t="s">
        <v>494</v>
      </c>
      <c r="B397" t="s">
        <v>527</v>
      </c>
      <c r="C397" t="s">
        <v>23</v>
      </c>
      <c r="D397">
        <v>17</v>
      </c>
      <c r="E397" s="7">
        <f>Clients_Churn_Part[[#This Row],[Anciennete_Mois]]/12</f>
        <v>1.4166666666666667</v>
      </c>
      <c r="F397" t="s">
        <v>13</v>
      </c>
      <c r="G397" t="str">
        <f>IF(Clients_Churn_Part[[#This Row],[Type_Forfait]]="pro Monde","B2B","B2C")</f>
        <v>B2B</v>
      </c>
      <c r="H397">
        <v>175</v>
      </c>
      <c r="I397" s="2">
        <f>Clients_Churn_Part[[#This Row],[Duree_Cumulee_Panne_Min]]/60</f>
        <v>2.9166666666666665</v>
      </c>
      <c r="J397">
        <v>24.95</v>
      </c>
      <c r="K397">
        <v>4</v>
      </c>
      <c r="L39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397">
        <f>Clients_Churn_Part[[#This Row],[Facture_Mensuelle]]*Clients_Churn_Part[[#This Row],[Remise]]</f>
        <v>2.4950000000000001</v>
      </c>
      <c r="N39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98" spans="1:14" x14ac:dyDescent="0.3">
      <c r="A398" t="s">
        <v>589</v>
      </c>
      <c r="B398" t="s">
        <v>621</v>
      </c>
      <c r="C398" t="s">
        <v>24</v>
      </c>
      <c r="D398">
        <v>89</v>
      </c>
      <c r="E398" s="7">
        <f>Clients_Churn_Part[[#This Row],[Anciennete_Mois]]/12</f>
        <v>7.416666666666667</v>
      </c>
      <c r="F398" t="s">
        <v>13</v>
      </c>
      <c r="G398" t="str">
        <f>IF(Clients_Churn_Part[[#This Row],[Type_Forfait]]="pro Monde","B2B","B2C")</f>
        <v>B2B</v>
      </c>
      <c r="H398">
        <v>225</v>
      </c>
      <c r="I398" s="2">
        <f>Clients_Churn_Part[[#This Row],[Duree_Cumulee_Panne_Min]]/60</f>
        <v>3.75</v>
      </c>
      <c r="J398">
        <v>38.36</v>
      </c>
      <c r="K398">
        <v>2</v>
      </c>
      <c r="L39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98">
        <f>Clients_Churn_Part[[#This Row],[Facture_Mensuelle]]*Clients_Churn_Part[[#This Row],[Remise]]</f>
        <v>26.851999999999997</v>
      </c>
      <c r="N39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399" spans="1:14" x14ac:dyDescent="0.3">
      <c r="A399" t="s">
        <v>129</v>
      </c>
      <c r="B399" t="s">
        <v>147</v>
      </c>
      <c r="C399" t="s">
        <v>24</v>
      </c>
      <c r="D399">
        <v>88</v>
      </c>
      <c r="E399" s="7">
        <f>Clients_Churn_Part[[#This Row],[Anciennete_Mois]]/12</f>
        <v>7.333333333333333</v>
      </c>
      <c r="F399" t="s">
        <v>10</v>
      </c>
      <c r="G399" t="str">
        <f>IF(Clients_Churn_Part[[#This Row],[Type_Forfait]]="pro Monde","B2B","B2C")</f>
        <v>B2C</v>
      </c>
      <c r="H399">
        <v>232</v>
      </c>
      <c r="I399" s="2">
        <f>Clients_Churn_Part[[#This Row],[Duree_Cumulee_Panne_Min]]/60</f>
        <v>3.8666666666666667</v>
      </c>
      <c r="J399">
        <v>40.94</v>
      </c>
      <c r="K399">
        <v>2</v>
      </c>
      <c r="L39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399">
        <f>Clients_Churn_Part[[#This Row],[Facture_Mensuelle]]*Clients_Churn_Part[[#This Row],[Remise]]</f>
        <v>28.657999999999998</v>
      </c>
      <c r="N39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00" spans="1:14" x14ac:dyDescent="0.3">
      <c r="A400" t="s">
        <v>360</v>
      </c>
      <c r="B400" t="s">
        <v>369</v>
      </c>
      <c r="C400" t="s">
        <v>9</v>
      </c>
      <c r="D400">
        <v>29</v>
      </c>
      <c r="E400" s="7">
        <f>Clients_Churn_Part[[#This Row],[Anciennete_Mois]]/12</f>
        <v>2.4166666666666665</v>
      </c>
      <c r="F400" t="s">
        <v>10</v>
      </c>
      <c r="G400" t="str">
        <f>IF(Clients_Churn_Part[[#This Row],[Type_Forfait]]="pro Monde","B2B","B2C")</f>
        <v>B2C</v>
      </c>
      <c r="H400">
        <v>350</v>
      </c>
      <c r="I400" s="2">
        <f>Clients_Churn_Part[[#This Row],[Duree_Cumulee_Panne_Min]]/60</f>
        <v>5.833333333333333</v>
      </c>
      <c r="J400">
        <v>84.32</v>
      </c>
      <c r="K400">
        <v>3</v>
      </c>
      <c r="L40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400">
        <f>Clients_Churn_Part[[#This Row],[Facture_Mensuelle]]*Clients_Churn_Part[[#This Row],[Remise]]</f>
        <v>37.943999999999996</v>
      </c>
      <c r="N40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01" spans="1:14" x14ac:dyDescent="0.3">
      <c r="A401" t="s">
        <v>682</v>
      </c>
      <c r="B401" t="s">
        <v>696</v>
      </c>
      <c r="C401" t="s">
        <v>12</v>
      </c>
      <c r="D401">
        <v>48</v>
      </c>
      <c r="E401" s="7">
        <f>Clients_Churn_Part[[#This Row],[Anciennete_Mois]]/12</f>
        <v>4</v>
      </c>
      <c r="F401" t="s">
        <v>10</v>
      </c>
      <c r="G401" t="str">
        <f>IF(Clients_Churn_Part[[#This Row],[Type_Forfait]]="pro Monde","B2B","B2C")</f>
        <v>B2C</v>
      </c>
      <c r="H401">
        <v>473</v>
      </c>
      <c r="I401" s="2">
        <f>Clients_Churn_Part[[#This Row],[Duree_Cumulee_Panne_Min]]/60</f>
        <v>7.8833333333333337</v>
      </c>
      <c r="J401">
        <v>71.52</v>
      </c>
      <c r="K401">
        <v>5</v>
      </c>
      <c r="L40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401">
        <f>Clients_Churn_Part[[#This Row],[Facture_Mensuelle]]*Clients_Churn_Part[[#This Row],[Remise]]</f>
        <v>32.183999999999997</v>
      </c>
      <c r="N40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02" spans="1:14" x14ac:dyDescent="0.3">
      <c r="A402" t="s">
        <v>267</v>
      </c>
      <c r="B402" t="s">
        <v>281</v>
      </c>
      <c r="C402" t="s">
        <v>33</v>
      </c>
      <c r="D402">
        <v>73</v>
      </c>
      <c r="E402" s="7">
        <f>Clients_Churn_Part[[#This Row],[Anciennete_Mois]]/12</f>
        <v>6.083333333333333</v>
      </c>
      <c r="F402" t="s">
        <v>21</v>
      </c>
      <c r="G402" t="str">
        <f>IF(Clients_Churn_Part[[#This Row],[Type_Forfait]]="pro Monde","B2B","B2C")</f>
        <v>B2C</v>
      </c>
      <c r="H402">
        <v>225</v>
      </c>
      <c r="I402" s="2">
        <f>Clients_Churn_Part[[#This Row],[Duree_Cumulee_Panne_Min]]/60</f>
        <v>3.75</v>
      </c>
      <c r="J402">
        <v>45.86</v>
      </c>
      <c r="K402">
        <v>0</v>
      </c>
      <c r="L40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02">
        <f>Clients_Churn_Part[[#This Row],[Facture_Mensuelle]]*Clients_Churn_Part[[#This Row],[Remise]]</f>
        <v>32.101999999999997</v>
      </c>
      <c r="N40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03" spans="1:14" x14ac:dyDescent="0.3">
      <c r="A403" t="s">
        <v>405</v>
      </c>
      <c r="B403" t="s">
        <v>409</v>
      </c>
      <c r="C403" t="s">
        <v>12</v>
      </c>
      <c r="D403">
        <v>35</v>
      </c>
      <c r="E403" s="7">
        <f>Clients_Churn_Part[[#This Row],[Anciennete_Mois]]/12</f>
        <v>2.9166666666666665</v>
      </c>
      <c r="F403" t="s">
        <v>13</v>
      </c>
      <c r="G403" t="str">
        <f>IF(Clients_Churn_Part[[#This Row],[Type_Forfait]]="pro Monde","B2B","B2C")</f>
        <v>B2B</v>
      </c>
      <c r="H403">
        <v>292</v>
      </c>
      <c r="I403" s="2">
        <f>Clients_Churn_Part[[#This Row],[Duree_Cumulee_Panne_Min]]/60</f>
        <v>4.8666666666666663</v>
      </c>
      <c r="J403">
        <v>39.21</v>
      </c>
      <c r="K403">
        <v>1</v>
      </c>
      <c r="L40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403">
        <f>Clients_Churn_Part[[#This Row],[Facture_Mensuelle]]*Clients_Churn_Part[[#This Row],[Remise]]</f>
        <v>3.9210000000000003</v>
      </c>
      <c r="N40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04" spans="1:14" x14ac:dyDescent="0.3">
      <c r="A404" t="s">
        <v>538</v>
      </c>
      <c r="B404" t="s">
        <v>544</v>
      </c>
      <c r="C404" t="s">
        <v>48</v>
      </c>
      <c r="D404">
        <v>107</v>
      </c>
      <c r="E404" s="7">
        <f>Clients_Churn_Part[[#This Row],[Anciennete_Mois]]/12</f>
        <v>8.9166666666666661</v>
      </c>
      <c r="F404" t="s">
        <v>21</v>
      </c>
      <c r="G404" t="str">
        <f>IF(Clients_Churn_Part[[#This Row],[Type_Forfait]]="pro Monde","B2B","B2C")</f>
        <v>B2C</v>
      </c>
      <c r="H404">
        <v>290</v>
      </c>
      <c r="I404" s="2">
        <f>Clients_Churn_Part[[#This Row],[Duree_Cumulee_Panne_Min]]/60</f>
        <v>4.833333333333333</v>
      </c>
      <c r="J404">
        <v>52.03</v>
      </c>
      <c r="K404">
        <v>0</v>
      </c>
      <c r="L40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04">
        <f>Clients_Churn_Part[[#This Row],[Facture_Mensuelle]]*Clients_Churn_Part[[#This Row],[Remise]]</f>
        <v>36.420999999999999</v>
      </c>
      <c r="N40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05" spans="1:14" x14ac:dyDescent="0.3">
      <c r="A405" t="s">
        <v>637</v>
      </c>
      <c r="B405" t="s">
        <v>641</v>
      </c>
      <c r="C405" t="s">
        <v>20</v>
      </c>
      <c r="D405">
        <v>80</v>
      </c>
      <c r="E405" s="7">
        <f>Clients_Churn_Part[[#This Row],[Anciennete_Mois]]/12</f>
        <v>6.666666666666667</v>
      </c>
      <c r="F405" t="s">
        <v>18</v>
      </c>
      <c r="G405" t="str">
        <f>IF(Clients_Churn_Part[[#This Row],[Type_Forfait]]="pro Monde","B2B","B2C")</f>
        <v>B2C</v>
      </c>
      <c r="H405">
        <v>65</v>
      </c>
      <c r="I405" s="2">
        <f>Clients_Churn_Part[[#This Row],[Duree_Cumulee_Panne_Min]]/60</f>
        <v>1.0833333333333333</v>
      </c>
      <c r="J405">
        <v>76.64</v>
      </c>
      <c r="K405">
        <v>3</v>
      </c>
      <c r="L40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05">
        <f>Clients_Churn_Part[[#This Row],[Facture_Mensuelle]]*Clients_Churn_Part[[#This Row],[Remise]]</f>
        <v>53.647999999999996</v>
      </c>
      <c r="N40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06" spans="1:14" x14ac:dyDescent="0.3">
      <c r="A406" t="s">
        <v>267</v>
      </c>
      <c r="B406" t="s">
        <v>292</v>
      </c>
      <c r="C406" t="s">
        <v>118</v>
      </c>
      <c r="D406">
        <v>66</v>
      </c>
      <c r="E406" s="7">
        <f>Clients_Churn_Part[[#This Row],[Anciennete_Mois]]/12</f>
        <v>5.5</v>
      </c>
      <c r="F406" t="s">
        <v>10</v>
      </c>
      <c r="G406" t="str">
        <f>IF(Clients_Churn_Part[[#This Row],[Type_Forfait]]="pro Monde","B2B","B2C")</f>
        <v>B2C</v>
      </c>
      <c r="H406">
        <v>193</v>
      </c>
      <c r="I406" s="2">
        <f>Clients_Churn_Part[[#This Row],[Duree_Cumulee_Panne_Min]]/60</f>
        <v>3.2166666666666668</v>
      </c>
      <c r="J406">
        <v>21.06</v>
      </c>
      <c r="K406">
        <v>3</v>
      </c>
      <c r="L40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06">
        <f>Clients_Churn_Part[[#This Row],[Facture_Mensuelle]]*Clients_Churn_Part[[#This Row],[Remise]]</f>
        <v>14.741999999999997</v>
      </c>
      <c r="N40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07" spans="1:14" x14ac:dyDescent="0.3">
      <c r="A407" t="s">
        <v>637</v>
      </c>
      <c r="B407" t="s">
        <v>640</v>
      </c>
      <c r="C407" t="s">
        <v>9</v>
      </c>
      <c r="D407">
        <v>38</v>
      </c>
      <c r="E407" s="7">
        <f>Clients_Churn_Part[[#This Row],[Anciennete_Mois]]/12</f>
        <v>3.1666666666666665</v>
      </c>
      <c r="F407" t="s">
        <v>21</v>
      </c>
      <c r="G407" t="str">
        <f>IF(Clients_Churn_Part[[#This Row],[Type_Forfait]]="pro Monde","B2B","B2C")</f>
        <v>B2C</v>
      </c>
      <c r="H407">
        <v>191</v>
      </c>
      <c r="I407" s="2">
        <f>Clients_Churn_Part[[#This Row],[Duree_Cumulee_Panne_Min]]/60</f>
        <v>3.1833333333333331</v>
      </c>
      <c r="J407">
        <v>22.97</v>
      </c>
      <c r="K407">
        <v>3</v>
      </c>
      <c r="L40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407">
        <f>Clients_Churn_Part[[#This Row],[Facture_Mensuelle]]*Clients_Churn_Part[[#This Row],[Remise]]</f>
        <v>0</v>
      </c>
      <c r="N40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08" spans="1:14" x14ac:dyDescent="0.3">
      <c r="A408" t="s">
        <v>360</v>
      </c>
      <c r="B408" t="s">
        <v>376</v>
      </c>
      <c r="C408" t="s">
        <v>15</v>
      </c>
      <c r="D408">
        <v>119</v>
      </c>
      <c r="E408" s="7">
        <f>Clients_Churn_Part[[#This Row],[Anciennete_Mois]]/12</f>
        <v>9.9166666666666661</v>
      </c>
      <c r="F408" t="s">
        <v>13</v>
      </c>
      <c r="G408" t="str">
        <f>IF(Clients_Churn_Part[[#This Row],[Type_Forfait]]="pro Monde","B2B","B2C")</f>
        <v>B2B</v>
      </c>
      <c r="H408">
        <v>451</v>
      </c>
      <c r="I408" s="2">
        <f>Clients_Churn_Part[[#This Row],[Duree_Cumulee_Panne_Min]]/60</f>
        <v>7.5166666666666666</v>
      </c>
      <c r="J408">
        <v>10.46</v>
      </c>
      <c r="K408">
        <v>5</v>
      </c>
      <c r="L40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08">
        <f>Clients_Churn_Part[[#This Row],[Facture_Mensuelle]]*Clients_Churn_Part[[#This Row],[Remise]]</f>
        <v>7.3220000000000001</v>
      </c>
      <c r="N40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09" spans="1:14" x14ac:dyDescent="0.3">
      <c r="A409" t="s">
        <v>452</v>
      </c>
      <c r="B409" t="s">
        <v>492</v>
      </c>
      <c r="C409" t="s">
        <v>9</v>
      </c>
      <c r="D409">
        <v>55</v>
      </c>
      <c r="E409" s="7">
        <f>Clients_Churn_Part[[#This Row],[Anciennete_Mois]]/12</f>
        <v>4.583333333333333</v>
      </c>
      <c r="F409" t="s">
        <v>18</v>
      </c>
      <c r="G409" t="str">
        <f>IF(Clients_Churn_Part[[#This Row],[Type_Forfait]]="pro Monde","B2B","B2C")</f>
        <v>B2C</v>
      </c>
      <c r="H409">
        <v>355</v>
      </c>
      <c r="I409" s="2">
        <f>Clients_Churn_Part[[#This Row],[Duree_Cumulee_Panne_Min]]/60</f>
        <v>5.916666666666667</v>
      </c>
      <c r="J409">
        <v>59.65</v>
      </c>
      <c r="K409">
        <v>0</v>
      </c>
      <c r="L40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409">
        <f>Clients_Churn_Part[[#This Row],[Facture_Mensuelle]]*Clients_Churn_Part[[#This Row],[Remise]]</f>
        <v>0</v>
      </c>
      <c r="N40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10" spans="1:14" x14ac:dyDescent="0.3">
      <c r="A410" t="s">
        <v>589</v>
      </c>
      <c r="B410" t="s">
        <v>615</v>
      </c>
      <c r="C410" t="s">
        <v>126</v>
      </c>
      <c r="D410">
        <v>6</v>
      </c>
      <c r="E410" s="7">
        <f>Clients_Churn_Part[[#This Row],[Anciennete_Mois]]/12</f>
        <v>0.5</v>
      </c>
      <c r="F410" t="s">
        <v>21</v>
      </c>
      <c r="G410" t="str">
        <f>IF(Clients_Churn_Part[[#This Row],[Type_Forfait]]="pro Monde","B2B","B2C")</f>
        <v>B2C</v>
      </c>
      <c r="H410">
        <v>77</v>
      </c>
      <c r="I410" s="2">
        <f>Clients_Churn_Part[[#This Row],[Duree_Cumulee_Panne_Min]]/60</f>
        <v>1.2833333333333334</v>
      </c>
      <c r="J410">
        <v>18.48</v>
      </c>
      <c r="K410">
        <v>2</v>
      </c>
      <c r="L41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410">
        <f>Clients_Churn_Part[[#This Row],[Facture_Mensuelle]]*Clients_Churn_Part[[#This Row],[Remise]]</f>
        <v>0</v>
      </c>
      <c r="N41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11" spans="1:14" x14ac:dyDescent="0.3">
      <c r="A411" t="s">
        <v>637</v>
      </c>
      <c r="B411" t="s">
        <v>657</v>
      </c>
      <c r="C411" t="s">
        <v>122</v>
      </c>
      <c r="D411">
        <v>63</v>
      </c>
      <c r="E411" s="7">
        <f>Clients_Churn_Part[[#This Row],[Anciennete_Mois]]/12</f>
        <v>5.25</v>
      </c>
      <c r="F411" t="s">
        <v>21</v>
      </c>
      <c r="G411" t="str">
        <f>IF(Clients_Churn_Part[[#This Row],[Type_Forfait]]="pro Monde","B2B","B2C")</f>
        <v>B2C</v>
      </c>
      <c r="H411">
        <v>265</v>
      </c>
      <c r="I411" s="2">
        <f>Clients_Churn_Part[[#This Row],[Duree_Cumulee_Panne_Min]]/60</f>
        <v>4.416666666666667</v>
      </c>
      <c r="J411">
        <v>49.94</v>
      </c>
      <c r="K411">
        <v>1</v>
      </c>
      <c r="L41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11">
        <f>Clients_Churn_Part[[#This Row],[Facture_Mensuelle]]*Clients_Churn_Part[[#This Row],[Remise]]</f>
        <v>34.957999999999998</v>
      </c>
      <c r="N41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12" spans="1:14" x14ac:dyDescent="0.3">
      <c r="A412" t="s">
        <v>267</v>
      </c>
      <c r="B412" t="s">
        <v>282</v>
      </c>
      <c r="C412" t="s">
        <v>29</v>
      </c>
      <c r="D412">
        <v>21</v>
      </c>
      <c r="E412" s="7">
        <f>Clients_Churn_Part[[#This Row],[Anciennete_Mois]]/12</f>
        <v>1.75</v>
      </c>
      <c r="F412" t="s">
        <v>13</v>
      </c>
      <c r="G412" t="str">
        <f>IF(Clients_Churn_Part[[#This Row],[Type_Forfait]]="pro Monde","B2B","B2C")</f>
        <v>B2B</v>
      </c>
      <c r="H412">
        <v>320</v>
      </c>
      <c r="I412" s="2">
        <f>Clients_Churn_Part[[#This Row],[Duree_Cumulee_Panne_Min]]/60</f>
        <v>5.333333333333333</v>
      </c>
      <c r="J412">
        <v>64.97</v>
      </c>
      <c r="K412">
        <v>1</v>
      </c>
      <c r="L41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412">
        <f>Clients_Churn_Part[[#This Row],[Facture_Mensuelle]]*Clients_Churn_Part[[#This Row],[Remise]]</f>
        <v>6.4969999999999999</v>
      </c>
      <c r="N41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13" spans="1:14" x14ac:dyDescent="0.3">
      <c r="A413" t="s">
        <v>220</v>
      </c>
      <c r="B413" t="s">
        <v>239</v>
      </c>
      <c r="C413" t="s">
        <v>122</v>
      </c>
      <c r="D413">
        <v>5</v>
      </c>
      <c r="E413" s="7">
        <f>Clients_Churn_Part[[#This Row],[Anciennete_Mois]]/12</f>
        <v>0.41666666666666669</v>
      </c>
      <c r="F413" t="s">
        <v>10</v>
      </c>
      <c r="G413" t="str">
        <f>IF(Clients_Churn_Part[[#This Row],[Type_Forfait]]="pro Monde","B2B","B2C")</f>
        <v>B2C</v>
      </c>
      <c r="H413">
        <v>417</v>
      </c>
      <c r="I413" s="2">
        <f>Clients_Churn_Part[[#This Row],[Duree_Cumulee_Panne_Min]]/60</f>
        <v>6.95</v>
      </c>
      <c r="J413">
        <v>90.71</v>
      </c>
      <c r="K413">
        <v>1</v>
      </c>
      <c r="L41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413">
        <f>Clients_Churn_Part[[#This Row],[Facture_Mensuelle]]*Clients_Churn_Part[[#This Row],[Remise]]</f>
        <v>40.819499999999998</v>
      </c>
      <c r="N41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14" spans="1:14" x14ac:dyDescent="0.3">
      <c r="A414" t="s">
        <v>538</v>
      </c>
      <c r="B414" t="s">
        <v>561</v>
      </c>
      <c r="C414" t="s">
        <v>68</v>
      </c>
      <c r="D414">
        <v>30</v>
      </c>
      <c r="E414" s="7">
        <f>Clients_Churn_Part[[#This Row],[Anciennete_Mois]]/12</f>
        <v>2.5</v>
      </c>
      <c r="F414" t="s">
        <v>18</v>
      </c>
      <c r="G414" t="str">
        <f>IF(Clients_Churn_Part[[#This Row],[Type_Forfait]]="pro Monde","B2B","B2C")</f>
        <v>B2C</v>
      </c>
      <c r="H414">
        <v>130</v>
      </c>
      <c r="I414" s="2">
        <f>Clients_Churn_Part[[#This Row],[Duree_Cumulee_Panne_Min]]/60</f>
        <v>2.1666666666666665</v>
      </c>
      <c r="J414">
        <v>50.15</v>
      </c>
      <c r="K414">
        <v>4</v>
      </c>
      <c r="L41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414">
        <f>Clients_Churn_Part[[#This Row],[Facture_Mensuelle]]*Clients_Churn_Part[[#This Row],[Remise]]</f>
        <v>0</v>
      </c>
      <c r="N41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15" spans="1:14" x14ac:dyDescent="0.3">
      <c r="A415" t="s">
        <v>220</v>
      </c>
      <c r="B415" t="s">
        <v>231</v>
      </c>
      <c r="C415" t="s">
        <v>9</v>
      </c>
      <c r="D415">
        <v>60</v>
      </c>
      <c r="E415" s="7">
        <f>Clients_Churn_Part[[#This Row],[Anciennete_Mois]]/12</f>
        <v>5</v>
      </c>
      <c r="F415" t="s">
        <v>21</v>
      </c>
      <c r="G415" t="str">
        <f>IF(Clients_Churn_Part[[#This Row],[Type_Forfait]]="pro Monde","B2B","B2C")</f>
        <v>B2C</v>
      </c>
      <c r="H415">
        <v>161</v>
      </c>
      <c r="I415" s="2">
        <f>Clients_Churn_Part[[#This Row],[Duree_Cumulee_Panne_Min]]/60</f>
        <v>2.6833333333333331</v>
      </c>
      <c r="J415">
        <v>62.65</v>
      </c>
      <c r="K415">
        <v>0</v>
      </c>
      <c r="L41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415">
        <f>Clients_Churn_Part[[#This Row],[Facture_Mensuelle]]*Clients_Churn_Part[[#This Row],[Remise]]</f>
        <v>0</v>
      </c>
      <c r="N41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16" spans="1:14" x14ac:dyDescent="0.3">
      <c r="A416" t="s">
        <v>538</v>
      </c>
      <c r="B416" t="s">
        <v>547</v>
      </c>
      <c r="C416" t="s">
        <v>48</v>
      </c>
      <c r="D416">
        <v>120</v>
      </c>
      <c r="E416" s="7">
        <f>Clients_Churn_Part[[#This Row],[Anciennete_Mois]]/12</f>
        <v>10</v>
      </c>
      <c r="F416" t="s">
        <v>21</v>
      </c>
      <c r="G416" t="str">
        <f>IF(Clients_Churn_Part[[#This Row],[Type_Forfait]]="pro Monde","B2B","B2C")</f>
        <v>B2C</v>
      </c>
      <c r="H416">
        <v>437</v>
      </c>
      <c r="I416" s="2">
        <f>Clients_Churn_Part[[#This Row],[Duree_Cumulee_Panne_Min]]/60</f>
        <v>7.2833333333333332</v>
      </c>
      <c r="J416">
        <v>95.17</v>
      </c>
      <c r="K416">
        <v>1</v>
      </c>
      <c r="L41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16">
        <f>Clients_Churn_Part[[#This Row],[Facture_Mensuelle]]*Clients_Churn_Part[[#This Row],[Remise]]</f>
        <v>66.619</v>
      </c>
      <c r="N41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17" spans="1:14" x14ac:dyDescent="0.3">
      <c r="A417" t="s">
        <v>174</v>
      </c>
      <c r="B417" t="s">
        <v>186</v>
      </c>
      <c r="C417" t="s">
        <v>20</v>
      </c>
      <c r="D417">
        <v>68</v>
      </c>
      <c r="E417" s="7">
        <f>Clients_Churn_Part[[#This Row],[Anciennete_Mois]]/12</f>
        <v>5.666666666666667</v>
      </c>
      <c r="F417" t="s">
        <v>10</v>
      </c>
      <c r="G417" t="str">
        <f>IF(Clients_Churn_Part[[#This Row],[Type_Forfait]]="pro Monde","B2B","B2C")</f>
        <v>B2C</v>
      </c>
      <c r="H417">
        <v>443</v>
      </c>
      <c r="I417" s="2">
        <f>Clients_Churn_Part[[#This Row],[Duree_Cumulee_Panne_Min]]/60</f>
        <v>7.3833333333333337</v>
      </c>
      <c r="J417">
        <v>12.09</v>
      </c>
      <c r="K417">
        <v>3</v>
      </c>
      <c r="L41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17">
        <f>Clients_Churn_Part[[#This Row],[Facture_Mensuelle]]*Clients_Churn_Part[[#This Row],[Remise]]</f>
        <v>8.4629999999999992</v>
      </c>
      <c r="N41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18" spans="1:14" x14ac:dyDescent="0.3">
      <c r="A418" t="s">
        <v>405</v>
      </c>
      <c r="B418" t="s">
        <v>423</v>
      </c>
      <c r="C418" t="s">
        <v>83</v>
      </c>
      <c r="D418">
        <v>85</v>
      </c>
      <c r="E418" s="7">
        <f>Clients_Churn_Part[[#This Row],[Anciennete_Mois]]/12</f>
        <v>7.083333333333333</v>
      </c>
      <c r="F418" t="s">
        <v>21</v>
      </c>
      <c r="G418" t="str">
        <f>IF(Clients_Churn_Part[[#This Row],[Type_Forfait]]="pro Monde","B2B","B2C")</f>
        <v>B2C</v>
      </c>
      <c r="H418">
        <v>132</v>
      </c>
      <c r="I418" s="2">
        <f>Clients_Churn_Part[[#This Row],[Duree_Cumulee_Panne_Min]]/60</f>
        <v>2.2000000000000002</v>
      </c>
      <c r="J418">
        <v>11.41</v>
      </c>
      <c r="K418">
        <v>0</v>
      </c>
      <c r="L41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18">
        <f>Clients_Churn_Part[[#This Row],[Facture_Mensuelle]]*Clients_Churn_Part[[#This Row],[Remise]]</f>
        <v>7.9869999999999992</v>
      </c>
      <c r="N41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19" spans="1:14" x14ac:dyDescent="0.3">
      <c r="A419" t="s">
        <v>129</v>
      </c>
      <c r="B419" t="s">
        <v>161</v>
      </c>
      <c r="C419" t="s">
        <v>17</v>
      </c>
      <c r="D419">
        <v>69</v>
      </c>
      <c r="E419" s="7">
        <f>Clients_Churn_Part[[#This Row],[Anciennete_Mois]]/12</f>
        <v>5.75</v>
      </c>
      <c r="F419" t="s">
        <v>13</v>
      </c>
      <c r="G419" t="str">
        <f>IF(Clients_Churn_Part[[#This Row],[Type_Forfait]]="pro Monde","B2B","B2C")</f>
        <v>B2B</v>
      </c>
      <c r="H419">
        <v>463</v>
      </c>
      <c r="I419" s="2">
        <f>Clients_Churn_Part[[#This Row],[Duree_Cumulee_Panne_Min]]/60</f>
        <v>7.7166666666666668</v>
      </c>
      <c r="J419">
        <v>19.440000000000001</v>
      </c>
      <c r="K419">
        <v>0</v>
      </c>
      <c r="L41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19">
        <f>Clients_Churn_Part[[#This Row],[Facture_Mensuelle]]*Clients_Churn_Part[[#This Row],[Remise]]</f>
        <v>13.608000000000001</v>
      </c>
      <c r="N41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20" spans="1:14" x14ac:dyDescent="0.3">
      <c r="A420" t="s">
        <v>220</v>
      </c>
      <c r="B420" t="s">
        <v>234</v>
      </c>
      <c r="C420" t="s">
        <v>12</v>
      </c>
      <c r="D420">
        <v>96</v>
      </c>
      <c r="E420" s="7">
        <f>Clients_Churn_Part[[#This Row],[Anciennete_Mois]]/12</f>
        <v>8</v>
      </c>
      <c r="F420" t="s">
        <v>21</v>
      </c>
      <c r="G420" t="str">
        <f>IF(Clients_Churn_Part[[#This Row],[Type_Forfait]]="pro Monde","B2B","B2C")</f>
        <v>B2C</v>
      </c>
      <c r="H420">
        <v>108</v>
      </c>
      <c r="I420" s="2">
        <f>Clients_Churn_Part[[#This Row],[Duree_Cumulee_Panne_Min]]/60</f>
        <v>1.8</v>
      </c>
      <c r="J420">
        <v>30.92</v>
      </c>
      <c r="K420">
        <v>1</v>
      </c>
      <c r="L42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20">
        <f>Clients_Churn_Part[[#This Row],[Facture_Mensuelle]]*Clients_Churn_Part[[#This Row],[Remise]]</f>
        <v>21.643999999999998</v>
      </c>
      <c r="N42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21" spans="1:14" x14ac:dyDescent="0.3">
      <c r="A421" t="s">
        <v>220</v>
      </c>
      <c r="B421" t="s">
        <v>228</v>
      </c>
      <c r="C421" t="s">
        <v>27</v>
      </c>
      <c r="D421">
        <v>89</v>
      </c>
      <c r="E421" s="7">
        <f>Clients_Churn_Part[[#This Row],[Anciennete_Mois]]/12</f>
        <v>7.416666666666667</v>
      </c>
      <c r="F421" t="s">
        <v>21</v>
      </c>
      <c r="G421" t="str">
        <f>IF(Clients_Churn_Part[[#This Row],[Type_Forfait]]="pro Monde","B2B","B2C")</f>
        <v>B2C</v>
      </c>
      <c r="H421">
        <v>7</v>
      </c>
      <c r="I421" s="2">
        <f>Clients_Churn_Part[[#This Row],[Duree_Cumulee_Panne_Min]]/60</f>
        <v>0.11666666666666667</v>
      </c>
      <c r="J421">
        <v>53.39</v>
      </c>
      <c r="K421">
        <v>3</v>
      </c>
      <c r="L42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421">
        <f>Clients_Churn_Part[[#This Row],[Facture_Mensuelle]]*Clients_Churn_Part[[#This Row],[Remise]]</f>
        <v>0</v>
      </c>
      <c r="N42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22" spans="1:14" x14ac:dyDescent="0.3">
      <c r="A422" t="s">
        <v>494</v>
      </c>
      <c r="B422" t="s">
        <v>500</v>
      </c>
      <c r="C422" t="s">
        <v>68</v>
      </c>
      <c r="D422">
        <v>47</v>
      </c>
      <c r="E422" s="7">
        <f>Clients_Churn_Part[[#This Row],[Anciennete_Mois]]/12</f>
        <v>3.9166666666666665</v>
      </c>
      <c r="F422" t="s">
        <v>10</v>
      </c>
      <c r="G422" t="str">
        <f>IF(Clients_Churn_Part[[#This Row],[Type_Forfait]]="pro Monde","B2B","B2C")</f>
        <v>B2C</v>
      </c>
      <c r="H422">
        <v>350</v>
      </c>
      <c r="I422" s="2">
        <f>Clients_Churn_Part[[#This Row],[Duree_Cumulee_Panne_Min]]/60</f>
        <v>5.833333333333333</v>
      </c>
      <c r="J422">
        <v>80.48</v>
      </c>
      <c r="K422">
        <v>3</v>
      </c>
      <c r="L42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422">
        <f>Clients_Churn_Part[[#This Row],[Facture_Mensuelle]]*Clients_Churn_Part[[#This Row],[Remise]]</f>
        <v>36.216000000000001</v>
      </c>
      <c r="N42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23" spans="1:14" x14ac:dyDescent="0.3">
      <c r="A423" t="s">
        <v>8</v>
      </c>
      <c r="B423" t="s">
        <v>42</v>
      </c>
      <c r="C423" t="s">
        <v>27</v>
      </c>
      <c r="D423">
        <v>78</v>
      </c>
      <c r="E423" s="7">
        <f>Clients_Churn_Part[[#This Row],[Anciennete_Mois]]/12</f>
        <v>6.5</v>
      </c>
      <c r="F423" t="s">
        <v>18</v>
      </c>
      <c r="G423" t="str">
        <f>IF(Clients_Churn_Part[[#This Row],[Type_Forfait]]="pro Monde","B2B","B2C")</f>
        <v>B2C</v>
      </c>
      <c r="H423">
        <v>312</v>
      </c>
      <c r="I423" s="2">
        <f>Clients_Churn_Part[[#This Row],[Duree_Cumulee_Panne_Min]]/60</f>
        <v>5.2</v>
      </c>
      <c r="J423">
        <v>85.74</v>
      </c>
      <c r="K423">
        <v>2</v>
      </c>
      <c r="L42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23">
        <f>Clients_Churn_Part[[#This Row],[Facture_Mensuelle]]*Clients_Churn_Part[[#This Row],[Remise]]</f>
        <v>60.017999999999994</v>
      </c>
      <c r="N42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24" spans="1:14" x14ac:dyDescent="0.3">
      <c r="A424" t="s">
        <v>129</v>
      </c>
      <c r="B424" t="s">
        <v>145</v>
      </c>
      <c r="C424" t="s">
        <v>83</v>
      </c>
      <c r="D424">
        <v>36</v>
      </c>
      <c r="E424" s="7">
        <f>Clients_Churn_Part[[#This Row],[Anciennete_Mois]]/12</f>
        <v>3</v>
      </c>
      <c r="F424" t="s">
        <v>10</v>
      </c>
      <c r="G424" t="str">
        <f>IF(Clients_Churn_Part[[#This Row],[Type_Forfait]]="pro Monde","B2B","B2C")</f>
        <v>B2C</v>
      </c>
      <c r="H424">
        <v>400</v>
      </c>
      <c r="I424" s="2">
        <f>Clients_Churn_Part[[#This Row],[Duree_Cumulee_Panne_Min]]/60</f>
        <v>6.666666666666667</v>
      </c>
      <c r="J424">
        <v>60.35</v>
      </c>
      <c r="K424">
        <v>1</v>
      </c>
      <c r="L42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424">
        <f>Clients_Churn_Part[[#This Row],[Facture_Mensuelle]]*Clients_Churn_Part[[#This Row],[Remise]]</f>
        <v>27.157500000000002</v>
      </c>
      <c r="N42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25" spans="1:14" x14ac:dyDescent="0.3">
      <c r="A425" t="s">
        <v>8</v>
      </c>
      <c r="B425" t="s">
        <v>16</v>
      </c>
      <c r="C425" t="s">
        <v>17</v>
      </c>
      <c r="D425">
        <v>44</v>
      </c>
      <c r="E425" s="7">
        <f>Clients_Churn_Part[[#This Row],[Anciennete_Mois]]/12</f>
        <v>3.6666666666666665</v>
      </c>
      <c r="F425" t="s">
        <v>18</v>
      </c>
      <c r="G425" t="str">
        <f>IF(Clients_Churn_Part[[#This Row],[Type_Forfait]]="pro Monde","B2B","B2C")</f>
        <v>B2C</v>
      </c>
      <c r="H425">
        <v>348</v>
      </c>
      <c r="I425" s="2">
        <f>Clients_Churn_Part[[#This Row],[Duree_Cumulee_Panne_Min]]/60</f>
        <v>5.8</v>
      </c>
      <c r="J425">
        <v>58.67</v>
      </c>
      <c r="K425">
        <v>0</v>
      </c>
      <c r="L42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425">
        <f>Clients_Churn_Part[[#This Row],[Facture_Mensuelle]]*Clients_Churn_Part[[#This Row],[Remise]]</f>
        <v>0</v>
      </c>
      <c r="N42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26" spans="1:14" x14ac:dyDescent="0.3">
      <c r="A426" t="s">
        <v>267</v>
      </c>
      <c r="B426" t="s">
        <v>280</v>
      </c>
      <c r="C426" t="s">
        <v>126</v>
      </c>
      <c r="D426">
        <v>120</v>
      </c>
      <c r="E426" s="7">
        <f>Clients_Churn_Part[[#This Row],[Anciennete_Mois]]/12</f>
        <v>10</v>
      </c>
      <c r="F426" t="s">
        <v>13</v>
      </c>
      <c r="G426" t="str">
        <f>IF(Clients_Churn_Part[[#This Row],[Type_Forfait]]="pro Monde","B2B","B2C")</f>
        <v>B2B</v>
      </c>
      <c r="H426">
        <v>209</v>
      </c>
      <c r="I426" s="2">
        <f>Clients_Churn_Part[[#This Row],[Duree_Cumulee_Panne_Min]]/60</f>
        <v>3.4833333333333334</v>
      </c>
      <c r="J426">
        <v>42.51</v>
      </c>
      <c r="K426">
        <v>4</v>
      </c>
      <c r="L42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26">
        <f>Clients_Churn_Part[[#This Row],[Facture_Mensuelle]]*Clients_Churn_Part[[#This Row],[Remise]]</f>
        <v>29.756999999999998</v>
      </c>
      <c r="N42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27" spans="1:14" x14ac:dyDescent="0.3">
      <c r="A427" t="s">
        <v>538</v>
      </c>
      <c r="B427" t="s">
        <v>556</v>
      </c>
      <c r="C427" t="s">
        <v>122</v>
      </c>
      <c r="D427">
        <v>116</v>
      </c>
      <c r="E427" s="7">
        <f>Clients_Churn_Part[[#This Row],[Anciennete_Mois]]/12</f>
        <v>9.6666666666666661</v>
      </c>
      <c r="F427" t="s">
        <v>10</v>
      </c>
      <c r="G427" t="str">
        <f>IF(Clients_Churn_Part[[#This Row],[Type_Forfait]]="pro Monde","B2B","B2C")</f>
        <v>B2C</v>
      </c>
      <c r="H427">
        <v>279</v>
      </c>
      <c r="I427" s="2">
        <f>Clients_Churn_Part[[#This Row],[Duree_Cumulee_Panne_Min]]/60</f>
        <v>4.6500000000000004</v>
      </c>
      <c r="J427">
        <v>62.88</v>
      </c>
      <c r="K427">
        <v>4</v>
      </c>
      <c r="L42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27">
        <f>Clients_Churn_Part[[#This Row],[Facture_Mensuelle]]*Clients_Churn_Part[[#This Row],[Remise]]</f>
        <v>44.015999999999998</v>
      </c>
      <c r="N42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28" spans="1:14" x14ac:dyDescent="0.3">
      <c r="A428" t="s">
        <v>637</v>
      </c>
      <c r="B428" t="s">
        <v>653</v>
      </c>
      <c r="C428" t="s">
        <v>62</v>
      </c>
      <c r="D428">
        <v>106</v>
      </c>
      <c r="E428" s="7">
        <f>Clients_Churn_Part[[#This Row],[Anciennete_Mois]]/12</f>
        <v>8.8333333333333339</v>
      </c>
      <c r="F428" t="s">
        <v>21</v>
      </c>
      <c r="G428" t="str">
        <f>IF(Clients_Churn_Part[[#This Row],[Type_Forfait]]="pro Monde","B2B","B2C")</f>
        <v>B2C</v>
      </c>
      <c r="H428">
        <v>236</v>
      </c>
      <c r="I428" s="2">
        <f>Clients_Churn_Part[[#This Row],[Duree_Cumulee_Panne_Min]]/60</f>
        <v>3.9333333333333331</v>
      </c>
      <c r="J428">
        <v>18.72</v>
      </c>
      <c r="K428">
        <v>4</v>
      </c>
      <c r="L42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28">
        <f>Clients_Churn_Part[[#This Row],[Facture_Mensuelle]]*Clients_Churn_Part[[#This Row],[Remise]]</f>
        <v>13.103999999999999</v>
      </c>
      <c r="N42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29" spans="1:14" x14ac:dyDescent="0.3">
      <c r="A429" t="s">
        <v>220</v>
      </c>
      <c r="B429" t="s">
        <v>249</v>
      </c>
      <c r="C429" t="s">
        <v>17</v>
      </c>
      <c r="D429">
        <v>60</v>
      </c>
      <c r="E429" s="7">
        <f>Clients_Churn_Part[[#This Row],[Anciennete_Mois]]/12</f>
        <v>5</v>
      </c>
      <c r="F429" t="s">
        <v>18</v>
      </c>
      <c r="G429" t="str">
        <f>IF(Clients_Churn_Part[[#This Row],[Type_Forfait]]="pro Monde","B2B","B2C")</f>
        <v>B2C</v>
      </c>
      <c r="H429">
        <v>306</v>
      </c>
      <c r="I429" s="2">
        <f>Clients_Churn_Part[[#This Row],[Duree_Cumulee_Panne_Min]]/60</f>
        <v>5.0999999999999996</v>
      </c>
      <c r="J429">
        <v>63.83</v>
      </c>
      <c r="K429">
        <v>2</v>
      </c>
      <c r="L42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429">
        <f>Clients_Churn_Part[[#This Row],[Facture_Mensuelle]]*Clients_Churn_Part[[#This Row],[Remise]]</f>
        <v>0</v>
      </c>
      <c r="N42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30" spans="1:14" x14ac:dyDescent="0.3">
      <c r="A430" t="s">
        <v>637</v>
      </c>
      <c r="B430" t="s">
        <v>659</v>
      </c>
      <c r="C430" t="s">
        <v>9</v>
      </c>
      <c r="D430">
        <v>1</v>
      </c>
      <c r="E430" s="7">
        <f>Clients_Churn_Part[[#This Row],[Anciennete_Mois]]/12</f>
        <v>8.3333333333333329E-2</v>
      </c>
      <c r="F430" t="s">
        <v>10</v>
      </c>
      <c r="G430" t="str">
        <f>IF(Clients_Churn_Part[[#This Row],[Type_Forfait]]="pro Monde","B2B","B2C")</f>
        <v>B2C</v>
      </c>
      <c r="H430">
        <v>429</v>
      </c>
      <c r="I430" s="2">
        <f>Clients_Churn_Part[[#This Row],[Duree_Cumulee_Panne_Min]]/60</f>
        <v>7.15</v>
      </c>
      <c r="J430">
        <v>20.96</v>
      </c>
      <c r="K430">
        <v>5</v>
      </c>
      <c r="L43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430">
        <f>Clients_Churn_Part[[#This Row],[Facture_Mensuelle]]*Clients_Churn_Part[[#This Row],[Remise]]</f>
        <v>9.4320000000000004</v>
      </c>
      <c r="N43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31" spans="1:14" x14ac:dyDescent="0.3">
      <c r="A431" t="s">
        <v>494</v>
      </c>
      <c r="B431" t="s">
        <v>519</v>
      </c>
      <c r="C431" t="s">
        <v>29</v>
      </c>
      <c r="D431">
        <v>110</v>
      </c>
      <c r="E431" s="7">
        <f>Clients_Churn_Part[[#This Row],[Anciennete_Mois]]/12</f>
        <v>9.1666666666666661</v>
      </c>
      <c r="F431" t="s">
        <v>18</v>
      </c>
      <c r="G431" t="str">
        <f>IF(Clients_Churn_Part[[#This Row],[Type_Forfait]]="pro Monde","B2B","B2C")</f>
        <v>B2C</v>
      </c>
      <c r="H431">
        <v>132</v>
      </c>
      <c r="I431" s="2">
        <f>Clients_Churn_Part[[#This Row],[Duree_Cumulee_Panne_Min]]/60</f>
        <v>2.2000000000000002</v>
      </c>
      <c r="J431">
        <v>21.31</v>
      </c>
      <c r="K431">
        <v>5</v>
      </c>
      <c r="L43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31">
        <f>Clients_Churn_Part[[#This Row],[Facture_Mensuelle]]*Clients_Churn_Part[[#This Row],[Remise]]</f>
        <v>14.916999999999998</v>
      </c>
      <c r="N43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32" spans="1:14" x14ac:dyDescent="0.3">
      <c r="A432" t="s">
        <v>452</v>
      </c>
      <c r="B432" t="s">
        <v>491</v>
      </c>
      <c r="C432" t="s">
        <v>27</v>
      </c>
      <c r="D432">
        <v>74</v>
      </c>
      <c r="E432" s="7">
        <f>Clients_Churn_Part[[#This Row],[Anciennete_Mois]]/12</f>
        <v>6.166666666666667</v>
      </c>
      <c r="F432" t="s">
        <v>21</v>
      </c>
      <c r="G432" t="str">
        <f>IF(Clients_Churn_Part[[#This Row],[Type_Forfait]]="pro Monde","B2B","B2C")</f>
        <v>B2C</v>
      </c>
      <c r="H432">
        <v>330</v>
      </c>
      <c r="I432" s="2">
        <f>Clients_Churn_Part[[#This Row],[Duree_Cumulee_Panne_Min]]/60</f>
        <v>5.5</v>
      </c>
      <c r="J432">
        <v>37.82</v>
      </c>
      <c r="K432">
        <v>5</v>
      </c>
      <c r="L43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32">
        <f>Clients_Churn_Part[[#This Row],[Facture_Mensuelle]]*Clients_Churn_Part[[#This Row],[Remise]]</f>
        <v>26.474</v>
      </c>
      <c r="N43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33" spans="1:14" x14ac:dyDescent="0.3">
      <c r="A433" t="s">
        <v>8</v>
      </c>
      <c r="B433" t="s">
        <v>69</v>
      </c>
      <c r="C433" t="s">
        <v>23</v>
      </c>
      <c r="D433">
        <v>14</v>
      </c>
      <c r="E433" s="7">
        <f>Clients_Churn_Part[[#This Row],[Anciennete_Mois]]/12</f>
        <v>1.1666666666666667</v>
      </c>
      <c r="F433" t="s">
        <v>13</v>
      </c>
      <c r="G433" t="str">
        <f>IF(Clients_Churn_Part[[#This Row],[Type_Forfait]]="pro Monde","B2B","B2C")</f>
        <v>B2B</v>
      </c>
      <c r="H433">
        <v>101</v>
      </c>
      <c r="I433" s="2">
        <f>Clients_Churn_Part[[#This Row],[Duree_Cumulee_Panne_Min]]/60</f>
        <v>1.6833333333333333</v>
      </c>
      <c r="J433">
        <v>43.99</v>
      </c>
      <c r="K433">
        <v>1</v>
      </c>
      <c r="L43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433">
        <f>Clients_Churn_Part[[#This Row],[Facture_Mensuelle]]*Clients_Churn_Part[[#This Row],[Remise]]</f>
        <v>4.399</v>
      </c>
      <c r="N43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34" spans="1:14" x14ac:dyDescent="0.3">
      <c r="A434" t="s">
        <v>8</v>
      </c>
      <c r="B434" t="s">
        <v>38</v>
      </c>
      <c r="C434" t="s">
        <v>12</v>
      </c>
      <c r="D434">
        <v>89</v>
      </c>
      <c r="E434" s="7">
        <f>Clients_Churn_Part[[#This Row],[Anciennete_Mois]]/12</f>
        <v>7.416666666666667</v>
      </c>
      <c r="F434" t="s">
        <v>10</v>
      </c>
      <c r="G434" t="str">
        <f>IF(Clients_Churn_Part[[#This Row],[Type_Forfait]]="pro Monde","B2B","B2C")</f>
        <v>B2C</v>
      </c>
      <c r="H434">
        <v>143</v>
      </c>
      <c r="I434" s="2">
        <f>Clients_Churn_Part[[#This Row],[Duree_Cumulee_Panne_Min]]/60</f>
        <v>2.3833333333333333</v>
      </c>
      <c r="J434">
        <v>48.05</v>
      </c>
      <c r="K434">
        <v>4</v>
      </c>
      <c r="L43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34">
        <f>Clients_Churn_Part[[#This Row],[Facture_Mensuelle]]*Clients_Churn_Part[[#This Row],[Remise]]</f>
        <v>33.634999999999998</v>
      </c>
      <c r="N43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35" spans="1:14" x14ac:dyDescent="0.3">
      <c r="A435" t="s">
        <v>452</v>
      </c>
      <c r="B435" t="s">
        <v>484</v>
      </c>
      <c r="C435" t="s">
        <v>20</v>
      </c>
      <c r="D435">
        <v>19</v>
      </c>
      <c r="E435" s="7">
        <f>Clients_Churn_Part[[#This Row],[Anciennete_Mois]]/12</f>
        <v>1.5833333333333333</v>
      </c>
      <c r="F435" t="s">
        <v>10</v>
      </c>
      <c r="G435" t="str">
        <f>IF(Clients_Churn_Part[[#This Row],[Type_Forfait]]="pro Monde","B2B","B2C")</f>
        <v>B2C</v>
      </c>
      <c r="H435">
        <v>270</v>
      </c>
      <c r="I435" s="2">
        <f>Clients_Churn_Part[[#This Row],[Duree_Cumulee_Panne_Min]]/60</f>
        <v>4.5</v>
      </c>
      <c r="J435">
        <v>19.760000000000002</v>
      </c>
      <c r="K435">
        <v>3</v>
      </c>
      <c r="L43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435">
        <f>Clients_Churn_Part[[#This Row],[Facture_Mensuelle]]*Clients_Churn_Part[[#This Row],[Remise]]</f>
        <v>8.8920000000000012</v>
      </c>
      <c r="N43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36" spans="1:14" x14ac:dyDescent="0.3">
      <c r="A436" t="s">
        <v>589</v>
      </c>
      <c r="B436" t="s">
        <v>592</v>
      </c>
      <c r="C436" t="s">
        <v>15</v>
      </c>
      <c r="D436">
        <v>42</v>
      </c>
      <c r="E436" s="7">
        <f>Clients_Churn_Part[[#This Row],[Anciennete_Mois]]/12</f>
        <v>3.5</v>
      </c>
      <c r="F436" t="s">
        <v>18</v>
      </c>
      <c r="G436" t="str">
        <f>IF(Clients_Churn_Part[[#This Row],[Type_Forfait]]="pro Monde","B2B","B2C")</f>
        <v>B2C</v>
      </c>
      <c r="H436">
        <v>448</v>
      </c>
      <c r="I436" s="2">
        <f>Clients_Churn_Part[[#This Row],[Duree_Cumulee_Panne_Min]]/60</f>
        <v>7.4666666666666668</v>
      </c>
      <c r="J436">
        <v>49.02</v>
      </c>
      <c r="K436">
        <v>0</v>
      </c>
      <c r="L43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436">
        <f>Clients_Churn_Part[[#This Row],[Facture_Mensuelle]]*Clients_Churn_Part[[#This Row],[Remise]]</f>
        <v>0</v>
      </c>
      <c r="N43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37" spans="1:14" x14ac:dyDescent="0.3">
      <c r="A437" t="s">
        <v>589</v>
      </c>
      <c r="B437" t="s">
        <v>601</v>
      </c>
      <c r="C437" t="s">
        <v>68</v>
      </c>
      <c r="D437">
        <v>116</v>
      </c>
      <c r="E437" s="7">
        <f>Clients_Churn_Part[[#This Row],[Anciennete_Mois]]/12</f>
        <v>9.6666666666666661</v>
      </c>
      <c r="F437" t="s">
        <v>10</v>
      </c>
      <c r="G437" t="str">
        <f>IF(Clients_Churn_Part[[#This Row],[Type_Forfait]]="pro Monde","B2B","B2C")</f>
        <v>B2C</v>
      </c>
      <c r="H437">
        <v>14</v>
      </c>
      <c r="I437" s="2">
        <f>Clients_Churn_Part[[#This Row],[Duree_Cumulee_Panne_Min]]/60</f>
        <v>0.23333333333333334</v>
      </c>
      <c r="J437">
        <v>30.38</v>
      </c>
      <c r="K437">
        <v>1</v>
      </c>
      <c r="L43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437">
        <f>Clients_Churn_Part[[#This Row],[Facture_Mensuelle]]*Clients_Churn_Part[[#This Row],[Remise]]</f>
        <v>13.670999999999999</v>
      </c>
      <c r="N43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38" spans="1:14" x14ac:dyDescent="0.3">
      <c r="A438" t="s">
        <v>129</v>
      </c>
      <c r="B438" t="s">
        <v>151</v>
      </c>
      <c r="C438" t="s">
        <v>12</v>
      </c>
      <c r="D438">
        <v>47</v>
      </c>
      <c r="E438" s="7">
        <f>Clients_Churn_Part[[#This Row],[Anciennete_Mois]]/12</f>
        <v>3.9166666666666665</v>
      </c>
      <c r="F438" t="s">
        <v>18</v>
      </c>
      <c r="G438" t="str">
        <f>IF(Clients_Churn_Part[[#This Row],[Type_Forfait]]="pro Monde","B2B","B2C")</f>
        <v>B2C</v>
      </c>
      <c r="H438">
        <v>98</v>
      </c>
      <c r="I438" s="2">
        <f>Clients_Churn_Part[[#This Row],[Duree_Cumulee_Panne_Min]]/60</f>
        <v>1.6333333333333333</v>
      </c>
      <c r="J438">
        <v>16.16</v>
      </c>
      <c r="K438">
        <v>5</v>
      </c>
      <c r="L43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438">
        <f>Clients_Churn_Part[[#This Row],[Facture_Mensuelle]]*Clients_Churn_Part[[#This Row],[Remise]]</f>
        <v>0</v>
      </c>
      <c r="N43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39" spans="1:14" x14ac:dyDescent="0.3">
      <c r="A439" t="s">
        <v>452</v>
      </c>
      <c r="B439" t="s">
        <v>457</v>
      </c>
      <c r="C439" t="s">
        <v>59</v>
      </c>
      <c r="D439">
        <v>86</v>
      </c>
      <c r="E439" s="7">
        <f>Clients_Churn_Part[[#This Row],[Anciennete_Mois]]/12</f>
        <v>7.166666666666667</v>
      </c>
      <c r="F439" t="s">
        <v>10</v>
      </c>
      <c r="G439" t="str">
        <f>IF(Clients_Churn_Part[[#This Row],[Type_Forfait]]="pro Monde","B2B","B2C")</f>
        <v>B2C</v>
      </c>
      <c r="H439">
        <v>27</v>
      </c>
      <c r="I439" s="2">
        <f>Clients_Churn_Part[[#This Row],[Duree_Cumulee_Panne_Min]]/60</f>
        <v>0.45</v>
      </c>
      <c r="J439">
        <v>84.94</v>
      </c>
      <c r="K439">
        <v>4</v>
      </c>
      <c r="L43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439">
        <f>Clients_Churn_Part[[#This Row],[Facture_Mensuelle]]*Clients_Churn_Part[[#This Row],[Remise]]</f>
        <v>38.222999999999999</v>
      </c>
      <c r="N43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40" spans="1:14" x14ac:dyDescent="0.3">
      <c r="A440" t="s">
        <v>637</v>
      </c>
      <c r="B440" t="s">
        <v>643</v>
      </c>
      <c r="C440" t="s">
        <v>17</v>
      </c>
      <c r="D440">
        <v>86</v>
      </c>
      <c r="E440" s="7">
        <f>Clients_Churn_Part[[#This Row],[Anciennete_Mois]]/12</f>
        <v>7.166666666666667</v>
      </c>
      <c r="F440" t="s">
        <v>10</v>
      </c>
      <c r="G440" t="str">
        <f>IF(Clients_Churn_Part[[#This Row],[Type_Forfait]]="pro Monde","B2B","B2C")</f>
        <v>B2C</v>
      </c>
      <c r="H440">
        <v>278</v>
      </c>
      <c r="I440" s="2">
        <f>Clients_Churn_Part[[#This Row],[Duree_Cumulee_Panne_Min]]/60</f>
        <v>4.6333333333333337</v>
      </c>
      <c r="J440">
        <v>30.12</v>
      </c>
      <c r="K440">
        <v>0</v>
      </c>
      <c r="L44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40">
        <f>Clients_Churn_Part[[#This Row],[Facture_Mensuelle]]*Clients_Churn_Part[[#This Row],[Remise]]</f>
        <v>21.084</v>
      </c>
      <c r="N44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41" spans="1:14" x14ac:dyDescent="0.3">
      <c r="A441" t="s">
        <v>79</v>
      </c>
      <c r="B441" t="s">
        <v>89</v>
      </c>
      <c r="C441" t="s">
        <v>20</v>
      </c>
      <c r="D441">
        <v>94</v>
      </c>
      <c r="E441" s="7">
        <f>Clients_Churn_Part[[#This Row],[Anciennete_Mois]]/12</f>
        <v>7.833333333333333</v>
      </c>
      <c r="F441" t="s">
        <v>21</v>
      </c>
      <c r="G441" t="str">
        <f>IF(Clients_Churn_Part[[#This Row],[Type_Forfait]]="pro Monde","B2B","B2C")</f>
        <v>B2C</v>
      </c>
      <c r="H441">
        <v>122</v>
      </c>
      <c r="I441" s="2">
        <f>Clients_Churn_Part[[#This Row],[Duree_Cumulee_Panne_Min]]/60</f>
        <v>2.0333333333333332</v>
      </c>
      <c r="J441">
        <v>95.74</v>
      </c>
      <c r="K441">
        <v>5</v>
      </c>
      <c r="L44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41">
        <f>Clients_Churn_Part[[#This Row],[Facture_Mensuelle]]*Clients_Churn_Part[[#This Row],[Remise]]</f>
        <v>67.017999999999986</v>
      </c>
      <c r="N44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42" spans="1:14" x14ac:dyDescent="0.3">
      <c r="A442" t="s">
        <v>494</v>
      </c>
      <c r="B442" t="s">
        <v>530</v>
      </c>
      <c r="C442" t="s">
        <v>126</v>
      </c>
      <c r="D442">
        <v>66</v>
      </c>
      <c r="E442" s="7">
        <f>Clients_Churn_Part[[#This Row],[Anciennete_Mois]]/12</f>
        <v>5.5</v>
      </c>
      <c r="F442" t="s">
        <v>13</v>
      </c>
      <c r="G442" t="str">
        <f>IF(Clients_Churn_Part[[#This Row],[Type_Forfait]]="pro Monde","B2B","B2C")</f>
        <v>B2B</v>
      </c>
      <c r="H442">
        <v>152</v>
      </c>
      <c r="I442" s="2">
        <f>Clients_Churn_Part[[#This Row],[Duree_Cumulee_Panne_Min]]/60</f>
        <v>2.5333333333333332</v>
      </c>
      <c r="J442">
        <v>95.71</v>
      </c>
      <c r="K442">
        <v>3</v>
      </c>
      <c r="L44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42">
        <f>Clients_Churn_Part[[#This Row],[Facture_Mensuelle]]*Clients_Churn_Part[[#This Row],[Remise]]</f>
        <v>66.996999999999986</v>
      </c>
      <c r="N44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43" spans="1:14" x14ac:dyDescent="0.3">
      <c r="A443" t="s">
        <v>589</v>
      </c>
      <c r="B443" t="s">
        <v>613</v>
      </c>
      <c r="C443" t="s">
        <v>62</v>
      </c>
      <c r="D443">
        <v>114</v>
      </c>
      <c r="E443" s="7">
        <f>Clients_Churn_Part[[#This Row],[Anciennete_Mois]]/12</f>
        <v>9.5</v>
      </c>
      <c r="F443" t="s">
        <v>13</v>
      </c>
      <c r="G443" t="str">
        <f>IF(Clients_Churn_Part[[#This Row],[Type_Forfait]]="pro Monde","B2B","B2C")</f>
        <v>B2B</v>
      </c>
      <c r="H443">
        <v>220</v>
      </c>
      <c r="I443" s="2">
        <f>Clients_Churn_Part[[#This Row],[Duree_Cumulee_Panne_Min]]/60</f>
        <v>3.6666666666666665</v>
      </c>
      <c r="J443">
        <v>63.67</v>
      </c>
      <c r="K443">
        <v>5</v>
      </c>
      <c r="L44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43">
        <f>Clients_Churn_Part[[#This Row],[Facture_Mensuelle]]*Clients_Churn_Part[[#This Row],[Remise]]</f>
        <v>44.568999999999996</v>
      </c>
      <c r="N44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44" spans="1:14" x14ac:dyDescent="0.3">
      <c r="A444" t="s">
        <v>360</v>
      </c>
      <c r="B444" t="s">
        <v>370</v>
      </c>
      <c r="C444" t="s">
        <v>35</v>
      </c>
      <c r="D444">
        <v>36</v>
      </c>
      <c r="E444" s="7">
        <f>Clients_Churn_Part[[#This Row],[Anciennete_Mois]]/12</f>
        <v>3</v>
      </c>
      <c r="F444" t="s">
        <v>18</v>
      </c>
      <c r="G444" t="str">
        <f>IF(Clients_Churn_Part[[#This Row],[Type_Forfait]]="pro Monde","B2B","B2C")</f>
        <v>B2C</v>
      </c>
      <c r="H444">
        <v>311</v>
      </c>
      <c r="I444" s="2">
        <f>Clients_Churn_Part[[#This Row],[Duree_Cumulee_Panne_Min]]/60</f>
        <v>5.1833333333333336</v>
      </c>
      <c r="J444">
        <v>13.19</v>
      </c>
      <c r="K444">
        <v>4</v>
      </c>
      <c r="L44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444">
        <f>Clients_Churn_Part[[#This Row],[Facture_Mensuelle]]*Clients_Churn_Part[[#This Row],[Remise]]</f>
        <v>0</v>
      </c>
      <c r="N44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45" spans="1:14" x14ac:dyDescent="0.3">
      <c r="A445" t="s">
        <v>360</v>
      </c>
      <c r="B445" t="s">
        <v>380</v>
      </c>
      <c r="C445" t="s">
        <v>35</v>
      </c>
      <c r="D445">
        <v>94</v>
      </c>
      <c r="E445" s="7">
        <f>Clients_Churn_Part[[#This Row],[Anciennete_Mois]]/12</f>
        <v>7.833333333333333</v>
      </c>
      <c r="F445" t="s">
        <v>21</v>
      </c>
      <c r="G445" t="str">
        <f>IF(Clients_Churn_Part[[#This Row],[Type_Forfait]]="pro Monde","B2B","B2C")</f>
        <v>B2C</v>
      </c>
      <c r="H445">
        <v>115</v>
      </c>
      <c r="I445" s="2">
        <f>Clients_Churn_Part[[#This Row],[Duree_Cumulee_Panne_Min]]/60</f>
        <v>1.9166666666666667</v>
      </c>
      <c r="J445">
        <v>19.12</v>
      </c>
      <c r="K445">
        <v>0</v>
      </c>
      <c r="L44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45">
        <f>Clients_Churn_Part[[#This Row],[Facture_Mensuelle]]*Clients_Churn_Part[[#This Row],[Remise]]</f>
        <v>13.384</v>
      </c>
      <c r="N44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46" spans="1:14" x14ac:dyDescent="0.3">
      <c r="A446" t="s">
        <v>267</v>
      </c>
      <c r="B446" t="s">
        <v>307</v>
      </c>
      <c r="C446" t="s">
        <v>17</v>
      </c>
      <c r="D446">
        <v>118</v>
      </c>
      <c r="E446" s="7">
        <f>Clients_Churn_Part[[#This Row],[Anciennete_Mois]]/12</f>
        <v>9.8333333333333339</v>
      </c>
      <c r="F446" t="s">
        <v>21</v>
      </c>
      <c r="G446" t="str">
        <f>IF(Clients_Churn_Part[[#This Row],[Type_Forfait]]="pro Monde","B2B","B2C")</f>
        <v>B2C</v>
      </c>
      <c r="H446">
        <v>489</v>
      </c>
      <c r="I446" s="2">
        <f>Clients_Churn_Part[[#This Row],[Duree_Cumulee_Panne_Min]]/60</f>
        <v>8.15</v>
      </c>
      <c r="J446">
        <v>76.22</v>
      </c>
      <c r="K446">
        <v>2</v>
      </c>
      <c r="L44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46">
        <f>Clients_Churn_Part[[#This Row],[Facture_Mensuelle]]*Clients_Churn_Part[[#This Row],[Remise]]</f>
        <v>53.353999999999999</v>
      </c>
      <c r="N44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47" spans="1:14" x14ac:dyDescent="0.3">
      <c r="A447" t="s">
        <v>538</v>
      </c>
      <c r="B447" t="s">
        <v>554</v>
      </c>
      <c r="C447" t="s">
        <v>23</v>
      </c>
      <c r="D447">
        <v>23</v>
      </c>
      <c r="E447" s="7">
        <f>Clients_Churn_Part[[#This Row],[Anciennete_Mois]]/12</f>
        <v>1.9166666666666667</v>
      </c>
      <c r="F447" t="s">
        <v>10</v>
      </c>
      <c r="G447" t="str">
        <f>IF(Clients_Churn_Part[[#This Row],[Type_Forfait]]="pro Monde","B2B","B2C")</f>
        <v>B2C</v>
      </c>
      <c r="H447">
        <v>314</v>
      </c>
      <c r="I447" s="2">
        <f>Clients_Churn_Part[[#This Row],[Duree_Cumulee_Panne_Min]]/60</f>
        <v>5.2333333333333334</v>
      </c>
      <c r="J447">
        <v>19.260000000000002</v>
      </c>
      <c r="K447">
        <v>3</v>
      </c>
      <c r="L44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447">
        <f>Clients_Churn_Part[[#This Row],[Facture_Mensuelle]]*Clients_Churn_Part[[#This Row],[Remise]]</f>
        <v>8.6670000000000016</v>
      </c>
      <c r="N44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48" spans="1:14" x14ac:dyDescent="0.3">
      <c r="A448" t="s">
        <v>452</v>
      </c>
      <c r="B448" t="s">
        <v>474</v>
      </c>
      <c r="C448" t="s">
        <v>54</v>
      </c>
      <c r="D448">
        <v>92</v>
      </c>
      <c r="E448" s="7">
        <f>Clients_Churn_Part[[#This Row],[Anciennete_Mois]]/12</f>
        <v>7.666666666666667</v>
      </c>
      <c r="F448" t="s">
        <v>18</v>
      </c>
      <c r="G448" t="str">
        <f>IF(Clients_Churn_Part[[#This Row],[Type_Forfait]]="pro Monde","B2B","B2C")</f>
        <v>B2C</v>
      </c>
      <c r="H448">
        <v>6</v>
      </c>
      <c r="I448" s="2">
        <f>Clients_Churn_Part[[#This Row],[Duree_Cumulee_Panne_Min]]/60</f>
        <v>0.1</v>
      </c>
      <c r="J448">
        <v>77.14</v>
      </c>
      <c r="K448">
        <v>5</v>
      </c>
      <c r="L44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448">
        <f>Clients_Churn_Part[[#This Row],[Facture_Mensuelle]]*Clients_Churn_Part[[#This Row],[Remise]]</f>
        <v>0</v>
      </c>
      <c r="N44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49" spans="1:14" x14ac:dyDescent="0.3">
      <c r="A449" t="s">
        <v>452</v>
      </c>
      <c r="B449" t="s">
        <v>473</v>
      </c>
      <c r="C449" t="s">
        <v>33</v>
      </c>
      <c r="D449">
        <v>117</v>
      </c>
      <c r="E449" s="7">
        <f>Clients_Churn_Part[[#This Row],[Anciennete_Mois]]/12</f>
        <v>9.75</v>
      </c>
      <c r="F449" t="s">
        <v>21</v>
      </c>
      <c r="G449" t="str">
        <f>IF(Clients_Churn_Part[[#This Row],[Type_Forfait]]="pro Monde","B2B","B2C")</f>
        <v>B2C</v>
      </c>
      <c r="H449">
        <v>39</v>
      </c>
      <c r="I449" s="2">
        <f>Clients_Churn_Part[[#This Row],[Duree_Cumulee_Panne_Min]]/60</f>
        <v>0.65</v>
      </c>
      <c r="J449">
        <v>26.53</v>
      </c>
      <c r="K449">
        <v>1</v>
      </c>
      <c r="L44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49">
        <f>Clients_Churn_Part[[#This Row],[Facture_Mensuelle]]*Clients_Churn_Part[[#This Row],[Remise]]</f>
        <v>18.570999999999998</v>
      </c>
      <c r="N44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50" spans="1:14" x14ac:dyDescent="0.3">
      <c r="A450" t="s">
        <v>494</v>
      </c>
      <c r="B450" t="s">
        <v>526</v>
      </c>
      <c r="C450" t="s">
        <v>48</v>
      </c>
      <c r="D450">
        <v>88</v>
      </c>
      <c r="E450" s="7">
        <f>Clients_Churn_Part[[#This Row],[Anciennete_Mois]]/12</f>
        <v>7.333333333333333</v>
      </c>
      <c r="F450" t="s">
        <v>10</v>
      </c>
      <c r="G450" t="str">
        <f>IF(Clients_Churn_Part[[#This Row],[Type_Forfait]]="pro Monde","B2B","B2C")</f>
        <v>B2C</v>
      </c>
      <c r="H450">
        <v>219</v>
      </c>
      <c r="I450" s="2">
        <f>Clients_Churn_Part[[#This Row],[Duree_Cumulee_Panne_Min]]/60</f>
        <v>3.65</v>
      </c>
      <c r="J450">
        <v>59.15</v>
      </c>
      <c r="K450">
        <v>0</v>
      </c>
      <c r="L45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50">
        <f>Clients_Churn_Part[[#This Row],[Facture_Mensuelle]]*Clients_Churn_Part[[#This Row],[Remise]]</f>
        <v>41.404999999999994</v>
      </c>
      <c r="N45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51" spans="1:14" x14ac:dyDescent="0.3">
      <c r="A451" t="s">
        <v>129</v>
      </c>
      <c r="B451" t="s">
        <v>165</v>
      </c>
      <c r="C451" t="s">
        <v>54</v>
      </c>
      <c r="D451">
        <v>25</v>
      </c>
      <c r="E451" s="7">
        <f>Clients_Churn_Part[[#This Row],[Anciennete_Mois]]/12</f>
        <v>2.0833333333333335</v>
      </c>
      <c r="F451" t="s">
        <v>18</v>
      </c>
      <c r="G451" t="str">
        <f>IF(Clients_Churn_Part[[#This Row],[Type_Forfait]]="pro Monde","B2B","B2C")</f>
        <v>B2C</v>
      </c>
      <c r="H451">
        <v>131</v>
      </c>
      <c r="I451" s="2">
        <f>Clients_Churn_Part[[#This Row],[Duree_Cumulee_Panne_Min]]/60</f>
        <v>2.1833333333333331</v>
      </c>
      <c r="J451">
        <v>67.489999999999995</v>
      </c>
      <c r="K451">
        <v>0</v>
      </c>
      <c r="L45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451">
        <f>Clients_Churn_Part[[#This Row],[Facture_Mensuelle]]*Clients_Churn_Part[[#This Row],[Remise]]</f>
        <v>0</v>
      </c>
      <c r="N45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52" spans="1:14" x14ac:dyDescent="0.3">
      <c r="A452" t="s">
        <v>220</v>
      </c>
      <c r="B452" t="s">
        <v>254</v>
      </c>
      <c r="C452" t="s">
        <v>126</v>
      </c>
      <c r="D452">
        <v>32</v>
      </c>
      <c r="E452" s="7">
        <f>Clients_Churn_Part[[#This Row],[Anciennete_Mois]]/12</f>
        <v>2.6666666666666665</v>
      </c>
      <c r="F452" t="s">
        <v>21</v>
      </c>
      <c r="G452" t="str">
        <f>IF(Clients_Churn_Part[[#This Row],[Type_Forfait]]="pro Monde","B2B","B2C")</f>
        <v>B2C</v>
      </c>
      <c r="H452">
        <v>405</v>
      </c>
      <c r="I452" s="2">
        <f>Clients_Churn_Part[[#This Row],[Duree_Cumulee_Panne_Min]]/60</f>
        <v>6.75</v>
      </c>
      <c r="J452">
        <v>67.92</v>
      </c>
      <c r="K452">
        <v>3</v>
      </c>
      <c r="L45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452">
        <f>Clients_Churn_Part[[#This Row],[Facture_Mensuelle]]*Clients_Churn_Part[[#This Row],[Remise]]</f>
        <v>0</v>
      </c>
      <c r="N45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53" spans="1:14" x14ac:dyDescent="0.3">
      <c r="A453" t="s">
        <v>538</v>
      </c>
      <c r="B453" t="s">
        <v>557</v>
      </c>
      <c r="C453" t="s">
        <v>61</v>
      </c>
      <c r="D453">
        <v>41</v>
      </c>
      <c r="E453" s="7">
        <f>Clients_Churn_Part[[#This Row],[Anciennete_Mois]]/12</f>
        <v>3.4166666666666665</v>
      </c>
      <c r="F453" t="s">
        <v>18</v>
      </c>
      <c r="G453" t="str">
        <f>IF(Clients_Churn_Part[[#This Row],[Type_Forfait]]="pro Monde","B2B","B2C")</f>
        <v>B2C</v>
      </c>
      <c r="H453">
        <v>2</v>
      </c>
      <c r="I453" s="2">
        <f>Clients_Churn_Part[[#This Row],[Duree_Cumulee_Panne_Min]]/60</f>
        <v>3.3333333333333333E-2</v>
      </c>
      <c r="J453">
        <v>24.91</v>
      </c>
      <c r="K453">
        <v>1</v>
      </c>
      <c r="L45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453">
        <f>Clients_Churn_Part[[#This Row],[Facture_Mensuelle]]*Clients_Churn_Part[[#This Row],[Remise]]</f>
        <v>0</v>
      </c>
      <c r="N45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54" spans="1:14" x14ac:dyDescent="0.3">
      <c r="A454" t="s">
        <v>314</v>
      </c>
      <c r="B454" t="s">
        <v>351</v>
      </c>
      <c r="C454" t="s">
        <v>20</v>
      </c>
      <c r="D454">
        <v>103</v>
      </c>
      <c r="E454" s="7">
        <f>Clients_Churn_Part[[#This Row],[Anciennete_Mois]]/12</f>
        <v>8.5833333333333339</v>
      </c>
      <c r="F454" t="s">
        <v>10</v>
      </c>
      <c r="G454" t="str">
        <f>IF(Clients_Churn_Part[[#This Row],[Type_Forfait]]="pro Monde","B2B","B2C")</f>
        <v>B2C</v>
      </c>
      <c r="H454">
        <v>354</v>
      </c>
      <c r="I454" s="2">
        <f>Clients_Churn_Part[[#This Row],[Duree_Cumulee_Panne_Min]]/60</f>
        <v>5.9</v>
      </c>
      <c r="J454">
        <v>26.19</v>
      </c>
      <c r="K454">
        <v>4</v>
      </c>
      <c r="L45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54">
        <f>Clients_Churn_Part[[#This Row],[Facture_Mensuelle]]*Clients_Churn_Part[[#This Row],[Remise]]</f>
        <v>18.332999999999998</v>
      </c>
      <c r="N45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55" spans="1:14" x14ac:dyDescent="0.3">
      <c r="A455" t="s">
        <v>220</v>
      </c>
      <c r="B455" t="s">
        <v>263</v>
      </c>
      <c r="C455" t="s">
        <v>72</v>
      </c>
      <c r="D455">
        <v>108</v>
      </c>
      <c r="E455" s="7">
        <f>Clients_Churn_Part[[#This Row],[Anciennete_Mois]]/12</f>
        <v>9</v>
      </c>
      <c r="F455" t="s">
        <v>10</v>
      </c>
      <c r="G455" t="str">
        <f>IF(Clients_Churn_Part[[#This Row],[Type_Forfait]]="pro Monde","B2B","B2C")</f>
        <v>B2C</v>
      </c>
      <c r="H455">
        <v>323</v>
      </c>
      <c r="I455" s="2">
        <f>Clients_Churn_Part[[#This Row],[Duree_Cumulee_Panne_Min]]/60</f>
        <v>5.3833333333333337</v>
      </c>
      <c r="J455">
        <v>58.54</v>
      </c>
      <c r="K455">
        <v>2</v>
      </c>
      <c r="L45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55">
        <f>Clients_Churn_Part[[#This Row],[Facture_Mensuelle]]*Clients_Churn_Part[[#This Row],[Remise]]</f>
        <v>40.977999999999994</v>
      </c>
      <c r="N45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56" spans="1:14" x14ac:dyDescent="0.3">
      <c r="A456" t="s">
        <v>129</v>
      </c>
      <c r="B456" t="s">
        <v>154</v>
      </c>
      <c r="C456" t="s">
        <v>12</v>
      </c>
      <c r="D456">
        <v>6</v>
      </c>
      <c r="E456" s="7">
        <f>Clients_Churn_Part[[#This Row],[Anciennete_Mois]]/12</f>
        <v>0.5</v>
      </c>
      <c r="F456" t="s">
        <v>18</v>
      </c>
      <c r="G456" t="str">
        <f>IF(Clients_Churn_Part[[#This Row],[Type_Forfait]]="pro Monde","B2B","B2C")</f>
        <v>B2C</v>
      </c>
      <c r="H456">
        <v>6</v>
      </c>
      <c r="I456" s="2">
        <f>Clients_Churn_Part[[#This Row],[Duree_Cumulee_Panne_Min]]/60</f>
        <v>0.1</v>
      </c>
      <c r="J456">
        <v>72.27</v>
      </c>
      <c r="K456">
        <v>4</v>
      </c>
      <c r="L45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456">
        <f>Clients_Churn_Part[[#This Row],[Facture_Mensuelle]]*Clients_Churn_Part[[#This Row],[Remise]]</f>
        <v>0</v>
      </c>
      <c r="N45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57" spans="1:14" x14ac:dyDescent="0.3">
      <c r="A457" t="s">
        <v>538</v>
      </c>
      <c r="B457" t="s">
        <v>574</v>
      </c>
      <c r="C457" t="s">
        <v>61</v>
      </c>
      <c r="D457">
        <v>81</v>
      </c>
      <c r="E457" s="7">
        <f>Clients_Churn_Part[[#This Row],[Anciennete_Mois]]/12</f>
        <v>6.75</v>
      </c>
      <c r="F457" t="s">
        <v>13</v>
      </c>
      <c r="G457" t="str">
        <f>IF(Clients_Churn_Part[[#This Row],[Type_Forfait]]="pro Monde","B2B","B2C")</f>
        <v>B2B</v>
      </c>
      <c r="H457">
        <v>443</v>
      </c>
      <c r="I457" s="2">
        <f>Clients_Churn_Part[[#This Row],[Duree_Cumulee_Panne_Min]]/60</f>
        <v>7.3833333333333337</v>
      </c>
      <c r="J457">
        <v>32.78</v>
      </c>
      <c r="K457">
        <v>1</v>
      </c>
      <c r="L45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57">
        <f>Clients_Churn_Part[[#This Row],[Facture_Mensuelle]]*Clients_Churn_Part[[#This Row],[Remise]]</f>
        <v>22.945999999999998</v>
      </c>
      <c r="N45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58" spans="1:14" x14ac:dyDescent="0.3">
      <c r="A458" t="s">
        <v>314</v>
      </c>
      <c r="B458" t="s">
        <v>349</v>
      </c>
      <c r="C458" t="s">
        <v>48</v>
      </c>
      <c r="D458">
        <v>86</v>
      </c>
      <c r="E458" s="7">
        <f>Clients_Churn_Part[[#This Row],[Anciennete_Mois]]/12</f>
        <v>7.166666666666667</v>
      </c>
      <c r="F458" t="s">
        <v>13</v>
      </c>
      <c r="G458" t="str">
        <f>IF(Clients_Churn_Part[[#This Row],[Type_Forfait]]="pro Monde","B2B","B2C")</f>
        <v>B2B</v>
      </c>
      <c r="H458">
        <v>192</v>
      </c>
      <c r="I458" s="2">
        <f>Clients_Churn_Part[[#This Row],[Duree_Cumulee_Panne_Min]]/60</f>
        <v>3.2</v>
      </c>
      <c r="J458">
        <v>26.26</v>
      </c>
      <c r="K458">
        <v>1</v>
      </c>
      <c r="L45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58">
        <f>Clients_Churn_Part[[#This Row],[Facture_Mensuelle]]*Clients_Churn_Part[[#This Row],[Remise]]</f>
        <v>18.382000000000001</v>
      </c>
      <c r="N45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59" spans="1:14" x14ac:dyDescent="0.3">
      <c r="A459" t="s">
        <v>220</v>
      </c>
      <c r="B459" t="s">
        <v>224</v>
      </c>
      <c r="C459" t="s">
        <v>23</v>
      </c>
      <c r="D459">
        <v>60</v>
      </c>
      <c r="E459" s="7">
        <f>Clients_Churn_Part[[#This Row],[Anciennete_Mois]]/12</f>
        <v>5</v>
      </c>
      <c r="F459" t="s">
        <v>21</v>
      </c>
      <c r="G459" t="str">
        <f>IF(Clients_Churn_Part[[#This Row],[Type_Forfait]]="pro Monde","B2B","B2C")</f>
        <v>B2C</v>
      </c>
      <c r="H459">
        <v>54</v>
      </c>
      <c r="I459" s="2">
        <f>Clients_Churn_Part[[#This Row],[Duree_Cumulee_Panne_Min]]/60</f>
        <v>0.9</v>
      </c>
      <c r="J459">
        <v>67.180000000000007</v>
      </c>
      <c r="K459">
        <v>3</v>
      </c>
      <c r="L45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459">
        <f>Clients_Churn_Part[[#This Row],[Facture_Mensuelle]]*Clients_Churn_Part[[#This Row],[Remise]]</f>
        <v>0</v>
      </c>
      <c r="N45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60" spans="1:14" x14ac:dyDescent="0.3">
      <c r="A460" t="s">
        <v>174</v>
      </c>
      <c r="B460" t="s">
        <v>211</v>
      </c>
      <c r="C460" t="s">
        <v>37</v>
      </c>
      <c r="D460">
        <v>49</v>
      </c>
      <c r="E460" s="7">
        <f>Clients_Churn_Part[[#This Row],[Anciennete_Mois]]/12</f>
        <v>4.083333333333333</v>
      </c>
      <c r="F460" t="s">
        <v>10</v>
      </c>
      <c r="G460" t="str">
        <f>IF(Clients_Churn_Part[[#This Row],[Type_Forfait]]="pro Monde","B2B","B2C")</f>
        <v>B2C</v>
      </c>
      <c r="H460">
        <v>357</v>
      </c>
      <c r="I460" s="2">
        <f>Clients_Churn_Part[[#This Row],[Duree_Cumulee_Panne_Min]]/60</f>
        <v>5.95</v>
      </c>
      <c r="J460">
        <v>96.67</v>
      </c>
      <c r="K460">
        <v>3</v>
      </c>
      <c r="L46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460">
        <f>Clients_Churn_Part[[#This Row],[Facture_Mensuelle]]*Clients_Churn_Part[[#This Row],[Remise]]</f>
        <v>43.5015</v>
      </c>
      <c r="N46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61" spans="1:14" x14ac:dyDescent="0.3">
      <c r="A461" t="s">
        <v>589</v>
      </c>
      <c r="B461" t="s">
        <v>606</v>
      </c>
      <c r="C461" t="s">
        <v>37</v>
      </c>
      <c r="D461">
        <v>69</v>
      </c>
      <c r="E461" s="7">
        <f>Clients_Churn_Part[[#This Row],[Anciennete_Mois]]/12</f>
        <v>5.75</v>
      </c>
      <c r="F461" t="s">
        <v>18</v>
      </c>
      <c r="G461" t="str">
        <f>IF(Clients_Churn_Part[[#This Row],[Type_Forfait]]="pro Monde","B2B","B2C")</f>
        <v>B2C</v>
      </c>
      <c r="H461">
        <v>180</v>
      </c>
      <c r="I461" s="2">
        <f>Clients_Churn_Part[[#This Row],[Duree_Cumulee_Panne_Min]]/60</f>
        <v>3</v>
      </c>
      <c r="J461">
        <v>76.05</v>
      </c>
      <c r="K461">
        <v>2</v>
      </c>
      <c r="L46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61">
        <f>Clients_Churn_Part[[#This Row],[Facture_Mensuelle]]*Clients_Churn_Part[[#This Row],[Remise]]</f>
        <v>53.234999999999992</v>
      </c>
      <c r="N46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62" spans="1:14" x14ac:dyDescent="0.3">
      <c r="A462" t="s">
        <v>129</v>
      </c>
      <c r="B462" t="s">
        <v>130</v>
      </c>
      <c r="C462" t="s">
        <v>23</v>
      </c>
      <c r="D462">
        <v>87</v>
      </c>
      <c r="E462" s="7">
        <f>Clients_Churn_Part[[#This Row],[Anciennete_Mois]]/12</f>
        <v>7.25</v>
      </c>
      <c r="F462" t="s">
        <v>13</v>
      </c>
      <c r="G462" t="str">
        <f>IF(Clients_Churn_Part[[#This Row],[Type_Forfait]]="pro Monde","B2B","B2C")</f>
        <v>B2B</v>
      </c>
      <c r="H462">
        <v>442</v>
      </c>
      <c r="I462" s="2">
        <f>Clients_Churn_Part[[#This Row],[Duree_Cumulee_Panne_Min]]/60</f>
        <v>7.3666666666666663</v>
      </c>
      <c r="J462">
        <v>22.39</v>
      </c>
      <c r="K462">
        <v>3</v>
      </c>
      <c r="L46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62">
        <f>Clients_Churn_Part[[#This Row],[Facture_Mensuelle]]*Clients_Churn_Part[[#This Row],[Remise]]</f>
        <v>15.673</v>
      </c>
      <c r="N46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63" spans="1:14" x14ac:dyDescent="0.3">
      <c r="A463" t="s">
        <v>129</v>
      </c>
      <c r="B463" t="s">
        <v>162</v>
      </c>
      <c r="C463" t="s">
        <v>37</v>
      </c>
      <c r="D463">
        <v>58</v>
      </c>
      <c r="E463" s="7">
        <f>Clients_Churn_Part[[#This Row],[Anciennete_Mois]]/12</f>
        <v>4.833333333333333</v>
      </c>
      <c r="F463" t="s">
        <v>18</v>
      </c>
      <c r="G463" t="str">
        <f>IF(Clients_Churn_Part[[#This Row],[Type_Forfait]]="pro Monde","B2B","B2C")</f>
        <v>B2C</v>
      </c>
      <c r="H463">
        <v>293</v>
      </c>
      <c r="I463" s="2">
        <f>Clients_Churn_Part[[#This Row],[Duree_Cumulee_Panne_Min]]/60</f>
        <v>4.8833333333333337</v>
      </c>
      <c r="J463">
        <v>88.85</v>
      </c>
      <c r="K463">
        <v>5</v>
      </c>
      <c r="L46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463">
        <f>Clients_Churn_Part[[#This Row],[Facture_Mensuelle]]*Clients_Churn_Part[[#This Row],[Remise]]</f>
        <v>0</v>
      </c>
      <c r="N46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64" spans="1:14" x14ac:dyDescent="0.3">
      <c r="A464" t="s">
        <v>637</v>
      </c>
      <c r="B464" t="s">
        <v>662</v>
      </c>
      <c r="C464" t="s">
        <v>31</v>
      </c>
      <c r="D464">
        <v>85</v>
      </c>
      <c r="E464" s="7">
        <f>Clients_Churn_Part[[#This Row],[Anciennete_Mois]]/12</f>
        <v>7.083333333333333</v>
      </c>
      <c r="F464" t="s">
        <v>13</v>
      </c>
      <c r="G464" t="str">
        <f>IF(Clients_Churn_Part[[#This Row],[Type_Forfait]]="pro Monde","B2B","B2C")</f>
        <v>B2B</v>
      </c>
      <c r="H464">
        <v>28</v>
      </c>
      <c r="I464" s="2">
        <f>Clients_Churn_Part[[#This Row],[Duree_Cumulee_Panne_Min]]/60</f>
        <v>0.46666666666666667</v>
      </c>
      <c r="J464">
        <v>83.82</v>
      </c>
      <c r="K464">
        <v>0</v>
      </c>
      <c r="L46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464">
        <f>Clients_Churn_Part[[#This Row],[Facture_Mensuelle]]*Clients_Churn_Part[[#This Row],[Remise]]</f>
        <v>37.719000000000001</v>
      </c>
      <c r="N46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65" spans="1:14" x14ac:dyDescent="0.3">
      <c r="A465" t="s">
        <v>267</v>
      </c>
      <c r="B465" t="s">
        <v>288</v>
      </c>
      <c r="C465" t="s">
        <v>62</v>
      </c>
      <c r="D465">
        <v>117</v>
      </c>
      <c r="E465" s="7">
        <f>Clients_Churn_Part[[#This Row],[Anciennete_Mois]]/12</f>
        <v>9.75</v>
      </c>
      <c r="F465" t="s">
        <v>18</v>
      </c>
      <c r="G465" t="str">
        <f>IF(Clients_Churn_Part[[#This Row],[Type_Forfait]]="pro Monde","B2B","B2C")</f>
        <v>B2C</v>
      </c>
      <c r="H465">
        <v>85</v>
      </c>
      <c r="I465" s="2">
        <f>Clients_Churn_Part[[#This Row],[Duree_Cumulee_Panne_Min]]/60</f>
        <v>1.4166666666666667</v>
      </c>
      <c r="J465">
        <v>46.16</v>
      </c>
      <c r="K465">
        <v>3</v>
      </c>
      <c r="L46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65">
        <f>Clients_Churn_Part[[#This Row],[Facture_Mensuelle]]*Clients_Churn_Part[[#This Row],[Remise]]</f>
        <v>32.311999999999998</v>
      </c>
      <c r="N46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66" spans="1:14" x14ac:dyDescent="0.3">
      <c r="A466" t="s">
        <v>538</v>
      </c>
      <c r="B466" t="s">
        <v>584</v>
      </c>
      <c r="C466" t="s">
        <v>27</v>
      </c>
      <c r="D466">
        <v>4</v>
      </c>
      <c r="E466" s="7">
        <f>Clients_Churn_Part[[#This Row],[Anciennete_Mois]]/12</f>
        <v>0.33333333333333331</v>
      </c>
      <c r="F466" t="s">
        <v>13</v>
      </c>
      <c r="G466" t="str">
        <f>IF(Clients_Churn_Part[[#This Row],[Type_Forfait]]="pro Monde","B2B","B2C")</f>
        <v>B2B</v>
      </c>
      <c r="H466">
        <v>372</v>
      </c>
      <c r="I466" s="2">
        <f>Clients_Churn_Part[[#This Row],[Duree_Cumulee_Panne_Min]]/60</f>
        <v>6.2</v>
      </c>
      <c r="J466">
        <v>26.73</v>
      </c>
      <c r="K466">
        <v>3</v>
      </c>
      <c r="L46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466">
        <f>Clients_Churn_Part[[#This Row],[Facture_Mensuelle]]*Clients_Churn_Part[[#This Row],[Remise]]</f>
        <v>2.673</v>
      </c>
      <c r="N46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67" spans="1:14" x14ac:dyDescent="0.3">
      <c r="A467" t="s">
        <v>682</v>
      </c>
      <c r="B467" t="s">
        <v>683</v>
      </c>
      <c r="C467" t="s">
        <v>33</v>
      </c>
      <c r="D467">
        <v>97</v>
      </c>
      <c r="E467" s="7">
        <f>Clients_Churn_Part[[#This Row],[Anciennete_Mois]]/12</f>
        <v>8.0833333333333339</v>
      </c>
      <c r="F467" t="s">
        <v>18</v>
      </c>
      <c r="G467" t="str">
        <f>IF(Clients_Churn_Part[[#This Row],[Type_Forfait]]="pro Monde","B2B","B2C")</f>
        <v>B2C</v>
      </c>
      <c r="H467">
        <v>173</v>
      </c>
      <c r="I467" s="2">
        <f>Clients_Churn_Part[[#This Row],[Duree_Cumulee_Panne_Min]]/60</f>
        <v>2.8833333333333333</v>
      </c>
      <c r="J467">
        <v>19.37</v>
      </c>
      <c r="K467">
        <v>5</v>
      </c>
      <c r="L46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67">
        <f>Clients_Churn_Part[[#This Row],[Facture_Mensuelle]]*Clients_Churn_Part[[#This Row],[Remise]]</f>
        <v>13.558999999999999</v>
      </c>
      <c r="N46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68" spans="1:14" x14ac:dyDescent="0.3">
      <c r="A468" t="s">
        <v>452</v>
      </c>
      <c r="B468" t="s">
        <v>483</v>
      </c>
      <c r="C468" t="s">
        <v>33</v>
      </c>
      <c r="D468">
        <v>41</v>
      </c>
      <c r="E468" s="7">
        <f>Clients_Churn_Part[[#This Row],[Anciennete_Mois]]/12</f>
        <v>3.4166666666666665</v>
      </c>
      <c r="F468" t="s">
        <v>10</v>
      </c>
      <c r="G468" t="str">
        <f>IF(Clients_Churn_Part[[#This Row],[Type_Forfait]]="pro Monde","B2B","B2C")</f>
        <v>B2C</v>
      </c>
      <c r="H468">
        <v>383</v>
      </c>
      <c r="I468" s="2">
        <f>Clients_Churn_Part[[#This Row],[Duree_Cumulee_Panne_Min]]/60</f>
        <v>6.3833333333333337</v>
      </c>
      <c r="J468">
        <v>27.53</v>
      </c>
      <c r="K468">
        <v>4</v>
      </c>
      <c r="L46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468">
        <f>Clients_Churn_Part[[#This Row],[Facture_Mensuelle]]*Clients_Churn_Part[[#This Row],[Remise]]</f>
        <v>12.388500000000001</v>
      </c>
      <c r="N46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69" spans="1:14" x14ac:dyDescent="0.3">
      <c r="A469" t="s">
        <v>314</v>
      </c>
      <c r="B469" t="s">
        <v>355</v>
      </c>
      <c r="C469" t="s">
        <v>83</v>
      </c>
      <c r="D469">
        <v>77</v>
      </c>
      <c r="E469" s="7">
        <f>Clients_Churn_Part[[#This Row],[Anciennete_Mois]]/12</f>
        <v>6.416666666666667</v>
      </c>
      <c r="F469" t="s">
        <v>21</v>
      </c>
      <c r="G469" t="str">
        <f>IF(Clients_Churn_Part[[#This Row],[Type_Forfait]]="pro Monde","B2B","B2C")</f>
        <v>B2C</v>
      </c>
      <c r="H469">
        <v>45</v>
      </c>
      <c r="I469" s="2">
        <f>Clients_Churn_Part[[#This Row],[Duree_Cumulee_Panne_Min]]/60</f>
        <v>0.75</v>
      </c>
      <c r="J469">
        <v>21.59</v>
      </c>
      <c r="K469">
        <v>2</v>
      </c>
      <c r="L46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69">
        <f>Clients_Churn_Part[[#This Row],[Facture_Mensuelle]]*Clients_Churn_Part[[#This Row],[Remise]]</f>
        <v>15.113</v>
      </c>
      <c r="N46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70" spans="1:14" x14ac:dyDescent="0.3">
      <c r="A470" t="s">
        <v>405</v>
      </c>
      <c r="B470" t="s">
        <v>442</v>
      </c>
      <c r="C470" t="s">
        <v>68</v>
      </c>
      <c r="D470">
        <v>2</v>
      </c>
      <c r="E470" s="7">
        <f>Clients_Churn_Part[[#This Row],[Anciennete_Mois]]/12</f>
        <v>0.16666666666666666</v>
      </c>
      <c r="F470" t="s">
        <v>18</v>
      </c>
      <c r="G470" t="str">
        <f>IF(Clients_Churn_Part[[#This Row],[Type_Forfait]]="pro Monde","B2B","B2C")</f>
        <v>B2C</v>
      </c>
      <c r="H470">
        <v>142</v>
      </c>
      <c r="I470" s="2">
        <f>Clients_Churn_Part[[#This Row],[Duree_Cumulee_Panne_Min]]/60</f>
        <v>2.3666666666666667</v>
      </c>
      <c r="J470">
        <v>49.05</v>
      </c>
      <c r="K470">
        <v>4</v>
      </c>
      <c r="L47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470">
        <f>Clients_Churn_Part[[#This Row],[Facture_Mensuelle]]*Clients_Churn_Part[[#This Row],[Remise]]</f>
        <v>0</v>
      </c>
      <c r="N47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71" spans="1:14" x14ac:dyDescent="0.3">
      <c r="A471" t="s">
        <v>360</v>
      </c>
      <c r="B471" t="s">
        <v>394</v>
      </c>
      <c r="C471" t="s">
        <v>54</v>
      </c>
      <c r="D471">
        <v>78</v>
      </c>
      <c r="E471" s="7">
        <f>Clients_Churn_Part[[#This Row],[Anciennete_Mois]]/12</f>
        <v>6.5</v>
      </c>
      <c r="F471" t="s">
        <v>18</v>
      </c>
      <c r="G471" t="str">
        <f>IF(Clients_Churn_Part[[#This Row],[Type_Forfait]]="pro Monde","B2B","B2C")</f>
        <v>B2C</v>
      </c>
      <c r="H471">
        <v>57</v>
      </c>
      <c r="I471" s="2">
        <f>Clients_Churn_Part[[#This Row],[Duree_Cumulee_Panne_Min]]/60</f>
        <v>0.95</v>
      </c>
      <c r="J471">
        <v>49.47</v>
      </c>
      <c r="K471">
        <v>0</v>
      </c>
      <c r="L47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71">
        <f>Clients_Churn_Part[[#This Row],[Facture_Mensuelle]]*Clients_Churn_Part[[#This Row],[Remise]]</f>
        <v>34.628999999999998</v>
      </c>
      <c r="N47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72" spans="1:14" x14ac:dyDescent="0.3">
      <c r="A472" t="s">
        <v>314</v>
      </c>
      <c r="B472" t="s">
        <v>353</v>
      </c>
      <c r="C472" t="s">
        <v>72</v>
      </c>
      <c r="D472">
        <v>90</v>
      </c>
      <c r="E472" s="7">
        <f>Clients_Churn_Part[[#This Row],[Anciennete_Mois]]/12</f>
        <v>7.5</v>
      </c>
      <c r="F472" t="s">
        <v>21</v>
      </c>
      <c r="G472" t="str">
        <f>IF(Clients_Churn_Part[[#This Row],[Type_Forfait]]="pro Monde","B2B","B2C")</f>
        <v>B2C</v>
      </c>
      <c r="H472">
        <v>343</v>
      </c>
      <c r="I472" s="2">
        <f>Clients_Churn_Part[[#This Row],[Duree_Cumulee_Panne_Min]]/60</f>
        <v>5.7166666666666668</v>
      </c>
      <c r="J472">
        <v>82.05</v>
      </c>
      <c r="K472">
        <v>1</v>
      </c>
      <c r="L47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72">
        <f>Clients_Churn_Part[[#This Row],[Facture_Mensuelle]]*Clients_Churn_Part[[#This Row],[Remise]]</f>
        <v>57.434999999999995</v>
      </c>
      <c r="N47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73" spans="1:14" x14ac:dyDescent="0.3">
      <c r="A473" t="s">
        <v>220</v>
      </c>
      <c r="B473" t="s">
        <v>246</v>
      </c>
      <c r="C473" t="s">
        <v>12</v>
      </c>
      <c r="D473">
        <v>96</v>
      </c>
      <c r="E473" s="7">
        <f>Clients_Churn_Part[[#This Row],[Anciennete_Mois]]/12</f>
        <v>8</v>
      </c>
      <c r="F473" t="s">
        <v>21</v>
      </c>
      <c r="G473" t="str">
        <f>IF(Clients_Churn_Part[[#This Row],[Type_Forfait]]="pro Monde","B2B","B2C")</f>
        <v>B2C</v>
      </c>
      <c r="H473">
        <v>210</v>
      </c>
      <c r="I473" s="2">
        <f>Clients_Churn_Part[[#This Row],[Duree_Cumulee_Panne_Min]]/60</f>
        <v>3.5</v>
      </c>
      <c r="J473">
        <v>28.39</v>
      </c>
      <c r="K473">
        <v>3</v>
      </c>
      <c r="L47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73">
        <f>Clients_Churn_Part[[#This Row],[Facture_Mensuelle]]*Clients_Churn_Part[[#This Row],[Remise]]</f>
        <v>19.872999999999998</v>
      </c>
      <c r="N47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74" spans="1:14" x14ac:dyDescent="0.3">
      <c r="A474" t="s">
        <v>682</v>
      </c>
      <c r="B474" t="s">
        <v>724</v>
      </c>
      <c r="C474" t="s">
        <v>27</v>
      </c>
      <c r="D474">
        <v>12</v>
      </c>
      <c r="E474" s="7">
        <f>Clients_Churn_Part[[#This Row],[Anciennete_Mois]]/12</f>
        <v>1</v>
      </c>
      <c r="F474" t="s">
        <v>10</v>
      </c>
      <c r="G474" t="str">
        <f>IF(Clients_Churn_Part[[#This Row],[Type_Forfait]]="pro Monde","B2B","B2C")</f>
        <v>B2C</v>
      </c>
      <c r="H474">
        <v>138</v>
      </c>
      <c r="I474" s="2">
        <f>Clients_Churn_Part[[#This Row],[Duree_Cumulee_Panne_Min]]/60</f>
        <v>2.2999999999999998</v>
      </c>
      <c r="J474">
        <v>99.83</v>
      </c>
      <c r="K474">
        <v>1</v>
      </c>
      <c r="L47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474">
        <f>Clients_Churn_Part[[#This Row],[Facture_Mensuelle]]*Clients_Churn_Part[[#This Row],[Remise]]</f>
        <v>44.923499999999997</v>
      </c>
      <c r="N47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75" spans="1:14" x14ac:dyDescent="0.3">
      <c r="A475" t="s">
        <v>129</v>
      </c>
      <c r="B475" t="s">
        <v>140</v>
      </c>
      <c r="C475" t="s">
        <v>31</v>
      </c>
      <c r="D475">
        <v>110</v>
      </c>
      <c r="E475" s="7">
        <f>Clients_Churn_Part[[#This Row],[Anciennete_Mois]]/12</f>
        <v>9.1666666666666661</v>
      </c>
      <c r="F475" t="s">
        <v>10</v>
      </c>
      <c r="G475" t="str">
        <f>IF(Clients_Churn_Part[[#This Row],[Type_Forfait]]="pro Monde","B2B","B2C")</f>
        <v>B2C</v>
      </c>
      <c r="H475">
        <v>51</v>
      </c>
      <c r="I475" s="2">
        <f>Clients_Churn_Part[[#This Row],[Duree_Cumulee_Panne_Min]]/60</f>
        <v>0.85</v>
      </c>
      <c r="J475">
        <v>56.59</v>
      </c>
      <c r="K475">
        <v>5</v>
      </c>
      <c r="L47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75">
        <f>Clients_Churn_Part[[#This Row],[Facture_Mensuelle]]*Clients_Churn_Part[[#This Row],[Remise]]</f>
        <v>39.613</v>
      </c>
      <c r="N47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76" spans="1:14" x14ac:dyDescent="0.3">
      <c r="A476" t="s">
        <v>174</v>
      </c>
      <c r="B476" t="s">
        <v>205</v>
      </c>
      <c r="C476" t="s">
        <v>62</v>
      </c>
      <c r="D476">
        <v>111</v>
      </c>
      <c r="E476" s="7">
        <f>Clients_Churn_Part[[#This Row],[Anciennete_Mois]]/12</f>
        <v>9.25</v>
      </c>
      <c r="F476" t="s">
        <v>10</v>
      </c>
      <c r="G476" t="str">
        <f>IF(Clients_Churn_Part[[#This Row],[Type_Forfait]]="pro Monde","B2B","B2C")</f>
        <v>B2C</v>
      </c>
      <c r="H476">
        <v>43</v>
      </c>
      <c r="I476" s="2">
        <f>Clients_Churn_Part[[#This Row],[Duree_Cumulee_Panne_Min]]/60</f>
        <v>0.71666666666666667</v>
      </c>
      <c r="J476">
        <v>19.39</v>
      </c>
      <c r="K476">
        <v>3</v>
      </c>
      <c r="L47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76">
        <f>Clients_Churn_Part[[#This Row],[Facture_Mensuelle]]*Clients_Churn_Part[[#This Row],[Remise]]</f>
        <v>13.573</v>
      </c>
      <c r="N47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77" spans="1:14" x14ac:dyDescent="0.3">
      <c r="A477" t="s">
        <v>267</v>
      </c>
      <c r="B477" t="s">
        <v>302</v>
      </c>
      <c r="C477" t="s">
        <v>31</v>
      </c>
      <c r="D477">
        <v>55</v>
      </c>
      <c r="E477" s="7">
        <f>Clients_Churn_Part[[#This Row],[Anciennete_Mois]]/12</f>
        <v>4.583333333333333</v>
      </c>
      <c r="F477" t="s">
        <v>13</v>
      </c>
      <c r="G477" t="str">
        <f>IF(Clients_Churn_Part[[#This Row],[Type_Forfait]]="pro Monde","B2B","B2C")</f>
        <v>B2B</v>
      </c>
      <c r="H477">
        <v>389</v>
      </c>
      <c r="I477" s="2">
        <f>Clients_Churn_Part[[#This Row],[Duree_Cumulee_Panne_Min]]/60</f>
        <v>6.4833333333333334</v>
      </c>
      <c r="J477">
        <v>67.430000000000007</v>
      </c>
      <c r="K477">
        <v>3</v>
      </c>
      <c r="L47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477">
        <f>Clients_Churn_Part[[#This Row],[Facture_Mensuelle]]*Clients_Churn_Part[[#This Row],[Remise]]</f>
        <v>6.7430000000000012</v>
      </c>
      <c r="N47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78" spans="1:14" x14ac:dyDescent="0.3">
      <c r="A478" t="s">
        <v>538</v>
      </c>
      <c r="B478" t="s">
        <v>562</v>
      </c>
      <c r="C478" t="s">
        <v>33</v>
      </c>
      <c r="D478">
        <v>13</v>
      </c>
      <c r="E478" s="7">
        <f>Clients_Churn_Part[[#This Row],[Anciennete_Mois]]/12</f>
        <v>1.0833333333333333</v>
      </c>
      <c r="F478" t="s">
        <v>13</v>
      </c>
      <c r="G478" t="str">
        <f>IF(Clients_Churn_Part[[#This Row],[Type_Forfait]]="pro Monde","B2B","B2C")</f>
        <v>B2B</v>
      </c>
      <c r="H478">
        <v>474</v>
      </c>
      <c r="I478" s="2">
        <f>Clients_Churn_Part[[#This Row],[Duree_Cumulee_Panne_Min]]/60</f>
        <v>7.9</v>
      </c>
      <c r="J478">
        <v>63.67</v>
      </c>
      <c r="K478">
        <v>2</v>
      </c>
      <c r="L47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478">
        <f>Clients_Churn_Part[[#This Row],[Facture_Mensuelle]]*Clients_Churn_Part[[#This Row],[Remise]]</f>
        <v>6.3670000000000009</v>
      </c>
      <c r="N47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79" spans="1:14" x14ac:dyDescent="0.3">
      <c r="A479" t="s">
        <v>405</v>
      </c>
      <c r="B479" t="s">
        <v>447</v>
      </c>
      <c r="C479" t="s">
        <v>72</v>
      </c>
      <c r="D479">
        <v>43</v>
      </c>
      <c r="E479" s="7">
        <f>Clients_Churn_Part[[#This Row],[Anciennete_Mois]]/12</f>
        <v>3.5833333333333335</v>
      </c>
      <c r="F479" t="s">
        <v>21</v>
      </c>
      <c r="G479" t="str">
        <f>IF(Clients_Churn_Part[[#This Row],[Type_Forfait]]="pro Monde","B2B","B2C")</f>
        <v>B2C</v>
      </c>
      <c r="H479">
        <v>26</v>
      </c>
      <c r="I479" s="2">
        <f>Clients_Churn_Part[[#This Row],[Duree_Cumulee_Panne_Min]]/60</f>
        <v>0.43333333333333335</v>
      </c>
      <c r="J479">
        <v>25.85</v>
      </c>
      <c r="K479">
        <v>1</v>
      </c>
      <c r="L47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479">
        <f>Clients_Churn_Part[[#This Row],[Facture_Mensuelle]]*Clients_Churn_Part[[#This Row],[Remise]]</f>
        <v>11.6325</v>
      </c>
      <c r="N47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80" spans="1:14" x14ac:dyDescent="0.3">
      <c r="A480" t="s">
        <v>682</v>
      </c>
      <c r="B480" t="s">
        <v>712</v>
      </c>
      <c r="C480" t="s">
        <v>12</v>
      </c>
      <c r="D480">
        <v>63</v>
      </c>
      <c r="E480" s="7">
        <f>Clients_Churn_Part[[#This Row],[Anciennete_Mois]]/12</f>
        <v>5.25</v>
      </c>
      <c r="F480" t="s">
        <v>10</v>
      </c>
      <c r="G480" t="str">
        <f>IF(Clients_Churn_Part[[#This Row],[Type_Forfait]]="pro Monde","B2B","B2C")</f>
        <v>B2C</v>
      </c>
      <c r="H480">
        <v>177</v>
      </c>
      <c r="I480" s="2">
        <f>Clients_Churn_Part[[#This Row],[Duree_Cumulee_Panne_Min]]/60</f>
        <v>2.95</v>
      </c>
      <c r="J480">
        <v>77.73</v>
      </c>
      <c r="K480">
        <v>3</v>
      </c>
      <c r="L48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80">
        <f>Clients_Churn_Part[[#This Row],[Facture_Mensuelle]]*Clients_Churn_Part[[#This Row],[Remise]]</f>
        <v>54.411000000000001</v>
      </c>
      <c r="N48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81" spans="1:14" x14ac:dyDescent="0.3">
      <c r="A481" t="s">
        <v>8</v>
      </c>
      <c r="B481" t="s">
        <v>46</v>
      </c>
      <c r="C481" t="s">
        <v>24</v>
      </c>
      <c r="D481">
        <v>7</v>
      </c>
      <c r="E481" s="7">
        <f>Clients_Churn_Part[[#This Row],[Anciennete_Mois]]/12</f>
        <v>0.58333333333333337</v>
      </c>
      <c r="F481" t="s">
        <v>10</v>
      </c>
      <c r="G481" t="str">
        <f>IF(Clients_Churn_Part[[#This Row],[Type_Forfait]]="pro Monde","B2B","B2C")</f>
        <v>B2C</v>
      </c>
      <c r="H481">
        <v>206</v>
      </c>
      <c r="I481" s="2">
        <f>Clients_Churn_Part[[#This Row],[Duree_Cumulee_Panne_Min]]/60</f>
        <v>3.4333333333333331</v>
      </c>
      <c r="J481">
        <v>78.09</v>
      </c>
      <c r="K481">
        <v>3</v>
      </c>
      <c r="L48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481">
        <f>Clients_Churn_Part[[#This Row],[Facture_Mensuelle]]*Clients_Churn_Part[[#This Row],[Remise]]</f>
        <v>35.140500000000003</v>
      </c>
      <c r="N48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82" spans="1:14" x14ac:dyDescent="0.3">
      <c r="A482" t="s">
        <v>8</v>
      </c>
      <c r="B482" t="s">
        <v>76</v>
      </c>
      <c r="C482" t="s">
        <v>54</v>
      </c>
      <c r="D482">
        <v>117</v>
      </c>
      <c r="E482" s="7">
        <f>Clients_Churn_Part[[#This Row],[Anciennete_Mois]]/12</f>
        <v>9.75</v>
      </c>
      <c r="F482" t="s">
        <v>21</v>
      </c>
      <c r="G482" t="str">
        <f>IF(Clients_Churn_Part[[#This Row],[Type_Forfait]]="pro Monde","B2B","B2C")</f>
        <v>B2C</v>
      </c>
      <c r="H482">
        <v>171</v>
      </c>
      <c r="I482" s="2">
        <f>Clients_Churn_Part[[#This Row],[Duree_Cumulee_Panne_Min]]/60</f>
        <v>2.85</v>
      </c>
      <c r="J482">
        <v>50.89</v>
      </c>
      <c r="K482">
        <v>4</v>
      </c>
      <c r="L48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82">
        <f>Clients_Churn_Part[[#This Row],[Facture_Mensuelle]]*Clients_Churn_Part[[#This Row],[Remise]]</f>
        <v>35.622999999999998</v>
      </c>
      <c r="N48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83" spans="1:14" x14ac:dyDescent="0.3">
      <c r="A483" t="s">
        <v>494</v>
      </c>
      <c r="B483" t="s">
        <v>511</v>
      </c>
      <c r="C483" t="s">
        <v>29</v>
      </c>
      <c r="D483">
        <v>57</v>
      </c>
      <c r="E483" s="7">
        <f>Clients_Churn_Part[[#This Row],[Anciennete_Mois]]/12</f>
        <v>4.75</v>
      </c>
      <c r="F483" t="s">
        <v>18</v>
      </c>
      <c r="G483" t="str">
        <f>IF(Clients_Churn_Part[[#This Row],[Type_Forfait]]="pro Monde","B2B","B2C")</f>
        <v>B2C</v>
      </c>
      <c r="H483">
        <v>447</v>
      </c>
      <c r="I483" s="2">
        <f>Clients_Churn_Part[[#This Row],[Duree_Cumulee_Panne_Min]]/60</f>
        <v>7.45</v>
      </c>
      <c r="J483">
        <v>23.27</v>
      </c>
      <c r="K483">
        <v>3</v>
      </c>
      <c r="L48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483">
        <f>Clients_Churn_Part[[#This Row],[Facture_Mensuelle]]*Clients_Churn_Part[[#This Row],[Remise]]</f>
        <v>0</v>
      </c>
      <c r="N48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84" spans="1:14" x14ac:dyDescent="0.3">
      <c r="A484" t="s">
        <v>682</v>
      </c>
      <c r="B484" t="s">
        <v>722</v>
      </c>
      <c r="C484" t="s">
        <v>54</v>
      </c>
      <c r="D484">
        <v>102</v>
      </c>
      <c r="E484" s="7">
        <f>Clients_Churn_Part[[#This Row],[Anciennete_Mois]]/12</f>
        <v>8.5</v>
      </c>
      <c r="F484" t="s">
        <v>18</v>
      </c>
      <c r="G484" t="str">
        <f>IF(Clients_Churn_Part[[#This Row],[Type_Forfait]]="pro Monde","B2B","B2C")</f>
        <v>B2C</v>
      </c>
      <c r="H484">
        <v>484</v>
      </c>
      <c r="I484" s="2">
        <f>Clients_Churn_Part[[#This Row],[Duree_Cumulee_Panne_Min]]/60</f>
        <v>8.0666666666666664</v>
      </c>
      <c r="J484">
        <v>64.22</v>
      </c>
      <c r="K484">
        <v>2</v>
      </c>
      <c r="L48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84">
        <f>Clients_Churn_Part[[#This Row],[Facture_Mensuelle]]*Clients_Churn_Part[[#This Row],[Remise]]</f>
        <v>44.953999999999994</v>
      </c>
      <c r="N48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85" spans="1:14" x14ac:dyDescent="0.3">
      <c r="A485" t="s">
        <v>314</v>
      </c>
      <c r="B485" t="s">
        <v>328</v>
      </c>
      <c r="C485" t="s">
        <v>122</v>
      </c>
      <c r="D485">
        <v>67</v>
      </c>
      <c r="E485" s="7">
        <f>Clients_Churn_Part[[#This Row],[Anciennete_Mois]]/12</f>
        <v>5.583333333333333</v>
      </c>
      <c r="F485" t="s">
        <v>13</v>
      </c>
      <c r="G485" t="str">
        <f>IF(Clients_Churn_Part[[#This Row],[Type_Forfait]]="pro Monde","B2B","B2C")</f>
        <v>B2B</v>
      </c>
      <c r="H485">
        <v>26</v>
      </c>
      <c r="I485" s="2">
        <f>Clients_Churn_Part[[#This Row],[Duree_Cumulee_Panne_Min]]/60</f>
        <v>0.43333333333333335</v>
      </c>
      <c r="J485">
        <v>81.489999999999995</v>
      </c>
      <c r="K485">
        <v>4</v>
      </c>
      <c r="L48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485">
        <f>Clients_Churn_Part[[#This Row],[Facture_Mensuelle]]*Clients_Churn_Part[[#This Row],[Remise]]</f>
        <v>36.670499999999997</v>
      </c>
      <c r="N48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86" spans="1:14" x14ac:dyDescent="0.3">
      <c r="A486" t="s">
        <v>174</v>
      </c>
      <c r="B486" t="s">
        <v>217</v>
      </c>
      <c r="C486" t="s">
        <v>27</v>
      </c>
      <c r="D486">
        <v>71</v>
      </c>
      <c r="E486" s="7">
        <f>Clients_Churn_Part[[#This Row],[Anciennete_Mois]]/12</f>
        <v>5.916666666666667</v>
      </c>
      <c r="F486" t="s">
        <v>10</v>
      </c>
      <c r="G486" t="str">
        <f>IF(Clients_Churn_Part[[#This Row],[Type_Forfait]]="pro Monde","B2B","B2C")</f>
        <v>B2C</v>
      </c>
      <c r="H486">
        <v>15</v>
      </c>
      <c r="I486" s="2">
        <f>Clients_Churn_Part[[#This Row],[Duree_Cumulee_Panne_Min]]/60</f>
        <v>0.25</v>
      </c>
      <c r="J486">
        <v>25.46</v>
      </c>
      <c r="K486">
        <v>5</v>
      </c>
      <c r="L48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486">
        <f>Clients_Churn_Part[[#This Row],[Facture_Mensuelle]]*Clients_Churn_Part[[#This Row],[Remise]]</f>
        <v>11.457000000000001</v>
      </c>
      <c r="N48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87" spans="1:14" x14ac:dyDescent="0.3">
      <c r="A487" t="s">
        <v>589</v>
      </c>
      <c r="B487" t="s">
        <v>619</v>
      </c>
      <c r="C487" t="s">
        <v>57</v>
      </c>
      <c r="D487">
        <v>10</v>
      </c>
      <c r="E487" s="7">
        <f>Clients_Churn_Part[[#This Row],[Anciennete_Mois]]/12</f>
        <v>0.83333333333333337</v>
      </c>
      <c r="F487" t="s">
        <v>21</v>
      </c>
      <c r="G487" t="str">
        <f>IF(Clients_Churn_Part[[#This Row],[Type_Forfait]]="pro Monde","B2B","B2C")</f>
        <v>B2C</v>
      </c>
      <c r="H487">
        <v>260</v>
      </c>
      <c r="I487" s="2">
        <f>Clients_Churn_Part[[#This Row],[Duree_Cumulee_Panne_Min]]/60</f>
        <v>4.333333333333333</v>
      </c>
      <c r="J487">
        <v>37.479999999999997</v>
      </c>
      <c r="K487">
        <v>2</v>
      </c>
      <c r="L48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487">
        <f>Clients_Churn_Part[[#This Row],[Facture_Mensuelle]]*Clients_Churn_Part[[#This Row],[Remise]]</f>
        <v>0</v>
      </c>
      <c r="N48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88" spans="1:14" x14ac:dyDescent="0.3">
      <c r="A488" t="s">
        <v>589</v>
      </c>
      <c r="B488" t="s">
        <v>631</v>
      </c>
      <c r="C488" t="s">
        <v>29</v>
      </c>
      <c r="D488">
        <v>59</v>
      </c>
      <c r="E488" s="7">
        <f>Clients_Churn_Part[[#This Row],[Anciennete_Mois]]/12</f>
        <v>4.916666666666667</v>
      </c>
      <c r="F488" t="s">
        <v>18</v>
      </c>
      <c r="G488" t="str">
        <f>IF(Clients_Churn_Part[[#This Row],[Type_Forfait]]="pro Monde","B2B","B2C")</f>
        <v>B2C</v>
      </c>
      <c r="H488">
        <v>150</v>
      </c>
      <c r="I488" s="2">
        <f>Clients_Churn_Part[[#This Row],[Duree_Cumulee_Panne_Min]]/60</f>
        <v>2.5</v>
      </c>
      <c r="J488">
        <v>71.13</v>
      </c>
      <c r="K488">
        <v>0</v>
      </c>
      <c r="L48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488">
        <f>Clients_Churn_Part[[#This Row],[Facture_Mensuelle]]*Clients_Churn_Part[[#This Row],[Remise]]</f>
        <v>0</v>
      </c>
      <c r="N48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89" spans="1:14" x14ac:dyDescent="0.3">
      <c r="A489" t="s">
        <v>79</v>
      </c>
      <c r="B489" t="s">
        <v>84</v>
      </c>
      <c r="C489" t="s">
        <v>33</v>
      </c>
      <c r="D489">
        <v>58</v>
      </c>
      <c r="E489" s="7">
        <f>Clients_Churn_Part[[#This Row],[Anciennete_Mois]]/12</f>
        <v>4.833333333333333</v>
      </c>
      <c r="F489" t="s">
        <v>18</v>
      </c>
      <c r="G489" t="str">
        <f>IF(Clients_Churn_Part[[#This Row],[Type_Forfait]]="pro Monde","B2B","B2C")</f>
        <v>B2C</v>
      </c>
      <c r="H489">
        <v>423</v>
      </c>
      <c r="I489" s="2">
        <f>Clients_Churn_Part[[#This Row],[Duree_Cumulee_Panne_Min]]/60</f>
        <v>7.05</v>
      </c>
      <c r="J489">
        <v>80.459999999999994</v>
      </c>
      <c r="K489">
        <v>0</v>
      </c>
      <c r="L48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489">
        <f>Clients_Churn_Part[[#This Row],[Facture_Mensuelle]]*Clients_Churn_Part[[#This Row],[Remise]]</f>
        <v>0</v>
      </c>
      <c r="N48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90" spans="1:14" x14ac:dyDescent="0.3">
      <c r="A490" t="s">
        <v>220</v>
      </c>
      <c r="B490" t="s">
        <v>260</v>
      </c>
      <c r="C490" t="s">
        <v>48</v>
      </c>
      <c r="D490">
        <v>36</v>
      </c>
      <c r="E490" s="7">
        <f>Clients_Churn_Part[[#This Row],[Anciennete_Mois]]/12</f>
        <v>3</v>
      </c>
      <c r="F490" t="s">
        <v>18</v>
      </c>
      <c r="G490" t="str">
        <f>IF(Clients_Churn_Part[[#This Row],[Type_Forfait]]="pro Monde","B2B","B2C")</f>
        <v>B2C</v>
      </c>
      <c r="H490">
        <v>491</v>
      </c>
      <c r="I490" s="2">
        <f>Clients_Churn_Part[[#This Row],[Duree_Cumulee_Panne_Min]]/60</f>
        <v>8.1833333333333336</v>
      </c>
      <c r="J490">
        <v>12.13</v>
      </c>
      <c r="K490">
        <v>4</v>
      </c>
      <c r="L49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490">
        <f>Clients_Churn_Part[[#This Row],[Facture_Mensuelle]]*Clients_Churn_Part[[#This Row],[Remise]]</f>
        <v>0</v>
      </c>
      <c r="N49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91" spans="1:14" x14ac:dyDescent="0.3">
      <c r="A491" t="s">
        <v>589</v>
      </c>
      <c r="B491" t="s">
        <v>635</v>
      </c>
      <c r="C491" t="s">
        <v>59</v>
      </c>
      <c r="D491">
        <v>111</v>
      </c>
      <c r="E491" s="7">
        <f>Clients_Churn_Part[[#This Row],[Anciennete_Mois]]/12</f>
        <v>9.25</v>
      </c>
      <c r="F491" t="s">
        <v>10</v>
      </c>
      <c r="G491" t="str">
        <f>IF(Clients_Churn_Part[[#This Row],[Type_Forfait]]="pro Monde","B2B","B2C")</f>
        <v>B2C</v>
      </c>
      <c r="H491">
        <v>304</v>
      </c>
      <c r="I491" s="2">
        <f>Clients_Churn_Part[[#This Row],[Duree_Cumulee_Panne_Min]]/60</f>
        <v>5.0666666666666664</v>
      </c>
      <c r="J491">
        <v>62.48</v>
      </c>
      <c r="K491">
        <v>5</v>
      </c>
      <c r="L49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91">
        <f>Clients_Churn_Part[[#This Row],[Facture_Mensuelle]]*Clients_Churn_Part[[#This Row],[Remise]]</f>
        <v>43.735999999999997</v>
      </c>
      <c r="N49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92" spans="1:14" x14ac:dyDescent="0.3">
      <c r="A492" t="s">
        <v>314</v>
      </c>
      <c r="B492" t="s">
        <v>357</v>
      </c>
      <c r="C492" t="s">
        <v>61</v>
      </c>
      <c r="D492">
        <v>40</v>
      </c>
      <c r="E492" s="7">
        <f>Clients_Churn_Part[[#This Row],[Anciennete_Mois]]/12</f>
        <v>3.3333333333333335</v>
      </c>
      <c r="F492" t="s">
        <v>10</v>
      </c>
      <c r="G492" t="str">
        <f>IF(Clients_Churn_Part[[#This Row],[Type_Forfait]]="pro Monde","B2B","B2C")</f>
        <v>B2C</v>
      </c>
      <c r="H492">
        <v>237</v>
      </c>
      <c r="I492" s="2">
        <f>Clients_Churn_Part[[#This Row],[Duree_Cumulee_Panne_Min]]/60</f>
        <v>3.95</v>
      </c>
      <c r="J492">
        <v>24.51</v>
      </c>
      <c r="K492">
        <v>1</v>
      </c>
      <c r="L49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492">
        <f>Clients_Churn_Part[[#This Row],[Facture_Mensuelle]]*Clients_Churn_Part[[#This Row],[Remise]]</f>
        <v>11.029500000000001</v>
      </c>
      <c r="N49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93" spans="1:14" x14ac:dyDescent="0.3">
      <c r="A493" t="s">
        <v>79</v>
      </c>
      <c r="B493" t="s">
        <v>105</v>
      </c>
      <c r="C493" t="s">
        <v>24</v>
      </c>
      <c r="D493">
        <v>36</v>
      </c>
      <c r="E493" s="7">
        <f>Clients_Churn_Part[[#This Row],[Anciennete_Mois]]/12</f>
        <v>3</v>
      </c>
      <c r="F493" t="s">
        <v>18</v>
      </c>
      <c r="G493" t="str">
        <f>IF(Clients_Churn_Part[[#This Row],[Type_Forfait]]="pro Monde","B2B","B2C")</f>
        <v>B2C</v>
      </c>
      <c r="H493">
        <v>247</v>
      </c>
      <c r="I493" s="2">
        <f>Clients_Churn_Part[[#This Row],[Duree_Cumulee_Panne_Min]]/60</f>
        <v>4.1166666666666663</v>
      </c>
      <c r="J493">
        <v>24.53</v>
      </c>
      <c r="K493">
        <v>2</v>
      </c>
      <c r="L49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493">
        <f>Clients_Churn_Part[[#This Row],[Facture_Mensuelle]]*Clients_Churn_Part[[#This Row],[Remise]]</f>
        <v>0</v>
      </c>
      <c r="N49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94" spans="1:14" x14ac:dyDescent="0.3">
      <c r="A494" t="s">
        <v>220</v>
      </c>
      <c r="B494" t="s">
        <v>221</v>
      </c>
      <c r="C494" t="s">
        <v>33</v>
      </c>
      <c r="D494">
        <v>27</v>
      </c>
      <c r="E494" s="7">
        <f>Clients_Churn_Part[[#This Row],[Anciennete_Mois]]/12</f>
        <v>2.25</v>
      </c>
      <c r="F494" t="s">
        <v>10</v>
      </c>
      <c r="G494" t="str">
        <f>IF(Clients_Churn_Part[[#This Row],[Type_Forfait]]="pro Monde","B2B","B2C")</f>
        <v>B2C</v>
      </c>
      <c r="H494">
        <v>61</v>
      </c>
      <c r="I494" s="2">
        <f>Clients_Churn_Part[[#This Row],[Duree_Cumulee_Panne_Min]]/60</f>
        <v>1.0166666666666666</v>
      </c>
      <c r="J494">
        <v>97.51</v>
      </c>
      <c r="K494">
        <v>5</v>
      </c>
      <c r="L49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494">
        <f>Clients_Churn_Part[[#This Row],[Facture_Mensuelle]]*Clients_Churn_Part[[#This Row],[Remise]]</f>
        <v>43.8795</v>
      </c>
      <c r="N49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95" spans="1:14" x14ac:dyDescent="0.3">
      <c r="A495" t="s">
        <v>129</v>
      </c>
      <c r="B495" t="s">
        <v>150</v>
      </c>
      <c r="C495" t="s">
        <v>31</v>
      </c>
      <c r="D495">
        <v>64</v>
      </c>
      <c r="E495" s="7">
        <f>Clients_Churn_Part[[#This Row],[Anciennete_Mois]]/12</f>
        <v>5.333333333333333</v>
      </c>
      <c r="F495" t="s">
        <v>13</v>
      </c>
      <c r="G495" t="str">
        <f>IF(Clients_Churn_Part[[#This Row],[Type_Forfait]]="pro Monde","B2B","B2C")</f>
        <v>B2B</v>
      </c>
      <c r="H495">
        <v>300</v>
      </c>
      <c r="I495" s="2">
        <f>Clients_Churn_Part[[#This Row],[Duree_Cumulee_Panne_Min]]/60</f>
        <v>5</v>
      </c>
      <c r="J495">
        <v>28.11</v>
      </c>
      <c r="K495">
        <v>2</v>
      </c>
      <c r="L49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95">
        <f>Clients_Churn_Part[[#This Row],[Facture_Mensuelle]]*Clients_Churn_Part[[#This Row],[Remise]]</f>
        <v>19.677</v>
      </c>
      <c r="N49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96" spans="1:14" x14ac:dyDescent="0.3">
      <c r="A496" t="s">
        <v>589</v>
      </c>
      <c r="B496" t="s">
        <v>623</v>
      </c>
      <c r="C496" t="s">
        <v>59</v>
      </c>
      <c r="D496">
        <v>102</v>
      </c>
      <c r="E496" s="7">
        <f>Clients_Churn_Part[[#This Row],[Anciennete_Mois]]/12</f>
        <v>8.5</v>
      </c>
      <c r="F496" t="s">
        <v>18</v>
      </c>
      <c r="G496" t="str">
        <f>IF(Clients_Churn_Part[[#This Row],[Type_Forfait]]="pro Monde","B2B","B2C")</f>
        <v>B2C</v>
      </c>
      <c r="H496">
        <v>189</v>
      </c>
      <c r="I496" s="2">
        <f>Clients_Churn_Part[[#This Row],[Duree_Cumulee_Panne_Min]]/60</f>
        <v>3.15</v>
      </c>
      <c r="J496">
        <v>26.86</v>
      </c>
      <c r="K496">
        <v>5</v>
      </c>
      <c r="L49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96">
        <f>Clients_Churn_Part[[#This Row],[Facture_Mensuelle]]*Clients_Churn_Part[[#This Row],[Remise]]</f>
        <v>18.802</v>
      </c>
      <c r="N49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97" spans="1:14" x14ac:dyDescent="0.3">
      <c r="A497" t="s">
        <v>79</v>
      </c>
      <c r="B497" t="s">
        <v>109</v>
      </c>
      <c r="C497" t="s">
        <v>20</v>
      </c>
      <c r="D497">
        <v>22</v>
      </c>
      <c r="E497" s="7">
        <f>Clients_Churn_Part[[#This Row],[Anciennete_Mois]]/12</f>
        <v>1.8333333333333333</v>
      </c>
      <c r="F497" t="s">
        <v>21</v>
      </c>
      <c r="G497" t="str">
        <f>IF(Clients_Churn_Part[[#This Row],[Type_Forfait]]="pro Monde","B2B","B2C")</f>
        <v>B2C</v>
      </c>
      <c r="H497">
        <v>119</v>
      </c>
      <c r="I497" s="2">
        <f>Clients_Churn_Part[[#This Row],[Duree_Cumulee_Panne_Min]]/60</f>
        <v>1.9833333333333334</v>
      </c>
      <c r="J497">
        <v>72.86</v>
      </c>
      <c r="K497">
        <v>3</v>
      </c>
      <c r="L49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497">
        <f>Clients_Churn_Part[[#This Row],[Facture_Mensuelle]]*Clients_Churn_Part[[#This Row],[Remise]]</f>
        <v>0</v>
      </c>
      <c r="N49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98" spans="1:14" x14ac:dyDescent="0.3">
      <c r="A498" t="s">
        <v>589</v>
      </c>
      <c r="B498" t="s">
        <v>590</v>
      </c>
      <c r="C498" t="s">
        <v>33</v>
      </c>
      <c r="D498">
        <v>18</v>
      </c>
      <c r="E498" s="7">
        <f>Clients_Churn_Part[[#This Row],[Anciennete_Mois]]/12</f>
        <v>1.5</v>
      </c>
      <c r="F498" t="s">
        <v>13</v>
      </c>
      <c r="G498" t="str">
        <f>IF(Clients_Churn_Part[[#This Row],[Type_Forfait]]="pro Monde","B2B","B2C")</f>
        <v>B2B</v>
      </c>
      <c r="H498">
        <v>75</v>
      </c>
      <c r="I498" s="2">
        <f>Clients_Churn_Part[[#This Row],[Duree_Cumulee_Panne_Min]]/60</f>
        <v>1.25</v>
      </c>
      <c r="J498">
        <v>57.66</v>
      </c>
      <c r="K498">
        <v>1</v>
      </c>
      <c r="L49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498">
        <f>Clients_Churn_Part[[#This Row],[Facture_Mensuelle]]*Clients_Churn_Part[[#This Row],[Remise]]</f>
        <v>5.766</v>
      </c>
      <c r="N49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499" spans="1:14" x14ac:dyDescent="0.3">
      <c r="A499" t="s">
        <v>79</v>
      </c>
      <c r="B499" t="s">
        <v>108</v>
      </c>
      <c r="C499" t="s">
        <v>57</v>
      </c>
      <c r="D499">
        <v>111</v>
      </c>
      <c r="E499" s="7">
        <f>Clients_Churn_Part[[#This Row],[Anciennete_Mois]]/12</f>
        <v>9.25</v>
      </c>
      <c r="F499" t="s">
        <v>21</v>
      </c>
      <c r="G499" t="str">
        <f>IF(Clients_Churn_Part[[#This Row],[Type_Forfait]]="pro Monde","B2B","B2C")</f>
        <v>B2C</v>
      </c>
      <c r="H499">
        <v>324</v>
      </c>
      <c r="I499" s="2">
        <f>Clients_Churn_Part[[#This Row],[Duree_Cumulee_Panne_Min]]/60</f>
        <v>5.4</v>
      </c>
      <c r="J499">
        <v>18.07</v>
      </c>
      <c r="K499">
        <v>2</v>
      </c>
      <c r="L49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499">
        <f>Clients_Churn_Part[[#This Row],[Facture_Mensuelle]]*Clients_Churn_Part[[#This Row],[Remise]]</f>
        <v>12.648999999999999</v>
      </c>
      <c r="N49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00" spans="1:14" x14ac:dyDescent="0.3">
      <c r="A500" t="s">
        <v>589</v>
      </c>
      <c r="B500" t="s">
        <v>608</v>
      </c>
      <c r="C500" t="s">
        <v>48</v>
      </c>
      <c r="D500">
        <v>120</v>
      </c>
      <c r="E500" s="7">
        <f>Clients_Churn_Part[[#This Row],[Anciennete_Mois]]/12</f>
        <v>10</v>
      </c>
      <c r="F500" t="s">
        <v>13</v>
      </c>
      <c r="G500" t="str">
        <f>IF(Clients_Churn_Part[[#This Row],[Type_Forfait]]="pro Monde","B2B","B2C")</f>
        <v>B2B</v>
      </c>
      <c r="H500">
        <v>60</v>
      </c>
      <c r="I500" s="2">
        <f>Clients_Churn_Part[[#This Row],[Duree_Cumulee_Panne_Min]]/60</f>
        <v>1</v>
      </c>
      <c r="J500">
        <v>34.14</v>
      </c>
      <c r="K500">
        <v>3</v>
      </c>
      <c r="L50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00">
        <f>Clients_Churn_Part[[#This Row],[Facture_Mensuelle]]*Clients_Churn_Part[[#This Row],[Remise]]</f>
        <v>23.898</v>
      </c>
      <c r="N50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01" spans="1:14" x14ac:dyDescent="0.3">
      <c r="A501" t="s">
        <v>452</v>
      </c>
      <c r="B501" t="s">
        <v>455</v>
      </c>
      <c r="C501" t="s">
        <v>15</v>
      </c>
      <c r="D501">
        <v>87</v>
      </c>
      <c r="E501" s="7">
        <f>Clients_Churn_Part[[#This Row],[Anciennete_Mois]]/12</f>
        <v>7.25</v>
      </c>
      <c r="F501" t="s">
        <v>10</v>
      </c>
      <c r="G501" t="str">
        <f>IF(Clients_Churn_Part[[#This Row],[Type_Forfait]]="pro Monde","B2B","B2C")</f>
        <v>B2C</v>
      </c>
      <c r="H501">
        <v>356</v>
      </c>
      <c r="I501" s="2">
        <f>Clients_Churn_Part[[#This Row],[Duree_Cumulee_Panne_Min]]/60</f>
        <v>5.9333333333333336</v>
      </c>
      <c r="J501">
        <v>12.89</v>
      </c>
      <c r="K501">
        <v>0</v>
      </c>
      <c r="L50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01">
        <f>Clients_Churn_Part[[#This Row],[Facture_Mensuelle]]*Clients_Churn_Part[[#This Row],[Remise]]</f>
        <v>9.0229999999999997</v>
      </c>
      <c r="N50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02" spans="1:14" x14ac:dyDescent="0.3">
      <c r="A502" t="s">
        <v>589</v>
      </c>
      <c r="B502" t="s">
        <v>596</v>
      </c>
      <c r="C502" t="s">
        <v>33</v>
      </c>
      <c r="D502">
        <v>29</v>
      </c>
      <c r="E502" s="7">
        <f>Clients_Churn_Part[[#This Row],[Anciennete_Mois]]/12</f>
        <v>2.4166666666666665</v>
      </c>
      <c r="F502" t="s">
        <v>10</v>
      </c>
      <c r="G502" t="str">
        <f>IF(Clients_Churn_Part[[#This Row],[Type_Forfait]]="pro Monde","B2B","B2C")</f>
        <v>B2C</v>
      </c>
      <c r="H502">
        <v>8</v>
      </c>
      <c r="I502" s="2">
        <f>Clients_Churn_Part[[#This Row],[Duree_Cumulee_Panne_Min]]/60</f>
        <v>0.13333333333333333</v>
      </c>
      <c r="J502">
        <v>14.78</v>
      </c>
      <c r="K502">
        <v>2</v>
      </c>
      <c r="L50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502">
        <f>Clients_Churn_Part[[#This Row],[Facture_Mensuelle]]*Clients_Churn_Part[[#This Row],[Remise]]</f>
        <v>6.6509999999999998</v>
      </c>
      <c r="N50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03" spans="1:14" x14ac:dyDescent="0.3">
      <c r="A503" t="s">
        <v>637</v>
      </c>
      <c r="B503" t="s">
        <v>666</v>
      </c>
      <c r="C503" t="s">
        <v>72</v>
      </c>
      <c r="D503">
        <v>18</v>
      </c>
      <c r="E503" s="7">
        <f>Clients_Churn_Part[[#This Row],[Anciennete_Mois]]/12</f>
        <v>1.5</v>
      </c>
      <c r="F503" t="s">
        <v>21</v>
      </c>
      <c r="G503" t="str">
        <f>IF(Clients_Churn_Part[[#This Row],[Type_Forfait]]="pro Monde","B2B","B2C")</f>
        <v>B2C</v>
      </c>
      <c r="H503">
        <v>170</v>
      </c>
      <c r="I503" s="2">
        <f>Clients_Churn_Part[[#This Row],[Duree_Cumulee_Panne_Min]]/60</f>
        <v>2.8333333333333335</v>
      </c>
      <c r="J503">
        <v>87.34</v>
      </c>
      <c r="K503">
        <v>1</v>
      </c>
      <c r="L50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03">
        <f>Clients_Churn_Part[[#This Row],[Facture_Mensuelle]]*Clients_Churn_Part[[#This Row],[Remise]]</f>
        <v>0</v>
      </c>
      <c r="N50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04" spans="1:14" x14ac:dyDescent="0.3">
      <c r="A504" t="s">
        <v>452</v>
      </c>
      <c r="B504" t="s">
        <v>464</v>
      </c>
      <c r="C504" t="s">
        <v>41</v>
      </c>
      <c r="D504">
        <v>113</v>
      </c>
      <c r="E504" s="7">
        <f>Clients_Churn_Part[[#This Row],[Anciennete_Mois]]/12</f>
        <v>9.4166666666666661</v>
      </c>
      <c r="F504" t="s">
        <v>21</v>
      </c>
      <c r="G504" t="str">
        <f>IF(Clients_Churn_Part[[#This Row],[Type_Forfait]]="pro Monde","B2B","B2C")</f>
        <v>B2C</v>
      </c>
      <c r="H504">
        <v>428</v>
      </c>
      <c r="I504" s="2">
        <f>Clients_Churn_Part[[#This Row],[Duree_Cumulee_Panne_Min]]/60</f>
        <v>7.1333333333333337</v>
      </c>
      <c r="J504">
        <v>73.84</v>
      </c>
      <c r="K504">
        <v>0</v>
      </c>
      <c r="L50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04">
        <f>Clients_Churn_Part[[#This Row],[Facture_Mensuelle]]*Clients_Churn_Part[[#This Row],[Remise]]</f>
        <v>51.688000000000002</v>
      </c>
      <c r="N50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05" spans="1:14" x14ac:dyDescent="0.3">
      <c r="A505" t="s">
        <v>174</v>
      </c>
      <c r="B505" t="s">
        <v>179</v>
      </c>
      <c r="C505" t="s">
        <v>41</v>
      </c>
      <c r="D505">
        <v>48</v>
      </c>
      <c r="E505" s="7">
        <f>Clients_Churn_Part[[#This Row],[Anciennete_Mois]]/12</f>
        <v>4</v>
      </c>
      <c r="F505" t="s">
        <v>18</v>
      </c>
      <c r="G505" t="str">
        <f>IF(Clients_Churn_Part[[#This Row],[Type_Forfait]]="pro Monde","B2B","B2C")</f>
        <v>B2C</v>
      </c>
      <c r="H505">
        <v>335</v>
      </c>
      <c r="I505" s="2">
        <f>Clients_Churn_Part[[#This Row],[Duree_Cumulee_Panne_Min]]/60</f>
        <v>5.583333333333333</v>
      </c>
      <c r="J505">
        <v>85.09</v>
      </c>
      <c r="K505">
        <v>3</v>
      </c>
      <c r="L50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05">
        <f>Clients_Churn_Part[[#This Row],[Facture_Mensuelle]]*Clients_Churn_Part[[#This Row],[Remise]]</f>
        <v>0</v>
      </c>
      <c r="N50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06" spans="1:14" x14ac:dyDescent="0.3">
      <c r="A506" t="s">
        <v>637</v>
      </c>
      <c r="B506" t="s">
        <v>663</v>
      </c>
      <c r="C506" t="s">
        <v>59</v>
      </c>
      <c r="D506">
        <v>107</v>
      </c>
      <c r="E506" s="7">
        <f>Clients_Churn_Part[[#This Row],[Anciennete_Mois]]/12</f>
        <v>8.9166666666666661</v>
      </c>
      <c r="F506" t="s">
        <v>21</v>
      </c>
      <c r="G506" t="str">
        <f>IF(Clients_Churn_Part[[#This Row],[Type_Forfait]]="pro Monde","B2B","B2C")</f>
        <v>B2C</v>
      </c>
      <c r="H506">
        <v>138</v>
      </c>
      <c r="I506" s="2">
        <f>Clients_Churn_Part[[#This Row],[Duree_Cumulee_Panne_Min]]/60</f>
        <v>2.2999999999999998</v>
      </c>
      <c r="J506">
        <v>85.75</v>
      </c>
      <c r="K506">
        <v>1</v>
      </c>
      <c r="L50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06">
        <f>Clients_Churn_Part[[#This Row],[Facture_Mensuelle]]*Clients_Churn_Part[[#This Row],[Remise]]</f>
        <v>60.024999999999999</v>
      </c>
      <c r="N50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07" spans="1:14" x14ac:dyDescent="0.3">
      <c r="A507" t="s">
        <v>405</v>
      </c>
      <c r="B507" t="s">
        <v>410</v>
      </c>
      <c r="C507" t="s">
        <v>9</v>
      </c>
      <c r="D507">
        <v>47</v>
      </c>
      <c r="E507" s="7">
        <f>Clients_Churn_Part[[#This Row],[Anciennete_Mois]]/12</f>
        <v>3.9166666666666665</v>
      </c>
      <c r="F507" t="s">
        <v>18</v>
      </c>
      <c r="G507" t="str">
        <f>IF(Clients_Churn_Part[[#This Row],[Type_Forfait]]="pro Monde","B2B","B2C")</f>
        <v>B2C</v>
      </c>
      <c r="H507">
        <v>111</v>
      </c>
      <c r="I507" s="2">
        <f>Clients_Churn_Part[[#This Row],[Duree_Cumulee_Panne_Min]]/60</f>
        <v>1.85</v>
      </c>
      <c r="J507">
        <v>95.18</v>
      </c>
      <c r="K507">
        <v>0</v>
      </c>
      <c r="L50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07">
        <f>Clients_Churn_Part[[#This Row],[Facture_Mensuelle]]*Clients_Churn_Part[[#This Row],[Remise]]</f>
        <v>0</v>
      </c>
      <c r="N50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08" spans="1:14" x14ac:dyDescent="0.3">
      <c r="A508" t="s">
        <v>220</v>
      </c>
      <c r="B508" t="s">
        <v>226</v>
      </c>
      <c r="C508" t="s">
        <v>9</v>
      </c>
      <c r="D508">
        <v>10</v>
      </c>
      <c r="E508" s="7">
        <f>Clients_Churn_Part[[#This Row],[Anciennete_Mois]]/12</f>
        <v>0.83333333333333337</v>
      </c>
      <c r="F508" t="s">
        <v>18</v>
      </c>
      <c r="G508" t="str">
        <f>IF(Clients_Churn_Part[[#This Row],[Type_Forfait]]="pro Monde","B2B","B2C")</f>
        <v>B2C</v>
      </c>
      <c r="H508">
        <v>165</v>
      </c>
      <c r="I508" s="2">
        <f>Clients_Churn_Part[[#This Row],[Duree_Cumulee_Panne_Min]]/60</f>
        <v>2.75</v>
      </c>
      <c r="J508">
        <v>38.619999999999997</v>
      </c>
      <c r="K508">
        <v>2</v>
      </c>
      <c r="L50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08">
        <f>Clients_Churn_Part[[#This Row],[Facture_Mensuelle]]*Clients_Churn_Part[[#This Row],[Remise]]</f>
        <v>0</v>
      </c>
      <c r="N50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09" spans="1:14" x14ac:dyDescent="0.3">
      <c r="A509" t="s">
        <v>220</v>
      </c>
      <c r="B509" t="s">
        <v>250</v>
      </c>
      <c r="C509" t="s">
        <v>17</v>
      </c>
      <c r="D509">
        <v>9</v>
      </c>
      <c r="E509" s="7">
        <f>Clients_Churn_Part[[#This Row],[Anciennete_Mois]]/12</f>
        <v>0.75</v>
      </c>
      <c r="F509" t="s">
        <v>13</v>
      </c>
      <c r="G509" t="str">
        <f>IF(Clients_Churn_Part[[#This Row],[Type_Forfait]]="pro Monde","B2B","B2C")</f>
        <v>B2B</v>
      </c>
      <c r="H509">
        <v>255</v>
      </c>
      <c r="I509" s="2">
        <f>Clients_Churn_Part[[#This Row],[Duree_Cumulee_Panne_Min]]/60</f>
        <v>4.25</v>
      </c>
      <c r="J509">
        <v>95.13</v>
      </c>
      <c r="K509">
        <v>1</v>
      </c>
      <c r="L50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509">
        <f>Clients_Churn_Part[[#This Row],[Facture_Mensuelle]]*Clients_Churn_Part[[#This Row],[Remise]]</f>
        <v>9.5129999999999999</v>
      </c>
      <c r="N50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10" spans="1:14" x14ac:dyDescent="0.3">
      <c r="A510" t="s">
        <v>405</v>
      </c>
      <c r="B510" t="s">
        <v>419</v>
      </c>
      <c r="C510" t="s">
        <v>68</v>
      </c>
      <c r="D510">
        <v>24</v>
      </c>
      <c r="E510" s="7">
        <f>Clients_Churn_Part[[#This Row],[Anciennete_Mois]]/12</f>
        <v>2</v>
      </c>
      <c r="F510" t="s">
        <v>18</v>
      </c>
      <c r="G510" t="str">
        <f>IF(Clients_Churn_Part[[#This Row],[Type_Forfait]]="pro Monde","B2B","B2C")</f>
        <v>B2C</v>
      </c>
      <c r="H510">
        <v>257</v>
      </c>
      <c r="I510" s="2">
        <f>Clients_Churn_Part[[#This Row],[Duree_Cumulee_Panne_Min]]/60</f>
        <v>4.2833333333333332</v>
      </c>
      <c r="J510">
        <v>41.99</v>
      </c>
      <c r="K510">
        <v>5</v>
      </c>
      <c r="L51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10">
        <f>Clients_Churn_Part[[#This Row],[Facture_Mensuelle]]*Clients_Churn_Part[[#This Row],[Remise]]</f>
        <v>0</v>
      </c>
      <c r="N51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11" spans="1:14" x14ac:dyDescent="0.3">
      <c r="A511" t="s">
        <v>682</v>
      </c>
      <c r="B511" t="s">
        <v>709</v>
      </c>
      <c r="C511" t="s">
        <v>17</v>
      </c>
      <c r="D511">
        <v>72</v>
      </c>
      <c r="E511" s="7">
        <f>Clients_Churn_Part[[#This Row],[Anciennete_Mois]]/12</f>
        <v>6</v>
      </c>
      <c r="F511" t="s">
        <v>18</v>
      </c>
      <c r="G511" t="str">
        <f>IF(Clients_Churn_Part[[#This Row],[Type_Forfait]]="pro Monde","B2B","B2C")</f>
        <v>B2C</v>
      </c>
      <c r="H511">
        <v>427</v>
      </c>
      <c r="I511" s="2">
        <f>Clients_Churn_Part[[#This Row],[Duree_Cumulee_Panne_Min]]/60</f>
        <v>7.1166666666666663</v>
      </c>
      <c r="J511">
        <v>31.44</v>
      </c>
      <c r="K511">
        <v>2</v>
      </c>
      <c r="L51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11">
        <f>Clients_Churn_Part[[#This Row],[Facture_Mensuelle]]*Clients_Churn_Part[[#This Row],[Remise]]</f>
        <v>22.007999999999999</v>
      </c>
      <c r="N51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12" spans="1:14" x14ac:dyDescent="0.3">
      <c r="A512" t="s">
        <v>682</v>
      </c>
      <c r="B512" t="s">
        <v>711</v>
      </c>
      <c r="C512" t="s">
        <v>48</v>
      </c>
      <c r="D512">
        <v>33</v>
      </c>
      <c r="E512" s="7">
        <f>Clients_Churn_Part[[#This Row],[Anciennete_Mois]]/12</f>
        <v>2.75</v>
      </c>
      <c r="F512" t="s">
        <v>21</v>
      </c>
      <c r="G512" t="str">
        <f>IF(Clients_Churn_Part[[#This Row],[Type_Forfait]]="pro Monde","B2B","B2C")</f>
        <v>B2C</v>
      </c>
      <c r="H512">
        <v>18</v>
      </c>
      <c r="I512" s="2">
        <f>Clients_Churn_Part[[#This Row],[Duree_Cumulee_Panne_Min]]/60</f>
        <v>0.3</v>
      </c>
      <c r="J512">
        <v>47.18</v>
      </c>
      <c r="K512">
        <v>4</v>
      </c>
      <c r="L51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512">
        <f>Clients_Churn_Part[[#This Row],[Facture_Mensuelle]]*Clients_Churn_Part[[#This Row],[Remise]]</f>
        <v>21.231000000000002</v>
      </c>
      <c r="N51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13" spans="1:14" x14ac:dyDescent="0.3">
      <c r="A513" t="s">
        <v>174</v>
      </c>
      <c r="B513" t="s">
        <v>190</v>
      </c>
      <c r="C513" t="s">
        <v>15</v>
      </c>
      <c r="D513">
        <v>64</v>
      </c>
      <c r="E513" s="7">
        <f>Clients_Churn_Part[[#This Row],[Anciennete_Mois]]/12</f>
        <v>5.333333333333333</v>
      </c>
      <c r="F513" t="s">
        <v>13</v>
      </c>
      <c r="G513" t="str">
        <f>IF(Clients_Churn_Part[[#This Row],[Type_Forfait]]="pro Monde","B2B","B2C")</f>
        <v>B2B</v>
      </c>
      <c r="H513">
        <v>370</v>
      </c>
      <c r="I513" s="2">
        <f>Clients_Churn_Part[[#This Row],[Duree_Cumulee_Panne_Min]]/60</f>
        <v>6.166666666666667</v>
      </c>
      <c r="J513">
        <v>95.74</v>
      </c>
      <c r="K513">
        <v>1</v>
      </c>
      <c r="L51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13">
        <f>Clients_Churn_Part[[#This Row],[Facture_Mensuelle]]*Clients_Churn_Part[[#This Row],[Remise]]</f>
        <v>67.017999999999986</v>
      </c>
      <c r="N51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14" spans="1:14" x14ac:dyDescent="0.3">
      <c r="A514" t="s">
        <v>220</v>
      </c>
      <c r="B514" t="s">
        <v>247</v>
      </c>
      <c r="C514" t="s">
        <v>37</v>
      </c>
      <c r="D514">
        <v>60</v>
      </c>
      <c r="E514" s="7">
        <f>Clients_Churn_Part[[#This Row],[Anciennete_Mois]]/12</f>
        <v>5</v>
      </c>
      <c r="F514" t="s">
        <v>21</v>
      </c>
      <c r="G514" t="str">
        <f>IF(Clients_Churn_Part[[#This Row],[Type_Forfait]]="pro Monde","B2B","B2C")</f>
        <v>B2C</v>
      </c>
      <c r="H514">
        <v>154</v>
      </c>
      <c r="I514" s="2">
        <f>Clients_Churn_Part[[#This Row],[Duree_Cumulee_Panne_Min]]/60</f>
        <v>2.5666666666666669</v>
      </c>
      <c r="J514">
        <v>13.41</v>
      </c>
      <c r="K514">
        <v>5</v>
      </c>
      <c r="L51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14">
        <f>Clients_Churn_Part[[#This Row],[Facture_Mensuelle]]*Clients_Churn_Part[[#This Row],[Remise]]</f>
        <v>0</v>
      </c>
      <c r="N51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15" spans="1:14" x14ac:dyDescent="0.3">
      <c r="A515" t="s">
        <v>538</v>
      </c>
      <c r="B515" t="s">
        <v>571</v>
      </c>
      <c r="C515" t="s">
        <v>61</v>
      </c>
      <c r="D515">
        <v>51</v>
      </c>
      <c r="E515" s="7">
        <f>Clients_Churn_Part[[#This Row],[Anciennete_Mois]]/12</f>
        <v>4.25</v>
      </c>
      <c r="F515" t="s">
        <v>13</v>
      </c>
      <c r="G515" t="str">
        <f>IF(Clients_Churn_Part[[#This Row],[Type_Forfait]]="pro Monde","B2B","B2C")</f>
        <v>B2B</v>
      </c>
      <c r="H515">
        <v>389</v>
      </c>
      <c r="I515" s="2">
        <f>Clients_Churn_Part[[#This Row],[Duree_Cumulee_Panne_Min]]/60</f>
        <v>6.4833333333333334</v>
      </c>
      <c r="J515">
        <v>50.45</v>
      </c>
      <c r="K515">
        <v>3</v>
      </c>
      <c r="L51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515">
        <f>Clients_Churn_Part[[#This Row],[Facture_Mensuelle]]*Clients_Churn_Part[[#This Row],[Remise]]</f>
        <v>5.0450000000000008</v>
      </c>
      <c r="N51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16" spans="1:14" x14ac:dyDescent="0.3">
      <c r="A516" t="s">
        <v>79</v>
      </c>
      <c r="B516" t="s">
        <v>92</v>
      </c>
      <c r="C516" t="s">
        <v>33</v>
      </c>
      <c r="D516">
        <v>103</v>
      </c>
      <c r="E516" s="7">
        <f>Clients_Churn_Part[[#This Row],[Anciennete_Mois]]/12</f>
        <v>8.5833333333333339</v>
      </c>
      <c r="F516" t="s">
        <v>18</v>
      </c>
      <c r="G516" t="str">
        <f>IF(Clients_Churn_Part[[#This Row],[Type_Forfait]]="pro Monde","B2B","B2C")</f>
        <v>B2C</v>
      </c>
      <c r="H516">
        <v>300</v>
      </c>
      <c r="I516" s="2">
        <f>Clients_Churn_Part[[#This Row],[Duree_Cumulee_Panne_Min]]/60</f>
        <v>5</v>
      </c>
      <c r="J516">
        <v>13.76</v>
      </c>
      <c r="K516">
        <v>4</v>
      </c>
      <c r="L51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16">
        <f>Clients_Churn_Part[[#This Row],[Facture_Mensuelle]]*Clients_Churn_Part[[#This Row],[Remise]]</f>
        <v>9.6319999999999997</v>
      </c>
      <c r="N51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17" spans="1:14" x14ac:dyDescent="0.3">
      <c r="A517" t="s">
        <v>637</v>
      </c>
      <c r="B517" t="s">
        <v>656</v>
      </c>
      <c r="C517" t="s">
        <v>72</v>
      </c>
      <c r="D517">
        <v>7</v>
      </c>
      <c r="E517" s="7">
        <f>Clients_Churn_Part[[#This Row],[Anciennete_Mois]]/12</f>
        <v>0.58333333333333337</v>
      </c>
      <c r="F517" t="s">
        <v>13</v>
      </c>
      <c r="G517" t="str">
        <f>IF(Clients_Churn_Part[[#This Row],[Type_Forfait]]="pro Monde","B2B","B2C")</f>
        <v>B2B</v>
      </c>
      <c r="H517">
        <v>447</v>
      </c>
      <c r="I517" s="2">
        <f>Clients_Churn_Part[[#This Row],[Duree_Cumulee_Panne_Min]]/60</f>
        <v>7.45</v>
      </c>
      <c r="J517">
        <v>84.95</v>
      </c>
      <c r="K517">
        <v>2</v>
      </c>
      <c r="L51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517">
        <f>Clients_Churn_Part[[#This Row],[Facture_Mensuelle]]*Clients_Churn_Part[[#This Row],[Remise]]</f>
        <v>8.495000000000001</v>
      </c>
      <c r="N51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18" spans="1:14" x14ac:dyDescent="0.3">
      <c r="A518" t="s">
        <v>637</v>
      </c>
      <c r="B518" t="s">
        <v>670</v>
      </c>
      <c r="C518" t="s">
        <v>23</v>
      </c>
      <c r="D518">
        <v>101</v>
      </c>
      <c r="E518" s="7">
        <f>Clients_Churn_Part[[#This Row],[Anciennete_Mois]]/12</f>
        <v>8.4166666666666661</v>
      </c>
      <c r="F518" t="s">
        <v>13</v>
      </c>
      <c r="G518" t="str">
        <f>IF(Clients_Churn_Part[[#This Row],[Type_Forfait]]="pro Monde","B2B","B2C")</f>
        <v>B2B</v>
      </c>
      <c r="H518">
        <v>148</v>
      </c>
      <c r="I518" s="2">
        <f>Clients_Churn_Part[[#This Row],[Duree_Cumulee_Panne_Min]]/60</f>
        <v>2.4666666666666668</v>
      </c>
      <c r="J518">
        <v>26.63</v>
      </c>
      <c r="K518">
        <v>3</v>
      </c>
      <c r="L51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18">
        <f>Clients_Churn_Part[[#This Row],[Facture_Mensuelle]]*Clients_Churn_Part[[#This Row],[Remise]]</f>
        <v>18.640999999999998</v>
      </c>
      <c r="N51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19" spans="1:14" x14ac:dyDescent="0.3">
      <c r="A519" t="s">
        <v>494</v>
      </c>
      <c r="B519" t="s">
        <v>501</v>
      </c>
      <c r="C519" t="s">
        <v>17</v>
      </c>
      <c r="D519">
        <v>46</v>
      </c>
      <c r="E519" s="7">
        <f>Clients_Churn_Part[[#This Row],[Anciennete_Mois]]/12</f>
        <v>3.8333333333333335</v>
      </c>
      <c r="F519" t="s">
        <v>13</v>
      </c>
      <c r="G519" t="str">
        <f>IF(Clients_Churn_Part[[#This Row],[Type_Forfait]]="pro Monde","B2B","B2C")</f>
        <v>B2B</v>
      </c>
      <c r="H519">
        <v>216</v>
      </c>
      <c r="I519" s="2">
        <f>Clients_Churn_Part[[#This Row],[Duree_Cumulee_Panne_Min]]/60</f>
        <v>3.6</v>
      </c>
      <c r="J519">
        <v>63.74</v>
      </c>
      <c r="K519">
        <v>4</v>
      </c>
      <c r="L51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519">
        <f>Clients_Churn_Part[[#This Row],[Facture_Mensuelle]]*Clients_Churn_Part[[#This Row],[Remise]]</f>
        <v>6.3740000000000006</v>
      </c>
      <c r="N51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20" spans="1:14" x14ac:dyDescent="0.3">
      <c r="A520" t="s">
        <v>637</v>
      </c>
      <c r="B520" t="s">
        <v>642</v>
      </c>
      <c r="C520" t="s">
        <v>31</v>
      </c>
      <c r="D520">
        <v>72</v>
      </c>
      <c r="E520" s="7">
        <f>Clients_Churn_Part[[#This Row],[Anciennete_Mois]]/12</f>
        <v>6</v>
      </c>
      <c r="F520" t="s">
        <v>13</v>
      </c>
      <c r="G520" t="str">
        <f>IF(Clients_Churn_Part[[#This Row],[Type_Forfait]]="pro Monde","B2B","B2C")</f>
        <v>B2B</v>
      </c>
      <c r="H520">
        <v>317</v>
      </c>
      <c r="I520" s="2">
        <f>Clients_Churn_Part[[#This Row],[Duree_Cumulee_Panne_Min]]/60</f>
        <v>5.2833333333333332</v>
      </c>
      <c r="J520">
        <v>54.58</v>
      </c>
      <c r="K520">
        <v>1</v>
      </c>
      <c r="L52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20">
        <f>Clients_Churn_Part[[#This Row],[Facture_Mensuelle]]*Clients_Churn_Part[[#This Row],[Remise]]</f>
        <v>38.205999999999996</v>
      </c>
      <c r="N52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21" spans="1:14" x14ac:dyDescent="0.3">
      <c r="A521" t="s">
        <v>314</v>
      </c>
      <c r="B521" t="s">
        <v>316</v>
      </c>
      <c r="C521" t="s">
        <v>17</v>
      </c>
      <c r="D521">
        <v>69</v>
      </c>
      <c r="E521" s="7">
        <f>Clients_Churn_Part[[#This Row],[Anciennete_Mois]]/12</f>
        <v>5.75</v>
      </c>
      <c r="F521" t="s">
        <v>10</v>
      </c>
      <c r="G521" t="str">
        <f>IF(Clients_Churn_Part[[#This Row],[Type_Forfait]]="pro Monde","B2B","B2C")</f>
        <v>B2C</v>
      </c>
      <c r="H521">
        <v>486</v>
      </c>
      <c r="I521" s="2">
        <f>Clients_Churn_Part[[#This Row],[Duree_Cumulee_Panne_Min]]/60</f>
        <v>8.1</v>
      </c>
      <c r="J521">
        <v>34.770000000000003</v>
      </c>
      <c r="K521">
        <v>0</v>
      </c>
      <c r="L52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21">
        <f>Clients_Churn_Part[[#This Row],[Facture_Mensuelle]]*Clients_Churn_Part[[#This Row],[Remise]]</f>
        <v>24.339000000000002</v>
      </c>
      <c r="N52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22" spans="1:14" x14ac:dyDescent="0.3">
      <c r="A522" t="s">
        <v>8</v>
      </c>
      <c r="B522" t="s">
        <v>49</v>
      </c>
      <c r="C522" t="s">
        <v>23</v>
      </c>
      <c r="D522">
        <v>57</v>
      </c>
      <c r="E522" s="7">
        <f>Clients_Churn_Part[[#This Row],[Anciennete_Mois]]/12</f>
        <v>4.75</v>
      </c>
      <c r="F522" t="s">
        <v>21</v>
      </c>
      <c r="G522" t="str">
        <f>IF(Clients_Churn_Part[[#This Row],[Type_Forfait]]="pro Monde","B2B","B2C")</f>
        <v>B2C</v>
      </c>
      <c r="H522">
        <v>329</v>
      </c>
      <c r="I522" s="2">
        <f>Clients_Churn_Part[[#This Row],[Duree_Cumulee_Panne_Min]]/60</f>
        <v>5.4833333333333334</v>
      </c>
      <c r="J522">
        <v>50.39</v>
      </c>
      <c r="K522">
        <v>5</v>
      </c>
      <c r="L52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22">
        <f>Clients_Churn_Part[[#This Row],[Facture_Mensuelle]]*Clients_Churn_Part[[#This Row],[Remise]]</f>
        <v>0</v>
      </c>
      <c r="N52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23" spans="1:14" x14ac:dyDescent="0.3">
      <c r="A523" t="s">
        <v>538</v>
      </c>
      <c r="B523" t="s">
        <v>572</v>
      </c>
      <c r="C523" t="s">
        <v>9</v>
      </c>
      <c r="D523">
        <v>108</v>
      </c>
      <c r="E523" s="7">
        <f>Clients_Churn_Part[[#This Row],[Anciennete_Mois]]/12</f>
        <v>9</v>
      </c>
      <c r="F523" t="s">
        <v>10</v>
      </c>
      <c r="G523" t="str">
        <f>IF(Clients_Churn_Part[[#This Row],[Type_Forfait]]="pro Monde","B2B","B2C")</f>
        <v>B2C</v>
      </c>
      <c r="H523">
        <v>78</v>
      </c>
      <c r="I523" s="2">
        <f>Clients_Churn_Part[[#This Row],[Duree_Cumulee_Panne_Min]]/60</f>
        <v>1.3</v>
      </c>
      <c r="J523">
        <v>90.05</v>
      </c>
      <c r="K523">
        <v>2</v>
      </c>
      <c r="L52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23">
        <f>Clients_Churn_Part[[#This Row],[Facture_Mensuelle]]*Clients_Churn_Part[[#This Row],[Remise]]</f>
        <v>63.034999999999997</v>
      </c>
      <c r="N52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24" spans="1:14" x14ac:dyDescent="0.3">
      <c r="A524" t="s">
        <v>405</v>
      </c>
      <c r="B524" t="s">
        <v>413</v>
      </c>
      <c r="C524" t="s">
        <v>35</v>
      </c>
      <c r="D524">
        <v>92</v>
      </c>
      <c r="E524" s="7">
        <f>Clients_Churn_Part[[#This Row],[Anciennete_Mois]]/12</f>
        <v>7.666666666666667</v>
      </c>
      <c r="F524" t="s">
        <v>18</v>
      </c>
      <c r="G524" t="str">
        <f>IF(Clients_Churn_Part[[#This Row],[Type_Forfait]]="pro Monde","B2B","B2C")</f>
        <v>B2C</v>
      </c>
      <c r="H524">
        <v>4</v>
      </c>
      <c r="I524" s="2">
        <f>Clients_Churn_Part[[#This Row],[Duree_Cumulee_Panne_Min]]/60</f>
        <v>6.6666666666666666E-2</v>
      </c>
      <c r="J524">
        <v>22.03</v>
      </c>
      <c r="K524">
        <v>3</v>
      </c>
      <c r="L52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24">
        <f>Clients_Churn_Part[[#This Row],[Facture_Mensuelle]]*Clients_Churn_Part[[#This Row],[Remise]]</f>
        <v>0</v>
      </c>
      <c r="N52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25" spans="1:14" x14ac:dyDescent="0.3">
      <c r="A525" t="s">
        <v>129</v>
      </c>
      <c r="B525" t="s">
        <v>138</v>
      </c>
      <c r="C525" t="s">
        <v>35</v>
      </c>
      <c r="D525">
        <v>83</v>
      </c>
      <c r="E525" s="7">
        <f>Clients_Churn_Part[[#This Row],[Anciennete_Mois]]/12</f>
        <v>6.916666666666667</v>
      </c>
      <c r="F525" t="s">
        <v>13</v>
      </c>
      <c r="G525" t="str">
        <f>IF(Clients_Churn_Part[[#This Row],[Type_Forfait]]="pro Monde","B2B","B2C")</f>
        <v>B2B</v>
      </c>
      <c r="H525">
        <v>219</v>
      </c>
      <c r="I525" s="2">
        <f>Clients_Churn_Part[[#This Row],[Duree_Cumulee_Panne_Min]]/60</f>
        <v>3.65</v>
      </c>
      <c r="J525">
        <v>52.26</v>
      </c>
      <c r="K525">
        <v>1</v>
      </c>
      <c r="L52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25">
        <f>Clients_Churn_Part[[#This Row],[Facture_Mensuelle]]*Clients_Churn_Part[[#This Row],[Remise]]</f>
        <v>36.581999999999994</v>
      </c>
      <c r="N52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26" spans="1:14" x14ac:dyDescent="0.3">
      <c r="A526" t="s">
        <v>129</v>
      </c>
      <c r="B526" t="s">
        <v>155</v>
      </c>
      <c r="C526" t="s">
        <v>12</v>
      </c>
      <c r="D526">
        <v>114</v>
      </c>
      <c r="E526" s="7">
        <f>Clients_Churn_Part[[#This Row],[Anciennete_Mois]]/12</f>
        <v>9.5</v>
      </c>
      <c r="F526" t="s">
        <v>18</v>
      </c>
      <c r="G526" t="str">
        <f>IF(Clients_Churn_Part[[#This Row],[Type_Forfait]]="pro Monde","B2B","B2C")</f>
        <v>B2C</v>
      </c>
      <c r="H526">
        <v>304</v>
      </c>
      <c r="I526" s="2">
        <f>Clients_Churn_Part[[#This Row],[Duree_Cumulee_Panne_Min]]/60</f>
        <v>5.0666666666666664</v>
      </c>
      <c r="J526">
        <v>52.07</v>
      </c>
      <c r="K526">
        <v>1</v>
      </c>
      <c r="L52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26">
        <f>Clients_Churn_Part[[#This Row],[Facture_Mensuelle]]*Clients_Churn_Part[[#This Row],[Remise]]</f>
        <v>36.448999999999998</v>
      </c>
      <c r="N52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27" spans="1:14" x14ac:dyDescent="0.3">
      <c r="A527" t="s">
        <v>174</v>
      </c>
      <c r="B527" t="s">
        <v>193</v>
      </c>
      <c r="C527" t="s">
        <v>126</v>
      </c>
      <c r="D527">
        <v>75</v>
      </c>
      <c r="E527" s="7">
        <f>Clients_Churn_Part[[#This Row],[Anciennete_Mois]]/12</f>
        <v>6.25</v>
      </c>
      <c r="F527" t="s">
        <v>13</v>
      </c>
      <c r="G527" t="str">
        <f>IF(Clients_Churn_Part[[#This Row],[Type_Forfait]]="pro Monde","B2B","B2C")</f>
        <v>B2B</v>
      </c>
      <c r="H527">
        <v>242</v>
      </c>
      <c r="I527" s="2">
        <f>Clients_Churn_Part[[#This Row],[Duree_Cumulee_Panne_Min]]/60</f>
        <v>4.0333333333333332</v>
      </c>
      <c r="J527">
        <v>64.27</v>
      </c>
      <c r="K527">
        <v>2</v>
      </c>
      <c r="L52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27">
        <f>Clients_Churn_Part[[#This Row],[Facture_Mensuelle]]*Clients_Churn_Part[[#This Row],[Remise]]</f>
        <v>44.988999999999997</v>
      </c>
      <c r="N52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28" spans="1:14" x14ac:dyDescent="0.3">
      <c r="A528" t="s">
        <v>8</v>
      </c>
      <c r="B528" t="s">
        <v>34</v>
      </c>
      <c r="C528" t="s">
        <v>35</v>
      </c>
      <c r="D528">
        <v>115</v>
      </c>
      <c r="E528" s="7">
        <f>Clients_Churn_Part[[#This Row],[Anciennete_Mois]]/12</f>
        <v>9.5833333333333339</v>
      </c>
      <c r="F528" t="s">
        <v>18</v>
      </c>
      <c r="G528" t="str">
        <f>IF(Clients_Churn_Part[[#This Row],[Type_Forfait]]="pro Monde","B2B","B2C")</f>
        <v>B2C</v>
      </c>
      <c r="H528">
        <v>176</v>
      </c>
      <c r="I528" s="2">
        <f>Clients_Churn_Part[[#This Row],[Duree_Cumulee_Panne_Min]]/60</f>
        <v>2.9333333333333331</v>
      </c>
      <c r="J528">
        <v>33.28</v>
      </c>
      <c r="K528">
        <v>4</v>
      </c>
      <c r="L52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28">
        <f>Clients_Churn_Part[[#This Row],[Facture_Mensuelle]]*Clients_Churn_Part[[#This Row],[Remise]]</f>
        <v>23.295999999999999</v>
      </c>
      <c r="N52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29" spans="1:14" x14ac:dyDescent="0.3">
      <c r="A529" t="s">
        <v>589</v>
      </c>
      <c r="B529" t="s">
        <v>598</v>
      </c>
      <c r="C529" t="s">
        <v>122</v>
      </c>
      <c r="D529">
        <v>12</v>
      </c>
      <c r="E529" s="7">
        <f>Clients_Churn_Part[[#This Row],[Anciennete_Mois]]/12</f>
        <v>1</v>
      </c>
      <c r="F529" t="s">
        <v>21</v>
      </c>
      <c r="G529" t="str">
        <f>IF(Clients_Churn_Part[[#This Row],[Type_Forfait]]="pro Monde","B2B","B2C")</f>
        <v>B2C</v>
      </c>
      <c r="H529">
        <v>235</v>
      </c>
      <c r="I529" s="2">
        <f>Clients_Churn_Part[[#This Row],[Duree_Cumulee_Panne_Min]]/60</f>
        <v>3.9166666666666665</v>
      </c>
      <c r="J529">
        <v>33.96</v>
      </c>
      <c r="K529">
        <v>4</v>
      </c>
      <c r="L52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29">
        <f>Clients_Churn_Part[[#This Row],[Facture_Mensuelle]]*Clients_Churn_Part[[#This Row],[Remise]]</f>
        <v>0</v>
      </c>
      <c r="N52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30" spans="1:14" x14ac:dyDescent="0.3">
      <c r="A530" t="s">
        <v>220</v>
      </c>
      <c r="B530" t="s">
        <v>233</v>
      </c>
      <c r="C530" t="s">
        <v>122</v>
      </c>
      <c r="D530">
        <v>44</v>
      </c>
      <c r="E530" s="7">
        <f>Clients_Churn_Part[[#This Row],[Anciennete_Mois]]/12</f>
        <v>3.6666666666666665</v>
      </c>
      <c r="F530" t="s">
        <v>18</v>
      </c>
      <c r="G530" t="str">
        <f>IF(Clients_Churn_Part[[#This Row],[Type_Forfait]]="pro Monde","B2B","B2C")</f>
        <v>B2C</v>
      </c>
      <c r="H530">
        <v>199</v>
      </c>
      <c r="I530" s="2">
        <f>Clients_Churn_Part[[#This Row],[Duree_Cumulee_Panne_Min]]/60</f>
        <v>3.3166666666666669</v>
      </c>
      <c r="J530">
        <v>67.650000000000006</v>
      </c>
      <c r="K530">
        <v>0</v>
      </c>
      <c r="L53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30">
        <f>Clients_Churn_Part[[#This Row],[Facture_Mensuelle]]*Clients_Churn_Part[[#This Row],[Remise]]</f>
        <v>0</v>
      </c>
      <c r="N53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31" spans="1:14" x14ac:dyDescent="0.3">
      <c r="A531" t="s">
        <v>589</v>
      </c>
      <c r="B531" t="s">
        <v>603</v>
      </c>
      <c r="C531" t="s">
        <v>72</v>
      </c>
      <c r="D531">
        <v>48</v>
      </c>
      <c r="E531" s="7">
        <f>Clients_Churn_Part[[#This Row],[Anciennete_Mois]]/12</f>
        <v>4</v>
      </c>
      <c r="F531" t="s">
        <v>10</v>
      </c>
      <c r="G531" t="str">
        <f>IF(Clients_Churn_Part[[#This Row],[Type_Forfait]]="pro Monde","B2B","B2C")</f>
        <v>B2C</v>
      </c>
      <c r="H531">
        <v>338</v>
      </c>
      <c r="I531" s="2">
        <f>Clients_Churn_Part[[#This Row],[Duree_Cumulee_Panne_Min]]/60</f>
        <v>5.6333333333333337</v>
      </c>
      <c r="J531">
        <v>74.42</v>
      </c>
      <c r="K531">
        <v>0</v>
      </c>
      <c r="L53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531">
        <f>Clients_Churn_Part[[#This Row],[Facture_Mensuelle]]*Clients_Churn_Part[[#This Row],[Remise]]</f>
        <v>33.489000000000004</v>
      </c>
      <c r="N53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32" spans="1:14" x14ac:dyDescent="0.3">
      <c r="A532" t="s">
        <v>314</v>
      </c>
      <c r="B532" t="s">
        <v>333</v>
      </c>
      <c r="C532" t="s">
        <v>15</v>
      </c>
      <c r="D532">
        <v>51</v>
      </c>
      <c r="E532" s="7">
        <f>Clients_Churn_Part[[#This Row],[Anciennete_Mois]]/12</f>
        <v>4.25</v>
      </c>
      <c r="F532" t="s">
        <v>10</v>
      </c>
      <c r="G532" t="str">
        <f>IF(Clients_Churn_Part[[#This Row],[Type_Forfait]]="pro Monde","B2B","B2C")</f>
        <v>B2C</v>
      </c>
      <c r="H532">
        <v>222</v>
      </c>
      <c r="I532" s="2">
        <f>Clients_Churn_Part[[#This Row],[Duree_Cumulee_Panne_Min]]/60</f>
        <v>3.7</v>
      </c>
      <c r="J532">
        <v>18.95</v>
      </c>
      <c r="K532">
        <v>4</v>
      </c>
      <c r="L53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532">
        <f>Clients_Churn_Part[[#This Row],[Facture_Mensuelle]]*Clients_Churn_Part[[#This Row],[Remise]]</f>
        <v>8.5274999999999999</v>
      </c>
      <c r="N53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33" spans="1:14" x14ac:dyDescent="0.3">
      <c r="A533" t="s">
        <v>220</v>
      </c>
      <c r="B533" t="s">
        <v>256</v>
      </c>
      <c r="C533" t="s">
        <v>48</v>
      </c>
      <c r="D533">
        <v>57</v>
      </c>
      <c r="E533" s="7">
        <f>Clients_Churn_Part[[#This Row],[Anciennete_Mois]]/12</f>
        <v>4.75</v>
      </c>
      <c r="F533" t="s">
        <v>21</v>
      </c>
      <c r="G533" t="str">
        <f>IF(Clients_Churn_Part[[#This Row],[Type_Forfait]]="pro Monde","B2B","B2C")</f>
        <v>B2C</v>
      </c>
      <c r="H533">
        <v>435</v>
      </c>
      <c r="I533" s="2">
        <f>Clients_Churn_Part[[#This Row],[Duree_Cumulee_Panne_Min]]/60</f>
        <v>7.25</v>
      </c>
      <c r="J533">
        <v>56.88</v>
      </c>
      <c r="K533">
        <v>4</v>
      </c>
      <c r="L53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33">
        <f>Clients_Churn_Part[[#This Row],[Facture_Mensuelle]]*Clients_Churn_Part[[#This Row],[Remise]]</f>
        <v>0</v>
      </c>
      <c r="N53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34" spans="1:14" x14ac:dyDescent="0.3">
      <c r="A534" t="s">
        <v>589</v>
      </c>
      <c r="B534" t="s">
        <v>627</v>
      </c>
      <c r="C534" t="s">
        <v>24</v>
      </c>
      <c r="D534">
        <v>22</v>
      </c>
      <c r="E534" s="7">
        <f>Clients_Churn_Part[[#This Row],[Anciennete_Mois]]/12</f>
        <v>1.8333333333333333</v>
      </c>
      <c r="F534" t="s">
        <v>13</v>
      </c>
      <c r="G534" t="str">
        <f>IF(Clients_Churn_Part[[#This Row],[Type_Forfait]]="pro Monde","B2B","B2C")</f>
        <v>B2B</v>
      </c>
      <c r="H534">
        <v>374</v>
      </c>
      <c r="I534" s="2">
        <f>Clients_Churn_Part[[#This Row],[Duree_Cumulee_Panne_Min]]/60</f>
        <v>6.2333333333333334</v>
      </c>
      <c r="J534">
        <v>40.06</v>
      </c>
      <c r="K534">
        <v>5</v>
      </c>
      <c r="L53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534">
        <f>Clients_Churn_Part[[#This Row],[Facture_Mensuelle]]*Clients_Churn_Part[[#This Row],[Remise]]</f>
        <v>4.0060000000000002</v>
      </c>
      <c r="N53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35" spans="1:14" x14ac:dyDescent="0.3">
      <c r="A535" t="s">
        <v>637</v>
      </c>
      <c r="B535" t="s">
        <v>644</v>
      </c>
      <c r="C535" t="s">
        <v>37</v>
      </c>
      <c r="D535">
        <v>21</v>
      </c>
      <c r="E535" s="7">
        <f>Clients_Churn_Part[[#This Row],[Anciennete_Mois]]/12</f>
        <v>1.75</v>
      </c>
      <c r="F535" t="s">
        <v>21</v>
      </c>
      <c r="G535" t="str">
        <f>IF(Clients_Churn_Part[[#This Row],[Type_Forfait]]="pro Monde","B2B","B2C")</f>
        <v>B2C</v>
      </c>
      <c r="H535">
        <v>460</v>
      </c>
      <c r="I535" s="2">
        <f>Clients_Churn_Part[[#This Row],[Duree_Cumulee_Panne_Min]]/60</f>
        <v>7.666666666666667</v>
      </c>
      <c r="J535">
        <v>70.81</v>
      </c>
      <c r="K535">
        <v>2</v>
      </c>
      <c r="L53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35">
        <f>Clients_Churn_Part[[#This Row],[Facture_Mensuelle]]*Clients_Churn_Part[[#This Row],[Remise]]</f>
        <v>0</v>
      </c>
      <c r="N53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36" spans="1:14" x14ac:dyDescent="0.3">
      <c r="A536" t="s">
        <v>129</v>
      </c>
      <c r="B536" t="s">
        <v>152</v>
      </c>
      <c r="C536" t="s">
        <v>17</v>
      </c>
      <c r="D536">
        <v>67</v>
      </c>
      <c r="E536" s="7">
        <f>Clients_Churn_Part[[#This Row],[Anciennete_Mois]]/12</f>
        <v>5.583333333333333</v>
      </c>
      <c r="F536" t="s">
        <v>13</v>
      </c>
      <c r="G536" t="str">
        <f>IF(Clients_Churn_Part[[#This Row],[Type_Forfait]]="pro Monde","B2B","B2C")</f>
        <v>B2B</v>
      </c>
      <c r="H536">
        <v>55</v>
      </c>
      <c r="I536" s="2">
        <f>Clients_Churn_Part[[#This Row],[Duree_Cumulee_Panne_Min]]/60</f>
        <v>0.91666666666666663</v>
      </c>
      <c r="J536">
        <v>27.04</v>
      </c>
      <c r="K536">
        <v>1</v>
      </c>
      <c r="L53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36">
        <f>Clients_Churn_Part[[#This Row],[Facture_Mensuelle]]*Clients_Churn_Part[[#This Row],[Remise]]</f>
        <v>18.927999999999997</v>
      </c>
      <c r="N53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37" spans="1:14" x14ac:dyDescent="0.3">
      <c r="A537" t="s">
        <v>220</v>
      </c>
      <c r="B537" t="s">
        <v>266</v>
      </c>
      <c r="C537" t="s">
        <v>62</v>
      </c>
      <c r="D537">
        <v>23</v>
      </c>
      <c r="E537" s="7">
        <f>Clients_Churn_Part[[#This Row],[Anciennete_Mois]]/12</f>
        <v>1.9166666666666667</v>
      </c>
      <c r="F537" t="s">
        <v>13</v>
      </c>
      <c r="G537" t="str">
        <f>IF(Clients_Churn_Part[[#This Row],[Type_Forfait]]="pro Monde","B2B","B2C")</f>
        <v>B2B</v>
      </c>
      <c r="H537">
        <v>473</v>
      </c>
      <c r="I537" s="2">
        <f>Clients_Churn_Part[[#This Row],[Duree_Cumulee_Panne_Min]]/60</f>
        <v>7.8833333333333337</v>
      </c>
      <c r="J537">
        <v>71.86</v>
      </c>
      <c r="K537">
        <v>3</v>
      </c>
      <c r="L53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537">
        <f>Clients_Churn_Part[[#This Row],[Facture_Mensuelle]]*Clients_Churn_Part[[#This Row],[Remise]]</f>
        <v>7.1859999999999999</v>
      </c>
      <c r="N53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38" spans="1:14" x14ac:dyDescent="0.3">
      <c r="A538" t="s">
        <v>79</v>
      </c>
      <c r="B538" t="s">
        <v>107</v>
      </c>
      <c r="C538" t="s">
        <v>48</v>
      </c>
      <c r="D538">
        <v>12</v>
      </c>
      <c r="E538" s="7">
        <f>Clients_Churn_Part[[#This Row],[Anciennete_Mois]]/12</f>
        <v>1</v>
      </c>
      <c r="F538" t="s">
        <v>10</v>
      </c>
      <c r="G538" t="str">
        <f>IF(Clients_Churn_Part[[#This Row],[Type_Forfait]]="pro Monde","B2B","B2C")</f>
        <v>B2C</v>
      </c>
      <c r="H538">
        <v>208</v>
      </c>
      <c r="I538" s="2">
        <f>Clients_Churn_Part[[#This Row],[Duree_Cumulee_Panne_Min]]/60</f>
        <v>3.4666666666666668</v>
      </c>
      <c r="J538">
        <v>16.29</v>
      </c>
      <c r="K538">
        <v>4</v>
      </c>
      <c r="L53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538">
        <f>Clients_Churn_Part[[#This Row],[Facture_Mensuelle]]*Clients_Churn_Part[[#This Row],[Remise]]</f>
        <v>7.3304999999999998</v>
      </c>
      <c r="N53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39" spans="1:14" x14ac:dyDescent="0.3">
      <c r="A539" t="s">
        <v>79</v>
      </c>
      <c r="B539" t="s">
        <v>100</v>
      </c>
      <c r="C539" t="s">
        <v>33</v>
      </c>
      <c r="D539">
        <v>6</v>
      </c>
      <c r="E539" s="7">
        <f>Clients_Churn_Part[[#This Row],[Anciennete_Mois]]/12</f>
        <v>0.5</v>
      </c>
      <c r="F539" t="s">
        <v>10</v>
      </c>
      <c r="G539" t="str">
        <f>IF(Clients_Churn_Part[[#This Row],[Type_Forfait]]="pro Monde","B2B","B2C")</f>
        <v>B2C</v>
      </c>
      <c r="H539">
        <v>162</v>
      </c>
      <c r="I539" s="2">
        <f>Clients_Churn_Part[[#This Row],[Duree_Cumulee_Panne_Min]]/60</f>
        <v>2.7</v>
      </c>
      <c r="J539">
        <v>99.93</v>
      </c>
      <c r="K539">
        <v>0</v>
      </c>
      <c r="L53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539">
        <f>Clients_Churn_Part[[#This Row],[Facture_Mensuelle]]*Clients_Churn_Part[[#This Row],[Remise]]</f>
        <v>44.968500000000006</v>
      </c>
      <c r="N53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40" spans="1:14" x14ac:dyDescent="0.3">
      <c r="A540" t="s">
        <v>538</v>
      </c>
      <c r="B540" t="s">
        <v>540</v>
      </c>
      <c r="C540" t="s">
        <v>126</v>
      </c>
      <c r="D540">
        <v>25</v>
      </c>
      <c r="E540" s="7">
        <f>Clients_Churn_Part[[#This Row],[Anciennete_Mois]]/12</f>
        <v>2.0833333333333335</v>
      </c>
      <c r="F540" t="s">
        <v>18</v>
      </c>
      <c r="G540" t="str">
        <f>IF(Clients_Churn_Part[[#This Row],[Type_Forfait]]="pro Monde","B2B","B2C")</f>
        <v>B2C</v>
      </c>
      <c r="H540">
        <v>5</v>
      </c>
      <c r="I540" s="2">
        <f>Clients_Churn_Part[[#This Row],[Duree_Cumulee_Panne_Min]]/60</f>
        <v>8.3333333333333329E-2</v>
      </c>
      <c r="J540">
        <v>27.93</v>
      </c>
      <c r="K540">
        <v>0</v>
      </c>
      <c r="L54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40">
        <f>Clients_Churn_Part[[#This Row],[Facture_Mensuelle]]*Clients_Churn_Part[[#This Row],[Remise]]</f>
        <v>0</v>
      </c>
      <c r="N54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41" spans="1:14" x14ac:dyDescent="0.3">
      <c r="A541" t="s">
        <v>452</v>
      </c>
      <c r="B541" t="s">
        <v>459</v>
      </c>
      <c r="C541" t="s">
        <v>57</v>
      </c>
      <c r="D541">
        <v>39</v>
      </c>
      <c r="E541" s="7">
        <f>Clients_Churn_Part[[#This Row],[Anciennete_Mois]]/12</f>
        <v>3.25</v>
      </c>
      <c r="F541" t="s">
        <v>13</v>
      </c>
      <c r="G541" t="str">
        <f>IF(Clients_Churn_Part[[#This Row],[Type_Forfait]]="pro Monde","B2B","B2C")</f>
        <v>B2B</v>
      </c>
      <c r="H541">
        <v>54</v>
      </c>
      <c r="I541" s="2">
        <f>Clients_Churn_Part[[#This Row],[Duree_Cumulee_Panne_Min]]/60</f>
        <v>0.9</v>
      </c>
      <c r="J541">
        <v>88.84</v>
      </c>
      <c r="K541">
        <v>0</v>
      </c>
      <c r="L54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541">
        <f>Clients_Churn_Part[[#This Row],[Facture_Mensuelle]]*Clients_Churn_Part[[#This Row],[Remise]]</f>
        <v>8.8840000000000003</v>
      </c>
      <c r="N54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42" spans="1:14" x14ac:dyDescent="0.3">
      <c r="A542" t="s">
        <v>452</v>
      </c>
      <c r="B542" t="s">
        <v>480</v>
      </c>
      <c r="C542" t="s">
        <v>24</v>
      </c>
      <c r="D542">
        <v>120</v>
      </c>
      <c r="E542" s="7">
        <f>Clients_Churn_Part[[#This Row],[Anciennete_Mois]]/12</f>
        <v>10</v>
      </c>
      <c r="F542" t="s">
        <v>10</v>
      </c>
      <c r="G542" t="str">
        <f>IF(Clients_Churn_Part[[#This Row],[Type_Forfait]]="pro Monde","B2B","B2C")</f>
        <v>B2C</v>
      </c>
      <c r="H542">
        <v>391</v>
      </c>
      <c r="I542" s="2">
        <f>Clients_Churn_Part[[#This Row],[Duree_Cumulee_Panne_Min]]/60</f>
        <v>6.5166666666666666</v>
      </c>
      <c r="J542">
        <v>67.77</v>
      </c>
      <c r="K542">
        <v>4</v>
      </c>
      <c r="L54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42">
        <f>Clients_Churn_Part[[#This Row],[Facture_Mensuelle]]*Clients_Churn_Part[[#This Row],[Remise]]</f>
        <v>47.438999999999993</v>
      </c>
      <c r="N54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43" spans="1:14" x14ac:dyDescent="0.3">
      <c r="A543" t="s">
        <v>174</v>
      </c>
      <c r="B543" t="s">
        <v>218</v>
      </c>
      <c r="C543" t="s">
        <v>68</v>
      </c>
      <c r="D543">
        <v>11</v>
      </c>
      <c r="E543" s="7">
        <f>Clients_Churn_Part[[#This Row],[Anciennete_Mois]]/12</f>
        <v>0.91666666666666663</v>
      </c>
      <c r="F543" t="s">
        <v>10</v>
      </c>
      <c r="G543" t="str">
        <f>IF(Clients_Churn_Part[[#This Row],[Type_Forfait]]="pro Monde","B2B","B2C")</f>
        <v>B2C</v>
      </c>
      <c r="H543">
        <v>191</v>
      </c>
      <c r="I543" s="2">
        <f>Clients_Churn_Part[[#This Row],[Duree_Cumulee_Panne_Min]]/60</f>
        <v>3.1833333333333331</v>
      </c>
      <c r="J543">
        <v>87.37</v>
      </c>
      <c r="K543">
        <v>3</v>
      </c>
      <c r="L54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543">
        <f>Clients_Churn_Part[[#This Row],[Facture_Mensuelle]]*Clients_Churn_Part[[#This Row],[Remise]]</f>
        <v>39.316500000000005</v>
      </c>
      <c r="N54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44" spans="1:14" x14ac:dyDescent="0.3">
      <c r="A544" t="s">
        <v>494</v>
      </c>
      <c r="B544" t="s">
        <v>518</v>
      </c>
      <c r="C544" t="s">
        <v>31</v>
      </c>
      <c r="D544">
        <v>47</v>
      </c>
      <c r="E544" s="7">
        <f>Clients_Churn_Part[[#This Row],[Anciennete_Mois]]/12</f>
        <v>3.9166666666666665</v>
      </c>
      <c r="F544" t="s">
        <v>10</v>
      </c>
      <c r="G544" t="str">
        <f>IF(Clients_Churn_Part[[#This Row],[Type_Forfait]]="pro Monde","B2B","B2C")</f>
        <v>B2C</v>
      </c>
      <c r="H544">
        <v>457</v>
      </c>
      <c r="I544" s="2">
        <f>Clients_Churn_Part[[#This Row],[Duree_Cumulee_Panne_Min]]/60</f>
        <v>7.6166666666666663</v>
      </c>
      <c r="J544">
        <v>84.93</v>
      </c>
      <c r="K544">
        <v>2</v>
      </c>
      <c r="L54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544">
        <f>Clients_Churn_Part[[#This Row],[Facture_Mensuelle]]*Clients_Churn_Part[[#This Row],[Remise]]</f>
        <v>38.218500000000006</v>
      </c>
      <c r="N54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45" spans="1:14" x14ac:dyDescent="0.3">
      <c r="A545" t="s">
        <v>538</v>
      </c>
      <c r="B545" t="s">
        <v>573</v>
      </c>
      <c r="C545" t="s">
        <v>59</v>
      </c>
      <c r="D545">
        <v>98</v>
      </c>
      <c r="E545" s="7">
        <f>Clients_Churn_Part[[#This Row],[Anciennete_Mois]]/12</f>
        <v>8.1666666666666661</v>
      </c>
      <c r="F545" t="s">
        <v>21</v>
      </c>
      <c r="G545" t="str">
        <f>IF(Clients_Churn_Part[[#This Row],[Type_Forfait]]="pro Monde","B2B","B2C")</f>
        <v>B2C</v>
      </c>
      <c r="H545">
        <v>110</v>
      </c>
      <c r="I545" s="2">
        <f>Clients_Churn_Part[[#This Row],[Duree_Cumulee_Panne_Min]]/60</f>
        <v>1.8333333333333333</v>
      </c>
      <c r="J545">
        <v>96.23</v>
      </c>
      <c r="K545">
        <v>2</v>
      </c>
      <c r="L54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45">
        <f>Clients_Churn_Part[[#This Row],[Facture_Mensuelle]]*Clients_Churn_Part[[#This Row],[Remise]]</f>
        <v>67.361000000000004</v>
      </c>
      <c r="N54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46" spans="1:14" x14ac:dyDescent="0.3">
      <c r="A546" t="s">
        <v>174</v>
      </c>
      <c r="B546" t="s">
        <v>208</v>
      </c>
      <c r="C546" t="s">
        <v>83</v>
      </c>
      <c r="D546">
        <v>28</v>
      </c>
      <c r="E546" s="7">
        <f>Clients_Churn_Part[[#This Row],[Anciennete_Mois]]/12</f>
        <v>2.3333333333333335</v>
      </c>
      <c r="F546" t="s">
        <v>10</v>
      </c>
      <c r="G546" t="str">
        <f>IF(Clients_Churn_Part[[#This Row],[Type_Forfait]]="pro Monde","B2B","B2C")</f>
        <v>B2C</v>
      </c>
      <c r="H546">
        <v>96</v>
      </c>
      <c r="I546" s="2">
        <f>Clients_Churn_Part[[#This Row],[Duree_Cumulee_Panne_Min]]/60</f>
        <v>1.6</v>
      </c>
      <c r="J546">
        <v>72.010000000000005</v>
      </c>
      <c r="K546">
        <v>4</v>
      </c>
      <c r="L54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546">
        <f>Clients_Churn_Part[[#This Row],[Facture_Mensuelle]]*Clients_Churn_Part[[#This Row],[Remise]]</f>
        <v>32.404500000000006</v>
      </c>
      <c r="N54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47" spans="1:14" x14ac:dyDescent="0.3">
      <c r="A547" t="s">
        <v>452</v>
      </c>
      <c r="B547" t="s">
        <v>454</v>
      </c>
      <c r="C547" t="s">
        <v>35</v>
      </c>
      <c r="D547">
        <v>77</v>
      </c>
      <c r="E547" s="7">
        <f>Clients_Churn_Part[[#This Row],[Anciennete_Mois]]/12</f>
        <v>6.416666666666667</v>
      </c>
      <c r="F547" t="s">
        <v>21</v>
      </c>
      <c r="G547" t="str">
        <f>IF(Clients_Churn_Part[[#This Row],[Type_Forfait]]="pro Monde","B2B","B2C")</f>
        <v>B2C</v>
      </c>
      <c r="H547">
        <v>375</v>
      </c>
      <c r="I547" s="2">
        <f>Clients_Churn_Part[[#This Row],[Duree_Cumulee_Panne_Min]]/60</f>
        <v>6.25</v>
      </c>
      <c r="J547">
        <v>24.03</v>
      </c>
      <c r="K547">
        <v>1</v>
      </c>
      <c r="L54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47">
        <f>Clients_Churn_Part[[#This Row],[Facture_Mensuelle]]*Clients_Churn_Part[[#This Row],[Remise]]</f>
        <v>16.820999999999998</v>
      </c>
      <c r="N54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48" spans="1:14" x14ac:dyDescent="0.3">
      <c r="A548" t="s">
        <v>129</v>
      </c>
      <c r="B548" t="s">
        <v>142</v>
      </c>
      <c r="C548" t="s">
        <v>122</v>
      </c>
      <c r="D548">
        <v>56</v>
      </c>
      <c r="E548" s="7">
        <f>Clients_Churn_Part[[#This Row],[Anciennete_Mois]]/12</f>
        <v>4.666666666666667</v>
      </c>
      <c r="F548" t="s">
        <v>18</v>
      </c>
      <c r="G548" t="str">
        <f>IF(Clients_Churn_Part[[#This Row],[Type_Forfait]]="pro Monde","B2B","B2C")</f>
        <v>B2C</v>
      </c>
      <c r="H548">
        <v>333</v>
      </c>
      <c r="I548" s="2">
        <f>Clients_Churn_Part[[#This Row],[Duree_Cumulee_Panne_Min]]/60</f>
        <v>5.55</v>
      </c>
      <c r="J548">
        <v>23.01</v>
      </c>
      <c r="K548">
        <v>2</v>
      </c>
      <c r="L54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48">
        <f>Clients_Churn_Part[[#This Row],[Facture_Mensuelle]]*Clients_Churn_Part[[#This Row],[Remise]]</f>
        <v>0</v>
      </c>
      <c r="N54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49" spans="1:14" x14ac:dyDescent="0.3">
      <c r="A549" t="s">
        <v>174</v>
      </c>
      <c r="B549" t="s">
        <v>178</v>
      </c>
      <c r="C549" t="s">
        <v>48</v>
      </c>
      <c r="D549">
        <v>66</v>
      </c>
      <c r="E549" s="7">
        <f>Clients_Churn_Part[[#This Row],[Anciennete_Mois]]/12</f>
        <v>5.5</v>
      </c>
      <c r="F549" t="s">
        <v>21</v>
      </c>
      <c r="G549" t="str">
        <f>IF(Clients_Churn_Part[[#This Row],[Type_Forfait]]="pro Monde","B2B","B2C")</f>
        <v>B2C</v>
      </c>
      <c r="H549">
        <v>387</v>
      </c>
      <c r="I549" s="2">
        <f>Clients_Churn_Part[[#This Row],[Duree_Cumulee_Panne_Min]]/60</f>
        <v>6.45</v>
      </c>
      <c r="J549">
        <v>82.94</v>
      </c>
      <c r="K549">
        <v>3</v>
      </c>
      <c r="L54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49">
        <f>Clients_Churn_Part[[#This Row],[Facture_Mensuelle]]*Clients_Churn_Part[[#This Row],[Remise]]</f>
        <v>58.057999999999993</v>
      </c>
      <c r="N54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50" spans="1:14" x14ac:dyDescent="0.3">
      <c r="A550" t="s">
        <v>174</v>
      </c>
      <c r="B550" t="s">
        <v>198</v>
      </c>
      <c r="C550" t="s">
        <v>33</v>
      </c>
      <c r="D550">
        <v>75</v>
      </c>
      <c r="E550" s="7">
        <f>Clients_Churn_Part[[#This Row],[Anciennete_Mois]]/12</f>
        <v>6.25</v>
      </c>
      <c r="F550" t="s">
        <v>18</v>
      </c>
      <c r="G550" t="str">
        <f>IF(Clients_Churn_Part[[#This Row],[Type_Forfait]]="pro Monde","B2B","B2C")</f>
        <v>B2C</v>
      </c>
      <c r="H550">
        <v>282</v>
      </c>
      <c r="I550" s="2">
        <f>Clients_Churn_Part[[#This Row],[Duree_Cumulee_Panne_Min]]/60</f>
        <v>4.7</v>
      </c>
      <c r="J550">
        <v>45.16</v>
      </c>
      <c r="K550">
        <v>5</v>
      </c>
      <c r="L55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50">
        <f>Clients_Churn_Part[[#This Row],[Facture_Mensuelle]]*Clients_Churn_Part[[#This Row],[Remise]]</f>
        <v>31.611999999999995</v>
      </c>
      <c r="N55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51" spans="1:14" x14ac:dyDescent="0.3">
      <c r="A551" t="s">
        <v>405</v>
      </c>
      <c r="B551" t="s">
        <v>408</v>
      </c>
      <c r="C551" t="s">
        <v>35</v>
      </c>
      <c r="D551">
        <v>39</v>
      </c>
      <c r="E551" s="7">
        <f>Clients_Churn_Part[[#This Row],[Anciennete_Mois]]/12</f>
        <v>3.25</v>
      </c>
      <c r="F551" t="s">
        <v>10</v>
      </c>
      <c r="G551" t="str">
        <f>IF(Clients_Churn_Part[[#This Row],[Type_Forfait]]="pro Monde","B2B","B2C")</f>
        <v>B2C</v>
      </c>
      <c r="H551">
        <v>1</v>
      </c>
      <c r="I551" s="2">
        <f>Clients_Churn_Part[[#This Row],[Duree_Cumulee_Panne_Min]]/60</f>
        <v>1.6666666666666666E-2</v>
      </c>
      <c r="J551">
        <v>66.94</v>
      </c>
      <c r="K551">
        <v>5</v>
      </c>
      <c r="L55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551">
        <f>Clients_Churn_Part[[#This Row],[Facture_Mensuelle]]*Clients_Churn_Part[[#This Row],[Remise]]</f>
        <v>30.123000000000001</v>
      </c>
      <c r="N55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52" spans="1:14" x14ac:dyDescent="0.3">
      <c r="A552" t="s">
        <v>314</v>
      </c>
      <c r="B552" t="s">
        <v>326</v>
      </c>
      <c r="C552" t="s">
        <v>15</v>
      </c>
      <c r="D552">
        <v>102</v>
      </c>
      <c r="E552" s="7">
        <f>Clients_Churn_Part[[#This Row],[Anciennete_Mois]]/12</f>
        <v>8.5</v>
      </c>
      <c r="F552" t="s">
        <v>18</v>
      </c>
      <c r="G552" t="str">
        <f>IF(Clients_Churn_Part[[#This Row],[Type_Forfait]]="pro Monde","B2B","B2C")</f>
        <v>B2C</v>
      </c>
      <c r="H552">
        <v>91</v>
      </c>
      <c r="I552" s="2">
        <f>Clients_Churn_Part[[#This Row],[Duree_Cumulee_Panne_Min]]/60</f>
        <v>1.5166666666666666</v>
      </c>
      <c r="J552">
        <v>34.64</v>
      </c>
      <c r="K552">
        <v>2</v>
      </c>
      <c r="L55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52">
        <f>Clients_Churn_Part[[#This Row],[Facture_Mensuelle]]*Clients_Churn_Part[[#This Row],[Remise]]</f>
        <v>24.247999999999998</v>
      </c>
      <c r="N55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53" spans="1:14" x14ac:dyDescent="0.3">
      <c r="A553" t="s">
        <v>220</v>
      </c>
      <c r="B553" t="s">
        <v>264</v>
      </c>
      <c r="C553" t="s">
        <v>118</v>
      </c>
      <c r="D553">
        <v>78</v>
      </c>
      <c r="E553" s="7">
        <f>Clients_Churn_Part[[#This Row],[Anciennete_Mois]]/12</f>
        <v>6.5</v>
      </c>
      <c r="F553" t="s">
        <v>21</v>
      </c>
      <c r="G553" t="str">
        <f>IF(Clients_Churn_Part[[#This Row],[Type_Forfait]]="pro Monde","B2B","B2C")</f>
        <v>B2C</v>
      </c>
      <c r="H553">
        <v>198</v>
      </c>
      <c r="I553" s="2">
        <f>Clients_Churn_Part[[#This Row],[Duree_Cumulee_Panne_Min]]/60</f>
        <v>3.3</v>
      </c>
      <c r="J553">
        <v>69.849999999999994</v>
      </c>
      <c r="K553">
        <v>0</v>
      </c>
      <c r="L55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53">
        <f>Clients_Churn_Part[[#This Row],[Facture_Mensuelle]]*Clients_Churn_Part[[#This Row],[Remise]]</f>
        <v>48.894999999999996</v>
      </c>
      <c r="N55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54" spans="1:14" x14ac:dyDescent="0.3">
      <c r="A554" t="s">
        <v>267</v>
      </c>
      <c r="B554" t="s">
        <v>306</v>
      </c>
      <c r="C554" t="s">
        <v>68</v>
      </c>
      <c r="D554">
        <v>5</v>
      </c>
      <c r="E554" s="7">
        <f>Clients_Churn_Part[[#This Row],[Anciennete_Mois]]/12</f>
        <v>0.41666666666666669</v>
      </c>
      <c r="F554" t="s">
        <v>10</v>
      </c>
      <c r="G554" t="str">
        <f>IF(Clients_Churn_Part[[#This Row],[Type_Forfait]]="pro Monde","B2B","B2C")</f>
        <v>B2C</v>
      </c>
      <c r="H554">
        <v>384</v>
      </c>
      <c r="I554" s="2">
        <f>Clients_Churn_Part[[#This Row],[Duree_Cumulee_Panne_Min]]/60</f>
        <v>6.4</v>
      </c>
      <c r="J554">
        <v>97.26</v>
      </c>
      <c r="K554">
        <v>3</v>
      </c>
      <c r="L55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554">
        <f>Clients_Churn_Part[[#This Row],[Facture_Mensuelle]]*Clients_Churn_Part[[#This Row],[Remise]]</f>
        <v>43.767000000000003</v>
      </c>
      <c r="N55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55" spans="1:14" x14ac:dyDescent="0.3">
      <c r="A555" t="s">
        <v>682</v>
      </c>
      <c r="B555" t="s">
        <v>713</v>
      </c>
      <c r="C555" t="s">
        <v>24</v>
      </c>
      <c r="D555">
        <v>87</v>
      </c>
      <c r="E555" s="7">
        <f>Clients_Churn_Part[[#This Row],[Anciennete_Mois]]/12</f>
        <v>7.25</v>
      </c>
      <c r="F555" t="s">
        <v>13</v>
      </c>
      <c r="G555" t="str">
        <f>IF(Clients_Churn_Part[[#This Row],[Type_Forfait]]="pro Monde","B2B","B2C")</f>
        <v>B2B</v>
      </c>
      <c r="H555">
        <v>486</v>
      </c>
      <c r="I555" s="2">
        <f>Clients_Churn_Part[[#This Row],[Duree_Cumulee_Panne_Min]]/60</f>
        <v>8.1</v>
      </c>
      <c r="J555">
        <v>58.26</v>
      </c>
      <c r="K555">
        <v>0</v>
      </c>
      <c r="L55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55">
        <f>Clients_Churn_Part[[#This Row],[Facture_Mensuelle]]*Clients_Churn_Part[[#This Row],[Remise]]</f>
        <v>40.781999999999996</v>
      </c>
      <c r="N55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56" spans="1:14" x14ac:dyDescent="0.3">
      <c r="A556" t="s">
        <v>79</v>
      </c>
      <c r="B556" t="s">
        <v>90</v>
      </c>
      <c r="C556" t="s">
        <v>33</v>
      </c>
      <c r="D556">
        <v>42</v>
      </c>
      <c r="E556" s="7">
        <f>Clients_Churn_Part[[#This Row],[Anciennete_Mois]]/12</f>
        <v>3.5</v>
      </c>
      <c r="F556" t="s">
        <v>21</v>
      </c>
      <c r="G556" t="str">
        <f>IF(Clients_Churn_Part[[#This Row],[Type_Forfait]]="pro Monde","B2B","B2C")</f>
        <v>B2C</v>
      </c>
      <c r="H556">
        <v>385</v>
      </c>
      <c r="I556" s="2">
        <f>Clients_Churn_Part[[#This Row],[Duree_Cumulee_Panne_Min]]/60</f>
        <v>6.416666666666667</v>
      </c>
      <c r="J556">
        <v>96.52</v>
      </c>
      <c r="K556">
        <v>1</v>
      </c>
      <c r="L55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56">
        <f>Clients_Churn_Part[[#This Row],[Facture_Mensuelle]]*Clients_Churn_Part[[#This Row],[Remise]]</f>
        <v>0</v>
      </c>
      <c r="N55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57" spans="1:14" x14ac:dyDescent="0.3">
      <c r="A557" t="s">
        <v>637</v>
      </c>
      <c r="B557" t="s">
        <v>648</v>
      </c>
      <c r="C557" t="s">
        <v>62</v>
      </c>
      <c r="D557">
        <v>103</v>
      </c>
      <c r="E557" s="7">
        <f>Clients_Churn_Part[[#This Row],[Anciennete_Mois]]/12</f>
        <v>8.5833333333333339</v>
      </c>
      <c r="F557" t="s">
        <v>10</v>
      </c>
      <c r="G557" t="str">
        <f>IF(Clients_Churn_Part[[#This Row],[Type_Forfait]]="pro Monde","B2B","B2C")</f>
        <v>B2C</v>
      </c>
      <c r="H557">
        <v>386</v>
      </c>
      <c r="I557" s="2">
        <f>Clients_Churn_Part[[#This Row],[Duree_Cumulee_Panne_Min]]/60</f>
        <v>6.4333333333333336</v>
      </c>
      <c r="J557">
        <v>10.58</v>
      </c>
      <c r="K557">
        <v>0</v>
      </c>
      <c r="L55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57">
        <f>Clients_Churn_Part[[#This Row],[Facture_Mensuelle]]*Clients_Churn_Part[[#This Row],[Remise]]</f>
        <v>7.4059999999999997</v>
      </c>
      <c r="N55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58" spans="1:14" x14ac:dyDescent="0.3">
      <c r="A558" t="s">
        <v>220</v>
      </c>
      <c r="B558" t="s">
        <v>248</v>
      </c>
      <c r="C558" t="s">
        <v>35</v>
      </c>
      <c r="D558">
        <v>63</v>
      </c>
      <c r="E558" s="7">
        <f>Clients_Churn_Part[[#This Row],[Anciennete_Mois]]/12</f>
        <v>5.25</v>
      </c>
      <c r="F558" t="s">
        <v>18</v>
      </c>
      <c r="G558" t="str">
        <f>IF(Clients_Churn_Part[[#This Row],[Type_Forfait]]="pro Monde","B2B","B2C")</f>
        <v>B2C</v>
      </c>
      <c r="H558">
        <v>392</v>
      </c>
      <c r="I558" s="2">
        <f>Clients_Churn_Part[[#This Row],[Duree_Cumulee_Panne_Min]]/60</f>
        <v>6.5333333333333332</v>
      </c>
      <c r="J558">
        <v>93.11</v>
      </c>
      <c r="K558">
        <v>3</v>
      </c>
      <c r="L55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58">
        <f>Clients_Churn_Part[[#This Row],[Facture_Mensuelle]]*Clients_Churn_Part[[#This Row],[Remise]]</f>
        <v>65.176999999999992</v>
      </c>
      <c r="N55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59" spans="1:14" x14ac:dyDescent="0.3">
      <c r="A559" t="s">
        <v>538</v>
      </c>
      <c r="B559" t="s">
        <v>555</v>
      </c>
      <c r="C559" t="s">
        <v>17</v>
      </c>
      <c r="D559">
        <v>52</v>
      </c>
      <c r="E559" s="7">
        <f>Clients_Churn_Part[[#This Row],[Anciennete_Mois]]/12</f>
        <v>4.333333333333333</v>
      </c>
      <c r="F559" t="s">
        <v>18</v>
      </c>
      <c r="G559" t="str">
        <f>IF(Clients_Churn_Part[[#This Row],[Type_Forfait]]="pro Monde","B2B","B2C")</f>
        <v>B2C</v>
      </c>
      <c r="H559">
        <v>307</v>
      </c>
      <c r="I559" s="2">
        <f>Clients_Churn_Part[[#This Row],[Duree_Cumulee_Panne_Min]]/60</f>
        <v>5.1166666666666663</v>
      </c>
      <c r="J559">
        <v>81.38</v>
      </c>
      <c r="K559">
        <v>2</v>
      </c>
      <c r="L55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59">
        <f>Clients_Churn_Part[[#This Row],[Facture_Mensuelle]]*Clients_Churn_Part[[#This Row],[Remise]]</f>
        <v>0</v>
      </c>
      <c r="N55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60" spans="1:14" x14ac:dyDescent="0.3">
      <c r="A560" t="s">
        <v>79</v>
      </c>
      <c r="B560" t="s">
        <v>103</v>
      </c>
      <c r="C560" t="s">
        <v>27</v>
      </c>
      <c r="D560">
        <v>57</v>
      </c>
      <c r="E560" s="7">
        <f>Clients_Churn_Part[[#This Row],[Anciennete_Mois]]/12</f>
        <v>4.75</v>
      </c>
      <c r="F560" t="s">
        <v>18</v>
      </c>
      <c r="G560" t="str">
        <f>IF(Clients_Churn_Part[[#This Row],[Type_Forfait]]="pro Monde","B2B","B2C")</f>
        <v>B2C</v>
      </c>
      <c r="H560">
        <v>208</v>
      </c>
      <c r="I560" s="2">
        <f>Clients_Churn_Part[[#This Row],[Duree_Cumulee_Panne_Min]]/60</f>
        <v>3.4666666666666668</v>
      </c>
      <c r="J560">
        <v>85.66</v>
      </c>
      <c r="K560">
        <v>5</v>
      </c>
      <c r="L56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60">
        <f>Clients_Churn_Part[[#This Row],[Facture_Mensuelle]]*Clients_Churn_Part[[#This Row],[Remise]]</f>
        <v>0</v>
      </c>
      <c r="N56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61" spans="1:14" x14ac:dyDescent="0.3">
      <c r="A561" t="s">
        <v>314</v>
      </c>
      <c r="B561" t="s">
        <v>319</v>
      </c>
      <c r="C561" t="s">
        <v>35</v>
      </c>
      <c r="D561">
        <v>55</v>
      </c>
      <c r="E561" s="7">
        <f>Clients_Churn_Part[[#This Row],[Anciennete_Mois]]/12</f>
        <v>4.583333333333333</v>
      </c>
      <c r="F561" t="s">
        <v>10</v>
      </c>
      <c r="G561" t="str">
        <f>IF(Clients_Churn_Part[[#This Row],[Type_Forfait]]="pro Monde","B2B","B2C")</f>
        <v>B2C</v>
      </c>
      <c r="H561">
        <v>86</v>
      </c>
      <c r="I561" s="2">
        <f>Clients_Churn_Part[[#This Row],[Duree_Cumulee_Panne_Min]]/60</f>
        <v>1.4333333333333333</v>
      </c>
      <c r="J561">
        <v>17.440000000000001</v>
      </c>
      <c r="K561">
        <v>2</v>
      </c>
      <c r="L56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561">
        <f>Clients_Churn_Part[[#This Row],[Facture_Mensuelle]]*Clients_Churn_Part[[#This Row],[Remise]]</f>
        <v>7.8480000000000008</v>
      </c>
      <c r="N56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62" spans="1:14" x14ac:dyDescent="0.3">
      <c r="A562" t="s">
        <v>452</v>
      </c>
      <c r="B562" t="s">
        <v>485</v>
      </c>
      <c r="C562" t="s">
        <v>29</v>
      </c>
      <c r="D562">
        <v>58</v>
      </c>
      <c r="E562" s="7">
        <f>Clients_Churn_Part[[#This Row],[Anciennete_Mois]]/12</f>
        <v>4.833333333333333</v>
      </c>
      <c r="F562" t="s">
        <v>10</v>
      </c>
      <c r="G562" t="str">
        <f>IF(Clients_Churn_Part[[#This Row],[Type_Forfait]]="pro Monde","B2B","B2C")</f>
        <v>B2C</v>
      </c>
      <c r="H562">
        <v>485</v>
      </c>
      <c r="I562" s="2">
        <f>Clients_Churn_Part[[#This Row],[Duree_Cumulee_Panne_Min]]/60</f>
        <v>8.0833333333333339</v>
      </c>
      <c r="J562">
        <v>64.290000000000006</v>
      </c>
      <c r="K562">
        <v>4</v>
      </c>
      <c r="L56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562">
        <f>Clients_Churn_Part[[#This Row],[Facture_Mensuelle]]*Clients_Churn_Part[[#This Row],[Remise]]</f>
        <v>28.930500000000002</v>
      </c>
      <c r="N56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63" spans="1:14" x14ac:dyDescent="0.3">
      <c r="A563" t="s">
        <v>637</v>
      </c>
      <c r="B563" t="s">
        <v>647</v>
      </c>
      <c r="C563" t="s">
        <v>48</v>
      </c>
      <c r="D563">
        <v>9</v>
      </c>
      <c r="E563" s="7">
        <f>Clients_Churn_Part[[#This Row],[Anciennete_Mois]]/12</f>
        <v>0.75</v>
      </c>
      <c r="F563" t="s">
        <v>18</v>
      </c>
      <c r="G563" t="str">
        <f>IF(Clients_Churn_Part[[#This Row],[Type_Forfait]]="pro Monde","B2B","B2C")</f>
        <v>B2C</v>
      </c>
      <c r="H563">
        <v>27</v>
      </c>
      <c r="I563" s="2">
        <f>Clients_Churn_Part[[#This Row],[Duree_Cumulee_Panne_Min]]/60</f>
        <v>0.45</v>
      </c>
      <c r="J563">
        <v>99.02</v>
      </c>
      <c r="K563">
        <v>3</v>
      </c>
      <c r="L56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563">
        <f>Clients_Churn_Part[[#This Row],[Facture_Mensuelle]]*Clients_Churn_Part[[#This Row],[Remise]]</f>
        <v>44.558999999999997</v>
      </c>
      <c r="N56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64" spans="1:14" x14ac:dyDescent="0.3">
      <c r="A564" t="s">
        <v>494</v>
      </c>
      <c r="B564" t="s">
        <v>512</v>
      </c>
      <c r="C564" t="s">
        <v>9</v>
      </c>
      <c r="D564">
        <v>84</v>
      </c>
      <c r="E564" s="7">
        <f>Clients_Churn_Part[[#This Row],[Anciennete_Mois]]/12</f>
        <v>7</v>
      </c>
      <c r="F564" t="s">
        <v>18</v>
      </c>
      <c r="G564" t="str">
        <f>IF(Clients_Churn_Part[[#This Row],[Type_Forfait]]="pro Monde","B2B","B2C")</f>
        <v>B2C</v>
      </c>
      <c r="H564">
        <v>364</v>
      </c>
      <c r="I564" s="2">
        <f>Clients_Churn_Part[[#This Row],[Duree_Cumulee_Panne_Min]]/60</f>
        <v>6.0666666666666664</v>
      </c>
      <c r="J564">
        <v>87.79</v>
      </c>
      <c r="K564">
        <v>3</v>
      </c>
      <c r="L56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64">
        <f>Clients_Churn_Part[[#This Row],[Facture_Mensuelle]]*Clients_Churn_Part[[#This Row],[Remise]]</f>
        <v>61.453000000000003</v>
      </c>
      <c r="N56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65" spans="1:14" x14ac:dyDescent="0.3">
      <c r="A565" t="s">
        <v>8</v>
      </c>
      <c r="B565" t="s">
        <v>75</v>
      </c>
      <c r="C565" t="s">
        <v>29</v>
      </c>
      <c r="D565">
        <v>27</v>
      </c>
      <c r="E565" s="7">
        <f>Clients_Churn_Part[[#This Row],[Anciennete_Mois]]/12</f>
        <v>2.25</v>
      </c>
      <c r="F565" t="s">
        <v>18</v>
      </c>
      <c r="G565" t="str">
        <f>IF(Clients_Churn_Part[[#This Row],[Type_Forfait]]="pro Monde","B2B","B2C")</f>
        <v>B2C</v>
      </c>
      <c r="H565">
        <v>275</v>
      </c>
      <c r="I565" s="2">
        <f>Clients_Churn_Part[[#This Row],[Duree_Cumulee_Panne_Min]]/60</f>
        <v>4.583333333333333</v>
      </c>
      <c r="J565">
        <v>80.069999999999993</v>
      </c>
      <c r="K565">
        <v>1</v>
      </c>
      <c r="L56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65">
        <f>Clients_Churn_Part[[#This Row],[Facture_Mensuelle]]*Clients_Churn_Part[[#This Row],[Remise]]</f>
        <v>0</v>
      </c>
      <c r="N56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66" spans="1:14" x14ac:dyDescent="0.3">
      <c r="A566" t="s">
        <v>405</v>
      </c>
      <c r="B566" t="s">
        <v>433</v>
      </c>
      <c r="C566" t="s">
        <v>31</v>
      </c>
      <c r="D566">
        <v>56</v>
      </c>
      <c r="E566" s="7">
        <f>Clients_Churn_Part[[#This Row],[Anciennete_Mois]]/12</f>
        <v>4.666666666666667</v>
      </c>
      <c r="F566" t="s">
        <v>18</v>
      </c>
      <c r="G566" t="str">
        <f>IF(Clients_Churn_Part[[#This Row],[Type_Forfait]]="pro Monde","B2B","B2C")</f>
        <v>B2C</v>
      </c>
      <c r="H566">
        <v>114</v>
      </c>
      <c r="I566" s="2">
        <f>Clients_Churn_Part[[#This Row],[Duree_Cumulee_Panne_Min]]/60</f>
        <v>1.9</v>
      </c>
      <c r="J566">
        <v>64.39</v>
      </c>
      <c r="K566">
        <v>1</v>
      </c>
      <c r="L56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66">
        <f>Clients_Churn_Part[[#This Row],[Facture_Mensuelle]]*Clients_Churn_Part[[#This Row],[Remise]]</f>
        <v>0</v>
      </c>
      <c r="N56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67" spans="1:14" x14ac:dyDescent="0.3">
      <c r="A567" t="s">
        <v>538</v>
      </c>
      <c r="B567" t="s">
        <v>539</v>
      </c>
      <c r="C567" t="s">
        <v>54</v>
      </c>
      <c r="D567">
        <v>51</v>
      </c>
      <c r="E567" s="7">
        <f>Clients_Churn_Part[[#This Row],[Anciennete_Mois]]/12</f>
        <v>4.25</v>
      </c>
      <c r="F567" t="s">
        <v>21</v>
      </c>
      <c r="G567" t="str">
        <f>IF(Clients_Churn_Part[[#This Row],[Type_Forfait]]="pro Monde","B2B","B2C")</f>
        <v>B2C</v>
      </c>
      <c r="H567">
        <v>152</v>
      </c>
      <c r="I567" s="2">
        <f>Clients_Churn_Part[[#This Row],[Duree_Cumulee_Panne_Min]]/60</f>
        <v>2.5333333333333332</v>
      </c>
      <c r="J567">
        <v>34.630000000000003</v>
      </c>
      <c r="K567">
        <v>2</v>
      </c>
      <c r="L56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67">
        <f>Clients_Churn_Part[[#This Row],[Facture_Mensuelle]]*Clients_Churn_Part[[#This Row],[Remise]]</f>
        <v>0</v>
      </c>
      <c r="N56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68" spans="1:14" x14ac:dyDescent="0.3">
      <c r="A568" t="s">
        <v>174</v>
      </c>
      <c r="B568" t="s">
        <v>203</v>
      </c>
      <c r="C568" t="s">
        <v>15</v>
      </c>
      <c r="D568">
        <v>26</v>
      </c>
      <c r="E568" s="7">
        <f>Clients_Churn_Part[[#This Row],[Anciennete_Mois]]/12</f>
        <v>2.1666666666666665</v>
      </c>
      <c r="F568" t="s">
        <v>18</v>
      </c>
      <c r="G568" t="str">
        <f>IF(Clients_Churn_Part[[#This Row],[Type_Forfait]]="pro Monde","B2B","B2C")</f>
        <v>B2C</v>
      </c>
      <c r="H568">
        <v>174</v>
      </c>
      <c r="I568" s="2">
        <f>Clients_Churn_Part[[#This Row],[Duree_Cumulee_Panne_Min]]/60</f>
        <v>2.9</v>
      </c>
      <c r="J568">
        <v>90.53</v>
      </c>
      <c r="K568">
        <v>3</v>
      </c>
      <c r="L56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68">
        <f>Clients_Churn_Part[[#This Row],[Facture_Mensuelle]]*Clients_Churn_Part[[#This Row],[Remise]]</f>
        <v>0</v>
      </c>
      <c r="N56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69" spans="1:14" x14ac:dyDescent="0.3">
      <c r="A569" t="s">
        <v>129</v>
      </c>
      <c r="B569" t="s">
        <v>149</v>
      </c>
      <c r="C569" t="s">
        <v>57</v>
      </c>
      <c r="D569">
        <v>60</v>
      </c>
      <c r="E569" s="7">
        <f>Clients_Churn_Part[[#This Row],[Anciennete_Mois]]/12</f>
        <v>5</v>
      </c>
      <c r="F569" t="s">
        <v>18</v>
      </c>
      <c r="G569" t="str">
        <f>IF(Clients_Churn_Part[[#This Row],[Type_Forfait]]="pro Monde","B2B","B2C")</f>
        <v>B2C</v>
      </c>
      <c r="H569">
        <v>168</v>
      </c>
      <c r="I569" s="2">
        <f>Clients_Churn_Part[[#This Row],[Duree_Cumulee_Panne_Min]]/60</f>
        <v>2.8</v>
      </c>
      <c r="J569">
        <v>67.650000000000006</v>
      </c>
      <c r="K569">
        <v>1</v>
      </c>
      <c r="L56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69">
        <f>Clients_Churn_Part[[#This Row],[Facture_Mensuelle]]*Clients_Churn_Part[[#This Row],[Remise]]</f>
        <v>0</v>
      </c>
      <c r="N56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70" spans="1:14" x14ac:dyDescent="0.3">
      <c r="A570" t="s">
        <v>8</v>
      </c>
      <c r="B570" t="s">
        <v>77</v>
      </c>
      <c r="C570" t="s">
        <v>48</v>
      </c>
      <c r="D570">
        <v>47</v>
      </c>
      <c r="E570" s="7">
        <f>Clients_Churn_Part[[#This Row],[Anciennete_Mois]]/12</f>
        <v>3.9166666666666665</v>
      </c>
      <c r="F570" t="s">
        <v>18</v>
      </c>
      <c r="G570" t="str">
        <f>IF(Clients_Churn_Part[[#This Row],[Type_Forfait]]="pro Monde","B2B","B2C")</f>
        <v>B2C</v>
      </c>
      <c r="H570">
        <v>199</v>
      </c>
      <c r="I570" s="2">
        <f>Clients_Churn_Part[[#This Row],[Duree_Cumulee_Panne_Min]]/60</f>
        <v>3.3166666666666669</v>
      </c>
      <c r="J570">
        <v>23.19</v>
      </c>
      <c r="K570">
        <v>2</v>
      </c>
      <c r="L57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70">
        <f>Clients_Churn_Part[[#This Row],[Facture_Mensuelle]]*Clients_Churn_Part[[#This Row],[Remise]]</f>
        <v>0</v>
      </c>
      <c r="N57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71" spans="1:14" x14ac:dyDescent="0.3">
      <c r="A571" t="s">
        <v>589</v>
      </c>
      <c r="B571" t="s">
        <v>617</v>
      </c>
      <c r="C571" t="s">
        <v>122</v>
      </c>
      <c r="D571">
        <v>7</v>
      </c>
      <c r="E571" s="7">
        <f>Clients_Churn_Part[[#This Row],[Anciennete_Mois]]/12</f>
        <v>0.58333333333333337</v>
      </c>
      <c r="F571" t="s">
        <v>18</v>
      </c>
      <c r="G571" t="str">
        <f>IF(Clients_Churn_Part[[#This Row],[Type_Forfait]]="pro Monde","B2B","B2C")</f>
        <v>B2C</v>
      </c>
      <c r="H571">
        <v>257</v>
      </c>
      <c r="I571" s="2">
        <f>Clients_Churn_Part[[#This Row],[Duree_Cumulee_Panne_Min]]/60</f>
        <v>4.2833333333333332</v>
      </c>
      <c r="J571">
        <v>73.040000000000006</v>
      </c>
      <c r="K571">
        <v>3</v>
      </c>
      <c r="L57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71">
        <f>Clients_Churn_Part[[#This Row],[Facture_Mensuelle]]*Clients_Churn_Part[[#This Row],[Remise]]</f>
        <v>0</v>
      </c>
      <c r="N57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72" spans="1:14" x14ac:dyDescent="0.3">
      <c r="A572" t="s">
        <v>314</v>
      </c>
      <c r="B572" t="s">
        <v>336</v>
      </c>
      <c r="C572" t="s">
        <v>9</v>
      </c>
      <c r="D572">
        <v>59</v>
      </c>
      <c r="E572" s="7">
        <f>Clients_Churn_Part[[#This Row],[Anciennete_Mois]]/12</f>
        <v>4.916666666666667</v>
      </c>
      <c r="F572" t="s">
        <v>13</v>
      </c>
      <c r="G572" t="str">
        <f>IF(Clients_Churn_Part[[#This Row],[Type_Forfait]]="pro Monde","B2B","B2C")</f>
        <v>B2B</v>
      </c>
      <c r="H572">
        <v>369</v>
      </c>
      <c r="I572" s="2">
        <f>Clients_Churn_Part[[#This Row],[Duree_Cumulee_Panne_Min]]/60</f>
        <v>6.15</v>
      </c>
      <c r="J572">
        <v>26.64</v>
      </c>
      <c r="K572">
        <v>4</v>
      </c>
      <c r="L57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572">
        <f>Clients_Churn_Part[[#This Row],[Facture_Mensuelle]]*Clients_Churn_Part[[#This Row],[Remise]]</f>
        <v>2.6640000000000001</v>
      </c>
      <c r="N57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73" spans="1:14" x14ac:dyDescent="0.3">
      <c r="A573" t="s">
        <v>589</v>
      </c>
      <c r="B573" t="s">
        <v>602</v>
      </c>
      <c r="C573" t="s">
        <v>59</v>
      </c>
      <c r="D573">
        <v>104</v>
      </c>
      <c r="E573" s="7">
        <f>Clients_Churn_Part[[#This Row],[Anciennete_Mois]]/12</f>
        <v>8.6666666666666661</v>
      </c>
      <c r="F573" t="s">
        <v>18</v>
      </c>
      <c r="G573" t="str">
        <f>IF(Clients_Churn_Part[[#This Row],[Type_Forfait]]="pro Monde","B2B","B2C")</f>
        <v>B2C</v>
      </c>
      <c r="H573">
        <v>243</v>
      </c>
      <c r="I573" s="2">
        <f>Clients_Churn_Part[[#This Row],[Duree_Cumulee_Panne_Min]]/60</f>
        <v>4.05</v>
      </c>
      <c r="J573">
        <v>65.819999999999993</v>
      </c>
      <c r="K573">
        <v>0</v>
      </c>
      <c r="L57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73">
        <f>Clients_Churn_Part[[#This Row],[Facture_Mensuelle]]*Clients_Churn_Part[[#This Row],[Remise]]</f>
        <v>46.073999999999991</v>
      </c>
      <c r="N57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74" spans="1:14" x14ac:dyDescent="0.3">
      <c r="A574" t="s">
        <v>267</v>
      </c>
      <c r="B574" t="s">
        <v>296</v>
      </c>
      <c r="C574" t="s">
        <v>24</v>
      </c>
      <c r="D574">
        <v>48</v>
      </c>
      <c r="E574" s="7">
        <f>Clients_Churn_Part[[#This Row],[Anciennete_Mois]]/12</f>
        <v>4</v>
      </c>
      <c r="F574" t="s">
        <v>21</v>
      </c>
      <c r="G574" t="str">
        <f>IF(Clients_Churn_Part[[#This Row],[Type_Forfait]]="pro Monde","B2B","B2C")</f>
        <v>B2C</v>
      </c>
      <c r="H574">
        <v>15</v>
      </c>
      <c r="I574" s="2">
        <f>Clients_Churn_Part[[#This Row],[Duree_Cumulee_Panne_Min]]/60</f>
        <v>0.25</v>
      </c>
      <c r="J574">
        <v>50.67</v>
      </c>
      <c r="K574">
        <v>1</v>
      </c>
      <c r="L57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574">
        <f>Clients_Churn_Part[[#This Row],[Facture_Mensuelle]]*Clients_Churn_Part[[#This Row],[Remise]]</f>
        <v>22.801500000000001</v>
      </c>
      <c r="N57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75" spans="1:14" x14ac:dyDescent="0.3">
      <c r="A575" t="s">
        <v>220</v>
      </c>
      <c r="B575" t="s">
        <v>252</v>
      </c>
      <c r="C575" t="s">
        <v>24</v>
      </c>
      <c r="D575">
        <v>71</v>
      </c>
      <c r="E575" s="7">
        <f>Clients_Churn_Part[[#This Row],[Anciennete_Mois]]/12</f>
        <v>5.916666666666667</v>
      </c>
      <c r="F575" t="s">
        <v>18</v>
      </c>
      <c r="G575" t="str">
        <f>IF(Clients_Churn_Part[[#This Row],[Type_Forfait]]="pro Monde","B2B","B2C")</f>
        <v>B2C</v>
      </c>
      <c r="H575">
        <v>364</v>
      </c>
      <c r="I575" s="2">
        <f>Clients_Churn_Part[[#This Row],[Duree_Cumulee_Panne_Min]]/60</f>
        <v>6.0666666666666664</v>
      </c>
      <c r="J575">
        <v>39.58</v>
      </c>
      <c r="K575">
        <v>1</v>
      </c>
      <c r="L57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75">
        <f>Clients_Churn_Part[[#This Row],[Facture_Mensuelle]]*Clients_Churn_Part[[#This Row],[Remise]]</f>
        <v>27.705999999999996</v>
      </c>
      <c r="N57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76" spans="1:14" x14ac:dyDescent="0.3">
      <c r="A576" t="s">
        <v>314</v>
      </c>
      <c r="B576" t="s">
        <v>342</v>
      </c>
      <c r="C576" t="s">
        <v>48</v>
      </c>
      <c r="D576">
        <v>88</v>
      </c>
      <c r="E576" s="7">
        <f>Clients_Churn_Part[[#This Row],[Anciennete_Mois]]/12</f>
        <v>7.333333333333333</v>
      </c>
      <c r="F576" t="s">
        <v>21</v>
      </c>
      <c r="G576" t="str">
        <f>IF(Clients_Churn_Part[[#This Row],[Type_Forfait]]="pro Monde","B2B","B2C")</f>
        <v>B2C</v>
      </c>
      <c r="H576">
        <v>154</v>
      </c>
      <c r="I576" s="2">
        <f>Clients_Churn_Part[[#This Row],[Duree_Cumulee_Panne_Min]]/60</f>
        <v>2.5666666666666669</v>
      </c>
      <c r="J576">
        <v>62.62</v>
      </c>
      <c r="K576">
        <v>5</v>
      </c>
      <c r="L57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76">
        <f>Clients_Churn_Part[[#This Row],[Facture_Mensuelle]]*Clients_Churn_Part[[#This Row],[Remise]]</f>
        <v>43.833999999999996</v>
      </c>
      <c r="N57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77" spans="1:14" x14ac:dyDescent="0.3">
      <c r="A577" t="s">
        <v>494</v>
      </c>
      <c r="B577" t="s">
        <v>513</v>
      </c>
      <c r="C577" t="s">
        <v>59</v>
      </c>
      <c r="D577">
        <v>119</v>
      </c>
      <c r="E577" s="7">
        <f>Clients_Churn_Part[[#This Row],[Anciennete_Mois]]/12</f>
        <v>9.9166666666666661</v>
      </c>
      <c r="F577" t="s">
        <v>21</v>
      </c>
      <c r="G577" t="str">
        <f>IF(Clients_Churn_Part[[#This Row],[Type_Forfait]]="pro Monde","B2B","B2C")</f>
        <v>B2C</v>
      </c>
      <c r="H577">
        <v>231</v>
      </c>
      <c r="I577" s="2">
        <f>Clients_Churn_Part[[#This Row],[Duree_Cumulee_Panne_Min]]/60</f>
        <v>3.85</v>
      </c>
      <c r="J577">
        <v>20.22</v>
      </c>
      <c r="K577">
        <v>2</v>
      </c>
      <c r="L57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77">
        <f>Clients_Churn_Part[[#This Row],[Facture_Mensuelle]]*Clients_Churn_Part[[#This Row],[Remise]]</f>
        <v>14.153999999999998</v>
      </c>
      <c r="N57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78" spans="1:14" x14ac:dyDescent="0.3">
      <c r="A578" t="s">
        <v>267</v>
      </c>
      <c r="B578" t="s">
        <v>310</v>
      </c>
      <c r="C578" t="s">
        <v>24</v>
      </c>
      <c r="D578">
        <v>81</v>
      </c>
      <c r="E578" s="7">
        <f>Clients_Churn_Part[[#This Row],[Anciennete_Mois]]/12</f>
        <v>6.75</v>
      </c>
      <c r="F578" t="s">
        <v>13</v>
      </c>
      <c r="G578" t="str">
        <f>IF(Clients_Churn_Part[[#This Row],[Type_Forfait]]="pro Monde","B2B","B2C")</f>
        <v>B2B</v>
      </c>
      <c r="H578">
        <v>298</v>
      </c>
      <c r="I578" s="2">
        <f>Clients_Churn_Part[[#This Row],[Duree_Cumulee_Panne_Min]]/60</f>
        <v>4.9666666666666668</v>
      </c>
      <c r="J578">
        <v>53.61</v>
      </c>
      <c r="K578">
        <v>2</v>
      </c>
      <c r="L57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78">
        <f>Clients_Churn_Part[[#This Row],[Facture_Mensuelle]]*Clients_Churn_Part[[#This Row],[Remise]]</f>
        <v>37.526999999999994</v>
      </c>
      <c r="N57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79" spans="1:14" x14ac:dyDescent="0.3">
      <c r="A579" t="s">
        <v>452</v>
      </c>
      <c r="B579" t="s">
        <v>463</v>
      </c>
      <c r="C579" t="s">
        <v>9</v>
      </c>
      <c r="D579">
        <v>45</v>
      </c>
      <c r="E579" s="7">
        <f>Clients_Churn_Part[[#This Row],[Anciennete_Mois]]/12</f>
        <v>3.75</v>
      </c>
      <c r="F579" t="s">
        <v>10</v>
      </c>
      <c r="G579" t="str">
        <f>IF(Clients_Churn_Part[[#This Row],[Type_Forfait]]="pro Monde","B2B","B2C")</f>
        <v>B2C</v>
      </c>
      <c r="H579">
        <v>244</v>
      </c>
      <c r="I579" s="2">
        <f>Clients_Churn_Part[[#This Row],[Duree_Cumulee_Panne_Min]]/60</f>
        <v>4.0666666666666664</v>
      </c>
      <c r="J579">
        <v>55.17</v>
      </c>
      <c r="K579">
        <v>2</v>
      </c>
      <c r="L57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579">
        <f>Clients_Churn_Part[[#This Row],[Facture_Mensuelle]]*Clients_Churn_Part[[#This Row],[Remise]]</f>
        <v>24.826500000000003</v>
      </c>
      <c r="N57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80" spans="1:14" x14ac:dyDescent="0.3">
      <c r="A580" t="s">
        <v>8</v>
      </c>
      <c r="B580" t="s">
        <v>43</v>
      </c>
      <c r="C580" t="s">
        <v>31</v>
      </c>
      <c r="D580">
        <v>86</v>
      </c>
      <c r="E580" s="7">
        <f>Clients_Churn_Part[[#This Row],[Anciennete_Mois]]/12</f>
        <v>7.166666666666667</v>
      </c>
      <c r="F580" t="s">
        <v>10</v>
      </c>
      <c r="G580" t="str">
        <f>IF(Clients_Churn_Part[[#This Row],[Type_Forfait]]="pro Monde","B2B","B2C")</f>
        <v>B2C</v>
      </c>
      <c r="H580">
        <v>471</v>
      </c>
      <c r="I580" s="2">
        <f>Clients_Churn_Part[[#This Row],[Duree_Cumulee_Panne_Min]]/60</f>
        <v>7.85</v>
      </c>
      <c r="J580">
        <v>33.380000000000003</v>
      </c>
      <c r="K580">
        <v>4</v>
      </c>
      <c r="L58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80">
        <f>Clients_Churn_Part[[#This Row],[Facture_Mensuelle]]*Clients_Churn_Part[[#This Row],[Remise]]</f>
        <v>23.366</v>
      </c>
      <c r="N58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81" spans="1:14" x14ac:dyDescent="0.3">
      <c r="A581" t="s">
        <v>267</v>
      </c>
      <c r="B581" t="s">
        <v>286</v>
      </c>
      <c r="C581" t="s">
        <v>17</v>
      </c>
      <c r="D581">
        <v>33</v>
      </c>
      <c r="E581" s="7">
        <f>Clients_Churn_Part[[#This Row],[Anciennete_Mois]]/12</f>
        <v>2.75</v>
      </c>
      <c r="F581" t="s">
        <v>10</v>
      </c>
      <c r="G581" t="str">
        <f>IF(Clients_Churn_Part[[#This Row],[Type_Forfait]]="pro Monde","B2B","B2C")</f>
        <v>B2C</v>
      </c>
      <c r="H581">
        <v>444</v>
      </c>
      <c r="I581" s="2">
        <f>Clients_Churn_Part[[#This Row],[Duree_Cumulee_Panne_Min]]/60</f>
        <v>7.4</v>
      </c>
      <c r="J581">
        <v>10.28</v>
      </c>
      <c r="K581">
        <v>5</v>
      </c>
      <c r="L58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581">
        <f>Clients_Churn_Part[[#This Row],[Facture_Mensuelle]]*Clients_Churn_Part[[#This Row],[Remise]]</f>
        <v>4.6259999999999994</v>
      </c>
      <c r="N58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82" spans="1:14" x14ac:dyDescent="0.3">
      <c r="A582" t="s">
        <v>129</v>
      </c>
      <c r="B582" t="s">
        <v>170</v>
      </c>
      <c r="C582" t="s">
        <v>31</v>
      </c>
      <c r="D582">
        <v>104</v>
      </c>
      <c r="E582" s="7">
        <f>Clients_Churn_Part[[#This Row],[Anciennete_Mois]]/12</f>
        <v>8.6666666666666661</v>
      </c>
      <c r="F582" t="s">
        <v>13</v>
      </c>
      <c r="G582" t="str">
        <f>IF(Clients_Churn_Part[[#This Row],[Type_Forfait]]="pro Monde","B2B","B2C")</f>
        <v>B2B</v>
      </c>
      <c r="H582">
        <v>317</v>
      </c>
      <c r="I582" s="2">
        <f>Clients_Churn_Part[[#This Row],[Duree_Cumulee_Panne_Min]]/60</f>
        <v>5.2833333333333332</v>
      </c>
      <c r="J582">
        <v>79.150000000000006</v>
      </c>
      <c r="K582">
        <v>1</v>
      </c>
      <c r="L58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82">
        <f>Clients_Churn_Part[[#This Row],[Facture_Mensuelle]]*Clients_Churn_Part[[#This Row],[Remise]]</f>
        <v>55.405000000000001</v>
      </c>
      <c r="N58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83" spans="1:14" x14ac:dyDescent="0.3">
      <c r="A583" t="s">
        <v>589</v>
      </c>
      <c r="B583" t="s">
        <v>626</v>
      </c>
      <c r="C583" t="s">
        <v>118</v>
      </c>
      <c r="D583">
        <v>90</v>
      </c>
      <c r="E583" s="7">
        <f>Clients_Churn_Part[[#This Row],[Anciennete_Mois]]/12</f>
        <v>7.5</v>
      </c>
      <c r="F583" t="s">
        <v>13</v>
      </c>
      <c r="G583" t="str">
        <f>IF(Clients_Churn_Part[[#This Row],[Type_Forfait]]="pro Monde","B2B","B2C")</f>
        <v>B2B</v>
      </c>
      <c r="H583">
        <v>195</v>
      </c>
      <c r="I583" s="2">
        <f>Clients_Churn_Part[[#This Row],[Duree_Cumulee_Panne_Min]]/60</f>
        <v>3.25</v>
      </c>
      <c r="J583">
        <v>52.71</v>
      </c>
      <c r="K583">
        <v>2</v>
      </c>
      <c r="L58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83">
        <f>Clients_Churn_Part[[#This Row],[Facture_Mensuelle]]*Clients_Churn_Part[[#This Row],[Remise]]</f>
        <v>36.896999999999998</v>
      </c>
      <c r="N58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84" spans="1:14" x14ac:dyDescent="0.3">
      <c r="A584" t="s">
        <v>8</v>
      </c>
      <c r="B584" t="s">
        <v>52</v>
      </c>
      <c r="C584" t="s">
        <v>33</v>
      </c>
      <c r="D584">
        <v>108</v>
      </c>
      <c r="E584" s="7">
        <f>Clients_Churn_Part[[#This Row],[Anciennete_Mois]]/12</f>
        <v>9</v>
      </c>
      <c r="F584" t="s">
        <v>21</v>
      </c>
      <c r="G584" t="str">
        <f>IF(Clients_Churn_Part[[#This Row],[Type_Forfait]]="pro Monde","B2B","B2C")</f>
        <v>B2C</v>
      </c>
      <c r="H584">
        <v>278</v>
      </c>
      <c r="I584" s="2">
        <f>Clients_Churn_Part[[#This Row],[Duree_Cumulee_Panne_Min]]/60</f>
        <v>4.6333333333333337</v>
      </c>
      <c r="J584">
        <v>40.51</v>
      </c>
      <c r="K584">
        <v>3</v>
      </c>
      <c r="L58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84">
        <f>Clients_Churn_Part[[#This Row],[Facture_Mensuelle]]*Clients_Churn_Part[[#This Row],[Remise]]</f>
        <v>28.356999999999996</v>
      </c>
      <c r="N58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85" spans="1:14" x14ac:dyDescent="0.3">
      <c r="A585" t="s">
        <v>682</v>
      </c>
      <c r="B585" t="s">
        <v>694</v>
      </c>
      <c r="C585" t="s">
        <v>68</v>
      </c>
      <c r="D585">
        <v>57</v>
      </c>
      <c r="E585" s="7">
        <f>Clients_Churn_Part[[#This Row],[Anciennete_Mois]]/12</f>
        <v>4.75</v>
      </c>
      <c r="F585" t="s">
        <v>21</v>
      </c>
      <c r="G585" t="str">
        <f>IF(Clients_Churn_Part[[#This Row],[Type_Forfait]]="pro Monde","B2B","B2C")</f>
        <v>B2C</v>
      </c>
      <c r="H585">
        <v>375</v>
      </c>
      <c r="I585" s="2">
        <f>Clients_Churn_Part[[#This Row],[Duree_Cumulee_Panne_Min]]/60</f>
        <v>6.25</v>
      </c>
      <c r="J585">
        <v>64.73</v>
      </c>
      <c r="K585">
        <v>1</v>
      </c>
      <c r="L58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85">
        <f>Clients_Churn_Part[[#This Row],[Facture_Mensuelle]]*Clients_Churn_Part[[#This Row],[Remise]]</f>
        <v>0</v>
      </c>
      <c r="N58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86" spans="1:14" x14ac:dyDescent="0.3">
      <c r="A586" t="s">
        <v>79</v>
      </c>
      <c r="B586" t="s">
        <v>123</v>
      </c>
      <c r="C586" t="s">
        <v>17</v>
      </c>
      <c r="D586">
        <v>72</v>
      </c>
      <c r="E586" s="7">
        <f>Clients_Churn_Part[[#This Row],[Anciennete_Mois]]/12</f>
        <v>6</v>
      </c>
      <c r="F586" t="s">
        <v>13</v>
      </c>
      <c r="G586" t="str">
        <f>IF(Clients_Churn_Part[[#This Row],[Type_Forfait]]="pro Monde","B2B","B2C")</f>
        <v>B2B</v>
      </c>
      <c r="H586">
        <v>333</v>
      </c>
      <c r="I586" s="2">
        <f>Clients_Churn_Part[[#This Row],[Duree_Cumulee_Panne_Min]]/60</f>
        <v>5.55</v>
      </c>
      <c r="J586">
        <v>34.57</v>
      </c>
      <c r="K586">
        <v>2</v>
      </c>
      <c r="L58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86">
        <f>Clients_Churn_Part[[#This Row],[Facture_Mensuelle]]*Clients_Churn_Part[[#This Row],[Remise]]</f>
        <v>24.198999999999998</v>
      </c>
      <c r="N58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87" spans="1:14" x14ac:dyDescent="0.3">
      <c r="A587" t="s">
        <v>267</v>
      </c>
      <c r="B587" t="s">
        <v>311</v>
      </c>
      <c r="C587" t="s">
        <v>122</v>
      </c>
      <c r="D587">
        <v>91</v>
      </c>
      <c r="E587" s="7">
        <f>Clients_Churn_Part[[#This Row],[Anciennete_Mois]]/12</f>
        <v>7.583333333333333</v>
      </c>
      <c r="F587" t="s">
        <v>21</v>
      </c>
      <c r="G587" t="str">
        <f>IF(Clients_Churn_Part[[#This Row],[Type_Forfait]]="pro Monde","B2B","B2C")</f>
        <v>B2C</v>
      </c>
      <c r="H587">
        <v>404</v>
      </c>
      <c r="I587" s="2">
        <f>Clients_Churn_Part[[#This Row],[Duree_Cumulee_Panne_Min]]/60</f>
        <v>6.7333333333333334</v>
      </c>
      <c r="J587">
        <v>76.53</v>
      </c>
      <c r="K587">
        <v>5</v>
      </c>
      <c r="L58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87">
        <f>Clients_Churn_Part[[#This Row],[Facture_Mensuelle]]*Clients_Churn_Part[[#This Row],[Remise]]</f>
        <v>53.570999999999998</v>
      </c>
      <c r="N58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88" spans="1:14" x14ac:dyDescent="0.3">
      <c r="A588" t="s">
        <v>174</v>
      </c>
      <c r="B588" t="s">
        <v>196</v>
      </c>
      <c r="C588" t="s">
        <v>31</v>
      </c>
      <c r="D588">
        <v>118</v>
      </c>
      <c r="E588" s="7">
        <f>Clients_Churn_Part[[#This Row],[Anciennete_Mois]]/12</f>
        <v>9.8333333333333339</v>
      </c>
      <c r="F588" t="s">
        <v>18</v>
      </c>
      <c r="G588" t="str">
        <f>IF(Clients_Churn_Part[[#This Row],[Type_Forfait]]="pro Monde","B2B","B2C")</f>
        <v>B2C</v>
      </c>
      <c r="H588">
        <v>300</v>
      </c>
      <c r="I588" s="2">
        <f>Clients_Churn_Part[[#This Row],[Duree_Cumulee_Panne_Min]]/60</f>
        <v>5</v>
      </c>
      <c r="J588">
        <v>98.22</v>
      </c>
      <c r="K588">
        <v>4</v>
      </c>
      <c r="L58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88">
        <f>Clients_Churn_Part[[#This Row],[Facture_Mensuelle]]*Clients_Churn_Part[[#This Row],[Remise]]</f>
        <v>68.753999999999991</v>
      </c>
      <c r="N58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89" spans="1:14" x14ac:dyDescent="0.3">
      <c r="A589" t="s">
        <v>589</v>
      </c>
      <c r="B589" t="s">
        <v>610</v>
      </c>
      <c r="C589" t="s">
        <v>9</v>
      </c>
      <c r="D589">
        <v>112</v>
      </c>
      <c r="E589" s="7">
        <f>Clients_Churn_Part[[#This Row],[Anciennete_Mois]]/12</f>
        <v>9.3333333333333339</v>
      </c>
      <c r="F589" t="s">
        <v>21</v>
      </c>
      <c r="G589" t="str">
        <f>IF(Clients_Churn_Part[[#This Row],[Type_Forfait]]="pro Monde","B2B","B2C")</f>
        <v>B2C</v>
      </c>
      <c r="H589">
        <v>281</v>
      </c>
      <c r="I589" s="2">
        <f>Clients_Churn_Part[[#This Row],[Duree_Cumulee_Panne_Min]]/60</f>
        <v>4.6833333333333336</v>
      </c>
      <c r="J589">
        <v>80.72</v>
      </c>
      <c r="K589">
        <v>2</v>
      </c>
      <c r="L58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89">
        <f>Clients_Churn_Part[[#This Row],[Facture_Mensuelle]]*Clients_Churn_Part[[#This Row],[Remise]]</f>
        <v>56.503999999999998</v>
      </c>
      <c r="N58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90" spans="1:14" x14ac:dyDescent="0.3">
      <c r="A590" t="s">
        <v>452</v>
      </c>
      <c r="B590" t="s">
        <v>486</v>
      </c>
      <c r="C590" t="s">
        <v>72</v>
      </c>
      <c r="D590">
        <v>93</v>
      </c>
      <c r="E590" s="7">
        <f>Clients_Churn_Part[[#This Row],[Anciennete_Mois]]/12</f>
        <v>7.75</v>
      </c>
      <c r="F590" t="s">
        <v>13</v>
      </c>
      <c r="G590" t="str">
        <f>IF(Clients_Churn_Part[[#This Row],[Type_Forfait]]="pro Monde","B2B","B2C")</f>
        <v>B2B</v>
      </c>
      <c r="H590">
        <v>153</v>
      </c>
      <c r="I590" s="2">
        <f>Clients_Churn_Part[[#This Row],[Duree_Cumulee_Panne_Min]]/60</f>
        <v>2.5499999999999998</v>
      </c>
      <c r="J590">
        <v>86.19</v>
      </c>
      <c r="K590">
        <v>0</v>
      </c>
      <c r="L59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90">
        <f>Clients_Churn_Part[[#This Row],[Facture_Mensuelle]]*Clients_Churn_Part[[#This Row],[Remise]]</f>
        <v>60.332999999999991</v>
      </c>
      <c r="N59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91" spans="1:14" x14ac:dyDescent="0.3">
      <c r="A591" t="s">
        <v>494</v>
      </c>
      <c r="B591" t="s">
        <v>534</v>
      </c>
      <c r="C591" t="s">
        <v>23</v>
      </c>
      <c r="D591">
        <v>48</v>
      </c>
      <c r="E591" s="7">
        <f>Clients_Churn_Part[[#This Row],[Anciennete_Mois]]/12</f>
        <v>4</v>
      </c>
      <c r="F591" t="s">
        <v>18</v>
      </c>
      <c r="G591" t="str">
        <f>IF(Clients_Churn_Part[[#This Row],[Type_Forfait]]="pro Monde","B2B","B2C")</f>
        <v>B2C</v>
      </c>
      <c r="H591">
        <v>482</v>
      </c>
      <c r="I591" s="2">
        <f>Clients_Churn_Part[[#This Row],[Duree_Cumulee_Panne_Min]]/60</f>
        <v>8.0333333333333332</v>
      </c>
      <c r="J591">
        <v>83.24</v>
      </c>
      <c r="K591">
        <v>0</v>
      </c>
      <c r="L59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91">
        <f>Clients_Churn_Part[[#This Row],[Facture_Mensuelle]]*Clients_Churn_Part[[#This Row],[Remise]]</f>
        <v>0</v>
      </c>
      <c r="N59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92" spans="1:14" x14ac:dyDescent="0.3">
      <c r="A592" t="s">
        <v>360</v>
      </c>
      <c r="B592" t="s">
        <v>398</v>
      </c>
      <c r="C592" t="s">
        <v>57</v>
      </c>
      <c r="D592">
        <v>22</v>
      </c>
      <c r="E592" s="7">
        <f>Clients_Churn_Part[[#This Row],[Anciennete_Mois]]/12</f>
        <v>1.8333333333333333</v>
      </c>
      <c r="F592" t="s">
        <v>13</v>
      </c>
      <c r="G592" t="str">
        <f>IF(Clients_Churn_Part[[#This Row],[Type_Forfait]]="pro Monde","B2B","B2C")</f>
        <v>B2B</v>
      </c>
      <c r="H592">
        <v>127</v>
      </c>
      <c r="I592" s="2">
        <f>Clients_Churn_Part[[#This Row],[Duree_Cumulee_Panne_Min]]/60</f>
        <v>2.1166666666666667</v>
      </c>
      <c r="J592">
        <v>49.06</v>
      </c>
      <c r="K592">
        <v>2</v>
      </c>
      <c r="L59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592">
        <f>Clients_Churn_Part[[#This Row],[Facture_Mensuelle]]*Clients_Churn_Part[[#This Row],[Remise]]</f>
        <v>4.9060000000000006</v>
      </c>
      <c r="N59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93" spans="1:14" x14ac:dyDescent="0.3">
      <c r="A593" t="s">
        <v>220</v>
      </c>
      <c r="B593" t="s">
        <v>229</v>
      </c>
      <c r="C593" t="s">
        <v>29</v>
      </c>
      <c r="D593">
        <v>87</v>
      </c>
      <c r="E593" s="7">
        <f>Clients_Churn_Part[[#This Row],[Anciennete_Mois]]/12</f>
        <v>7.25</v>
      </c>
      <c r="F593" t="s">
        <v>13</v>
      </c>
      <c r="G593" t="str">
        <f>IF(Clients_Churn_Part[[#This Row],[Type_Forfait]]="pro Monde","B2B","B2C")</f>
        <v>B2B</v>
      </c>
      <c r="H593">
        <v>205</v>
      </c>
      <c r="I593" s="2">
        <f>Clients_Churn_Part[[#This Row],[Duree_Cumulee_Panne_Min]]/60</f>
        <v>3.4166666666666665</v>
      </c>
      <c r="J593">
        <v>40.159999999999997</v>
      </c>
      <c r="K593">
        <v>5</v>
      </c>
      <c r="L59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93">
        <f>Clients_Churn_Part[[#This Row],[Facture_Mensuelle]]*Clients_Churn_Part[[#This Row],[Remise]]</f>
        <v>28.111999999999995</v>
      </c>
      <c r="N59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94" spans="1:14" x14ac:dyDescent="0.3">
      <c r="A594" t="s">
        <v>174</v>
      </c>
      <c r="B594" t="s">
        <v>207</v>
      </c>
      <c r="C594" t="s">
        <v>68</v>
      </c>
      <c r="D594">
        <v>51</v>
      </c>
      <c r="E594" s="7">
        <f>Clients_Churn_Part[[#This Row],[Anciennete_Mois]]/12</f>
        <v>4.25</v>
      </c>
      <c r="F594" t="s">
        <v>21</v>
      </c>
      <c r="G594" t="str">
        <f>IF(Clients_Churn_Part[[#This Row],[Type_Forfait]]="pro Monde","B2B","B2C")</f>
        <v>B2C</v>
      </c>
      <c r="H594">
        <v>433</v>
      </c>
      <c r="I594" s="2">
        <f>Clients_Churn_Part[[#This Row],[Duree_Cumulee_Panne_Min]]/60</f>
        <v>7.2166666666666668</v>
      </c>
      <c r="J594">
        <v>12.89</v>
      </c>
      <c r="K594">
        <v>1</v>
      </c>
      <c r="L59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94">
        <f>Clients_Churn_Part[[#This Row],[Facture_Mensuelle]]*Clients_Churn_Part[[#This Row],[Remise]]</f>
        <v>0</v>
      </c>
      <c r="N59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95" spans="1:14" x14ac:dyDescent="0.3">
      <c r="A595" t="s">
        <v>129</v>
      </c>
      <c r="B595" t="s">
        <v>137</v>
      </c>
      <c r="C595" t="s">
        <v>35</v>
      </c>
      <c r="D595">
        <v>55</v>
      </c>
      <c r="E595" s="7">
        <f>Clients_Churn_Part[[#This Row],[Anciennete_Mois]]/12</f>
        <v>4.583333333333333</v>
      </c>
      <c r="F595" t="s">
        <v>18</v>
      </c>
      <c r="G595" t="str">
        <f>IF(Clients_Churn_Part[[#This Row],[Type_Forfait]]="pro Monde","B2B","B2C")</f>
        <v>B2C</v>
      </c>
      <c r="H595">
        <v>407</v>
      </c>
      <c r="I595" s="2">
        <f>Clients_Churn_Part[[#This Row],[Duree_Cumulee_Panne_Min]]/60</f>
        <v>6.7833333333333332</v>
      </c>
      <c r="J595">
        <v>23.11</v>
      </c>
      <c r="K595">
        <v>0</v>
      </c>
      <c r="L59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95">
        <f>Clients_Churn_Part[[#This Row],[Facture_Mensuelle]]*Clients_Churn_Part[[#This Row],[Remise]]</f>
        <v>0</v>
      </c>
      <c r="N59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96" spans="1:14" x14ac:dyDescent="0.3">
      <c r="A596" t="s">
        <v>494</v>
      </c>
      <c r="B596" t="s">
        <v>505</v>
      </c>
      <c r="C596" t="s">
        <v>72</v>
      </c>
      <c r="D596">
        <v>99</v>
      </c>
      <c r="E596" s="7">
        <f>Clients_Churn_Part[[#This Row],[Anciennete_Mois]]/12</f>
        <v>8.25</v>
      </c>
      <c r="F596" t="s">
        <v>13</v>
      </c>
      <c r="G596" t="str">
        <f>IF(Clients_Churn_Part[[#This Row],[Type_Forfait]]="pro Monde","B2B","B2C")</f>
        <v>B2B</v>
      </c>
      <c r="H596">
        <v>42</v>
      </c>
      <c r="I596" s="2">
        <f>Clients_Churn_Part[[#This Row],[Duree_Cumulee_Panne_Min]]/60</f>
        <v>0.7</v>
      </c>
      <c r="J596">
        <v>98.77</v>
      </c>
      <c r="K596">
        <v>3</v>
      </c>
      <c r="L59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96">
        <f>Clients_Churn_Part[[#This Row],[Facture_Mensuelle]]*Clients_Churn_Part[[#This Row],[Remise]]</f>
        <v>69.138999999999996</v>
      </c>
      <c r="N59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97" spans="1:14" x14ac:dyDescent="0.3">
      <c r="A597" t="s">
        <v>79</v>
      </c>
      <c r="B597" t="s">
        <v>96</v>
      </c>
      <c r="C597" t="s">
        <v>41</v>
      </c>
      <c r="D597">
        <v>50</v>
      </c>
      <c r="E597" s="7">
        <f>Clients_Churn_Part[[#This Row],[Anciennete_Mois]]/12</f>
        <v>4.166666666666667</v>
      </c>
      <c r="F597" t="s">
        <v>18</v>
      </c>
      <c r="G597" t="str">
        <f>IF(Clients_Churn_Part[[#This Row],[Type_Forfait]]="pro Monde","B2B","B2C")</f>
        <v>B2C</v>
      </c>
      <c r="H597">
        <v>258</v>
      </c>
      <c r="I597" s="2">
        <f>Clients_Churn_Part[[#This Row],[Duree_Cumulee_Panne_Min]]/60</f>
        <v>4.3</v>
      </c>
      <c r="J597">
        <v>25.06</v>
      </c>
      <c r="K597">
        <v>4</v>
      </c>
      <c r="L59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97">
        <f>Clients_Churn_Part[[#This Row],[Facture_Mensuelle]]*Clients_Churn_Part[[#This Row],[Remise]]</f>
        <v>0</v>
      </c>
      <c r="N59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98" spans="1:14" x14ac:dyDescent="0.3">
      <c r="A598" t="s">
        <v>8</v>
      </c>
      <c r="B598" t="s">
        <v>70</v>
      </c>
      <c r="C598" t="s">
        <v>37</v>
      </c>
      <c r="D598">
        <v>22</v>
      </c>
      <c r="E598" s="7">
        <f>Clients_Churn_Part[[#This Row],[Anciennete_Mois]]/12</f>
        <v>1.8333333333333333</v>
      </c>
      <c r="F598" t="s">
        <v>21</v>
      </c>
      <c r="G598" t="str">
        <f>IF(Clients_Churn_Part[[#This Row],[Type_Forfait]]="pro Monde","B2B","B2C")</f>
        <v>B2C</v>
      </c>
      <c r="H598">
        <v>451</v>
      </c>
      <c r="I598" s="2">
        <f>Clients_Churn_Part[[#This Row],[Duree_Cumulee_Panne_Min]]/60</f>
        <v>7.5166666666666666</v>
      </c>
      <c r="J598">
        <v>76.38</v>
      </c>
      <c r="K598">
        <v>3</v>
      </c>
      <c r="L59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598">
        <f>Clients_Churn_Part[[#This Row],[Facture_Mensuelle]]*Clients_Churn_Part[[#This Row],[Remise]]</f>
        <v>0</v>
      </c>
      <c r="N59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599" spans="1:14" x14ac:dyDescent="0.3">
      <c r="A599" t="s">
        <v>538</v>
      </c>
      <c r="B599" t="s">
        <v>542</v>
      </c>
      <c r="C599" t="s">
        <v>57</v>
      </c>
      <c r="D599">
        <v>83</v>
      </c>
      <c r="E599" s="7">
        <f>Clients_Churn_Part[[#This Row],[Anciennete_Mois]]/12</f>
        <v>6.916666666666667</v>
      </c>
      <c r="F599" t="s">
        <v>13</v>
      </c>
      <c r="G599" t="str">
        <f>IF(Clients_Churn_Part[[#This Row],[Type_Forfait]]="pro Monde","B2B","B2C")</f>
        <v>B2B</v>
      </c>
      <c r="H599">
        <v>91</v>
      </c>
      <c r="I599" s="2">
        <f>Clients_Churn_Part[[#This Row],[Duree_Cumulee_Panne_Min]]/60</f>
        <v>1.5166666666666666</v>
      </c>
      <c r="J599">
        <v>73.73</v>
      </c>
      <c r="K599">
        <v>2</v>
      </c>
      <c r="L59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599">
        <f>Clients_Churn_Part[[#This Row],[Facture_Mensuelle]]*Clients_Churn_Part[[#This Row],[Remise]]</f>
        <v>51.610999999999997</v>
      </c>
      <c r="N59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00" spans="1:14" x14ac:dyDescent="0.3">
      <c r="A600" t="s">
        <v>360</v>
      </c>
      <c r="B600" t="s">
        <v>365</v>
      </c>
      <c r="C600" t="s">
        <v>118</v>
      </c>
      <c r="D600">
        <v>35</v>
      </c>
      <c r="E600" s="7">
        <f>Clients_Churn_Part[[#This Row],[Anciennete_Mois]]/12</f>
        <v>2.9166666666666665</v>
      </c>
      <c r="F600" t="s">
        <v>21</v>
      </c>
      <c r="G600" t="str">
        <f>IF(Clients_Churn_Part[[#This Row],[Type_Forfait]]="pro Monde","B2B","B2C")</f>
        <v>B2C</v>
      </c>
      <c r="H600">
        <v>421</v>
      </c>
      <c r="I600" s="2">
        <f>Clients_Churn_Part[[#This Row],[Duree_Cumulee_Panne_Min]]/60</f>
        <v>7.0166666666666666</v>
      </c>
      <c r="J600">
        <v>29.57</v>
      </c>
      <c r="K600">
        <v>5</v>
      </c>
      <c r="L60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600">
        <f>Clients_Churn_Part[[#This Row],[Facture_Mensuelle]]*Clients_Churn_Part[[#This Row],[Remise]]</f>
        <v>0</v>
      </c>
      <c r="N60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01" spans="1:14" x14ac:dyDescent="0.3">
      <c r="A601" t="s">
        <v>538</v>
      </c>
      <c r="B601" t="s">
        <v>588</v>
      </c>
      <c r="C601" t="s">
        <v>57</v>
      </c>
      <c r="D601">
        <v>99</v>
      </c>
      <c r="E601" s="7">
        <f>Clients_Churn_Part[[#This Row],[Anciennete_Mois]]/12</f>
        <v>8.25</v>
      </c>
      <c r="F601" t="s">
        <v>21</v>
      </c>
      <c r="G601" t="str">
        <f>IF(Clients_Churn_Part[[#This Row],[Type_Forfait]]="pro Monde","B2B","B2C")</f>
        <v>B2C</v>
      </c>
      <c r="H601">
        <v>137</v>
      </c>
      <c r="I601" s="2">
        <f>Clients_Churn_Part[[#This Row],[Duree_Cumulee_Panne_Min]]/60</f>
        <v>2.2833333333333332</v>
      </c>
      <c r="J601">
        <v>23.05</v>
      </c>
      <c r="K601">
        <v>4</v>
      </c>
      <c r="L60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01">
        <f>Clients_Churn_Part[[#This Row],[Facture_Mensuelle]]*Clients_Churn_Part[[#This Row],[Remise]]</f>
        <v>16.134999999999998</v>
      </c>
      <c r="N60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02" spans="1:14" x14ac:dyDescent="0.3">
      <c r="A602" t="s">
        <v>405</v>
      </c>
      <c r="B602" t="s">
        <v>417</v>
      </c>
      <c r="C602" t="s">
        <v>35</v>
      </c>
      <c r="D602">
        <v>115</v>
      </c>
      <c r="E602" s="7">
        <f>Clients_Churn_Part[[#This Row],[Anciennete_Mois]]/12</f>
        <v>9.5833333333333339</v>
      </c>
      <c r="F602" t="s">
        <v>13</v>
      </c>
      <c r="G602" t="str">
        <f>IF(Clients_Churn_Part[[#This Row],[Type_Forfait]]="pro Monde","B2B","B2C")</f>
        <v>B2B</v>
      </c>
      <c r="H602">
        <v>262</v>
      </c>
      <c r="I602" s="2">
        <f>Clients_Churn_Part[[#This Row],[Duree_Cumulee_Panne_Min]]/60</f>
        <v>4.3666666666666663</v>
      </c>
      <c r="J602">
        <v>66.34</v>
      </c>
      <c r="K602">
        <v>3</v>
      </c>
      <c r="L60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02">
        <f>Clients_Churn_Part[[#This Row],[Facture_Mensuelle]]*Clients_Churn_Part[[#This Row],[Remise]]</f>
        <v>46.438000000000002</v>
      </c>
      <c r="N60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03" spans="1:14" x14ac:dyDescent="0.3">
      <c r="A603" t="s">
        <v>360</v>
      </c>
      <c r="B603" t="s">
        <v>367</v>
      </c>
      <c r="C603" t="s">
        <v>62</v>
      </c>
      <c r="D603">
        <v>112</v>
      </c>
      <c r="E603" s="7">
        <f>Clients_Churn_Part[[#This Row],[Anciennete_Mois]]/12</f>
        <v>9.3333333333333339</v>
      </c>
      <c r="F603" t="s">
        <v>21</v>
      </c>
      <c r="G603" t="str">
        <f>IF(Clients_Churn_Part[[#This Row],[Type_Forfait]]="pro Monde","B2B","B2C")</f>
        <v>B2C</v>
      </c>
      <c r="H603">
        <v>483</v>
      </c>
      <c r="I603" s="2">
        <f>Clients_Churn_Part[[#This Row],[Duree_Cumulee_Panne_Min]]/60</f>
        <v>8.0500000000000007</v>
      </c>
      <c r="J603">
        <v>93.98</v>
      </c>
      <c r="K603">
        <v>0</v>
      </c>
      <c r="L60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03">
        <f>Clients_Churn_Part[[#This Row],[Facture_Mensuelle]]*Clients_Churn_Part[[#This Row],[Remise]]</f>
        <v>65.786000000000001</v>
      </c>
      <c r="N60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04" spans="1:14" x14ac:dyDescent="0.3">
      <c r="A604" t="s">
        <v>405</v>
      </c>
      <c r="B604" t="s">
        <v>418</v>
      </c>
      <c r="C604" t="s">
        <v>17</v>
      </c>
      <c r="D604">
        <v>7</v>
      </c>
      <c r="E604" s="7">
        <f>Clients_Churn_Part[[#This Row],[Anciennete_Mois]]/12</f>
        <v>0.58333333333333337</v>
      </c>
      <c r="F604" t="s">
        <v>18</v>
      </c>
      <c r="G604" t="str">
        <f>IF(Clients_Churn_Part[[#This Row],[Type_Forfait]]="pro Monde","B2B","B2C")</f>
        <v>B2C</v>
      </c>
      <c r="H604">
        <v>233</v>
      </c>
      <c r="I604" s="2">
        <f>Clients_Churn_Part[[#This Row],[Duree_Cumulee_Panne_Min]]/60</f>
        <v>3.8833333333333333</v>
      </c>
      <c r="J604">
        <v>10.94</v>
      </c>
      <c r="K604">
        <v>0</v>
      </c>
      <c r="L60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604">
        <f>Clients_Churn_Part[[#This Row],[Facture_Mensuelle]]*Clients_Churn_Part[[#This Row],[Remise]]</f>
        <v>0</v>
      </c>
      <c r="N60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05" spans="1:14" x14ac:dyDescent="0.3">
      <c r="A605" t="s">
        <v>174</v>
      </c>
      <c r="B605" t="s">
        <v>183</v>
      </c>
      <c r="C605" t="s">
        <v>57</v>
      </c>
      <c r="D605">
        <v>42</v>
      </c>
      <c r="E605" s="7">
        <f>Clients_Churn_Part[[#This Row],[Anciennete_Mois]]/12</f>
        <v>3.5</v>
      </c>
      <c r="F605" t="s">
        <v>13</v>
      </c>
      <c r="G605" t="str">
        <f>IF(Clients_Churn_Part[[#This Row],[Type_Forfait]]="pro Monde","B2B","B2C")</f>
        <v>B2B</v>
      </c>
      <c r="H605">
        <v>389</v>
      </c>
      <c r="I605" s="2">
        <f>Clients_Churn_Part[[#This Row],[Duree_Cumulee_Panne_Min]]/60</f>
        <v>6.4833333333333334</v>
      </c>
      <c r="J605">
        <v>80.08</v>
      </c>
      <c r="K605">
        <v>1</v>
      </c>
      <c r="L60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605">
        <f>Clients_Churn_Part[[#This Row],[Facture_Mensuelle]]*Clients_Churn_Part[[#This Row],[Remise]]</f>
        <v>8.0080000000000009</v>
      </c>
      <c r="N60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06" spans="1:14" x14ac:dyDescent="0.3">
      <c r="A606" t="s">
        <v>682</v>
      </c>
      <c r="B606" t="s">
        <v>721</v>
      </c>
      <c r="C606" t="s">
        <v>23</v>
      </c>
      <c r="D606">
        <v>104</v>
      </c>
      <c r="E606" s="7">
        <f>Clients_Churn_Part[[#This Row],[Anciennete_Mois]]/12</f>
        <v>8.6666666666666661</v>
      </c>
      <c r="F606" t="s">
        <v>18</v>
      </c>
      <c r="G606" t="str">
        <f>IF(Clients_Churn_Part[[#This Row],[Type_Forfait]]="pro Monde","B2B","B2C")</f>
        <v>B2C</v>
      </c>
      <c r="H606">
        <v>245</v>
      </c>
      <c r="I606" s="2">
        <f>Clients_Churn_Part[[#This Row],[Duree_Cumulee_Panne_Min]]/60</f>
        <v>4.083333333333333</v>
      </c>
      <c r="J606">
        <v>38.270000000000003</v>
      </c>
      <c r="K606">
        <v>0</v>
      </c>
      <c r="L60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06">
        <f>Clients_Churn_Part[[#This Row],[Facture_Mensuelle]]*Clients_Churn_Part[[#This Row],[Remise]]</f>
        <v>26.789000000000001</v>
      </c>
      <c r="N60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07" spans="1:14" x14ac:dyDescent="0.3">
      <c r="A607" t="s">
        <v>682</v>
      </c>
      <c r="B607" t="s">
        <v>701</v>
      </c>
      <c r="C607" t="s">
        <v>83</v>
      </c>
      <c r="D607">
        <v>23</v>
      </c>
      <c r="E607" s="7">
        <f>Clients_Churn_Part[[#This Row],[Anciennete_Mois]]/12</f>
        <v>1.9166666666666667</v>
      </c>
      <c r="F607" t="s">
        <v>13</v>
      </c>
      <c r="G607" t="str">
        <f>IF(Clients_Churn_Part[[#This Row],[Type_Forfait]]="pro Monde","B2B","B2C")</f>
        <v>B2B</v>
      </c>
      <c r="H607">
        <v>120</v>
      </c>
      <c r="I607" s="2">
        <f>Clients_Churn_Part[[#This Row],[Duree_Cumulee_Panne_Min]]/60</f>
        <v>2</v>
      </c>
      <c r="J607">
        <v>73.12</v>
      </c>
      <c r="K607">
        <v>1</v>
      </c>
      <c r="L60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607">
        <f>Clients_Churn_Part[[#This Row],[Facture_Mensuelle]]*Clients_Churn_Part[[#This Row],[Remise]]</f>
        <v>7.3120000000000012</v>
      </c>
      <c r="N60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08" spans="1:14" x14ac:dyDescent="0.3">
      <c r="A608" t="s">
        <v>314</v>
      </c>
      <c r="B608" t="s">
        <v>315</v>
      </c>
      <c r="C608" t="s">
        <v>15</v>
      </c>
      <c r="D608">
        <v>76</v>
      </c>
      <c r="E608" s="7">
        <f>Clients_Churn_Part[[#This Row],[Anciennete_Mois]]/12</f>
        <v>6.333333333333333</v>
      </c>
      <c r="F608" t="s">
        <v>18</v>
      </c>
      <c r="G608" t="str">
        <f>IF(Clients_Churn_Part[[#This Row],[Type_Forfait]]="pro Monde","B2B","B2C")</f>
        <v>B2C</v>
      </c>
      <c r="H608">
        <v>192</v>
      </c>
      <c r="I608" s="2">
        <f>Clients_Churn_Part[[#This Row],[Duree_Cumulee_Panne_Min]]/60</f>
        <v>3.2</v>
      </c>
      <c r="J608">
        <v>68.53</v>
      </c>
      <c r="K608">
        <v>0</v>
      </c>
      <c r="L60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08">
        <f>Clients_Churn_Part[[#This Row],[Facture_Mensuelle]]*Clients_Churn_Part[[#This Row],[Remise]]</f>
        <v>47.970999999999997</v>
      </c>
      <c r="N60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09" spans="1:14" x14ac:dyDescent="0.3">
      <c r="A609" t="s">
        <v>360</v>
      </c>
      <c r="B609" t="s">
        <v>393</v>
      </c>
      <c r="C609" t="s">
        <v>29</v>
      </c>
      <c r="D609">
        <v>35</v>
      </c>
      <c r="E609" s="7">
        <f>Clients_Churn_Part[[#This Row],[Anciennete_Mois]]/12</f>
        <v>2.9166666666666665</v>
      </c>
      <c r="F609" t="s">
        <v>13</v>
      </c>
      <c r="G609" t="str">
        <f>IF(Clients_Churn_Part[[#This Row],[Type_Forfait]]="pro Monde","B2B","B2C")</f>
        <v>B2B</v>
      </c>
      <c r="H609">
        <v>496</v>
      </c>
      <c r="I609" s="2">
        <f>Clients_Churn_Part[[#This Row],[Duree_Cumulee_Panne_Min]]/60</f>
        <v>8.2666666666666675</v>
      </c>
      <c r="J609">
        <v>19.78</v>
      </c>
      <c r="K609">
        <v>5</v>
      </c>
      <c r="L60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609">
        <f>Clients_Churn_Part[[#This Row],[Facture_Mensuelle]]*Clients_Churn_Part[[#This Row],[Remise]]</f>
        <v>1.9780000000000002</v>
      </c>
      <c r="N60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10" spans="1:14" x14ac:dyDescent="0.3">
      <c r="A610" t="s">
        <v>8</v>
      </c>
      <c r="B610" t="s">
        <v>53</v>
      </c>
      <c r="C610" t="s">
        <v>54</v>
      </c>
      <c r="D610">
        <v>97</v>
      </c>
      <c r="E610" s="7">
        <f>Clients_Churn_Part[[#This Row],[Anciennete_Mois]]/12</f>
        <v>8.0833333333333339</v>
      </c>
      <c r="F610" t="s">
        <v>13</v>
      </c>
      <c r="G610" t="str">
        <f>IF(Clients_Churn_Part[[#This Row],[Type_Forfait]]="pro Monde","B2B","B2C")</f>
        <v>B2B</v>
      </c>
      <c r="H610">
        <v>319</v>
      </c>
      <c r="I610" s="2">
        <f>Clients_Churn_Part[[#This Row],[Duree_Cumulee_Panne_Min]]/60</f>
        <v>5.3166666666666664</v>
      </c>
      <c r="J610">
        <v>31.25</v>
      </c>
      <c r="K610">
        <v>1</v>
      </c>
      <c r="L61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10">
        <f>Clients_Churn_Part[[#This Row],[Facture_Mensuelle]]*Clients_Churn_Part[[#This Row],[Remise]]</f>
        <v>21.875</v>
      </c>
      <c r="N61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11" spans="1:14" x14ac:dyDescent="0.3">
      <c r="A611" t="s">
        <v>174</v>
      </c>
      <c r="B611" t="s">
        <v>210</v>
      </c>
      <c r="C611" t="s">
        <v>17</v>
      </c>
      <c r="D611">
        <v>114</v>
      </c>
      <c r="E611" s="7">
        <f>Clients_Churn_Part[[#This Row],[Anciennete_Mois]]/12</f>
        <v>9.5</v>
      </c>
      <c r="F611" t="s">
        <v>10</v>
      </c>
      <c r="G611" t="str">
        <f>IF(Clients_Churn_Part[[#This Row],[Type_Forfait]]="pro Monde","B2B","B2C")</f>
        <v>B2C</v>
      </c>
      <c r="H611">
        <v>482</v>
      </c>
      <c r="I611" s="2">
        <f>Clients_Churn_Part[[#This Row],[Duree_Cumulee_Panne_Min]]/60</f>
        <v>8.0333333333333332</v>
      </c>
      <c r="J611">
        <v>16.25</v>
      </c>
      <c r="K611">
        <v>3</v>
      </c>
      <c r="L61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11">
        <f>Clients_Churn_Part[[#This Row],[Facture_Mensuelle]]*Clients_Churn_Part[[#This Row],[Remise]]</f>
        <v>11.375</v>
      </c>
      <c r="N61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12" spans="1:14" x14ac:dyDescent="0.3">
      <c r="A612" t="s">
        <v>589</v>
      </c>
      <c r="B612" t="s">
        <v>609</v>
      </c>
      <c r="C612" t="s">
        <v>23</v>
      </c>
      <c r="D612">
        <v>89</v>
      </c>
      <c r="E612" s="7">
        <f>Clients_Churn_Part[[#This Row],[Anciennete_Mois]]/12</f>
        <v>7.416666666666667</v>
      </c>
      <c r="F612" t="s">
        <v>18</v>
      </c>
      <c r="G612" t="str">
        <f>IF(Clients_Churn_Part[[#This Row],[Type_Forfait]]="pro Monde","B2B","B2C")</f>
        <v>B2C</v>
      </c>
      <c r="H612">
        <v>474</v>
      </c>
      <c r="I612" s="2">
        <f>Clients_Churn_Part[[#This Row],[Duree_Cumulee_Panne_Min]]/60</f>
        <v>7.9</v>
      </c>
      <c r="J612">
        <v>28.51</v>
      </c>
      <c r="K612">
        <v>5</v>
      </c>
      <c r="L61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12">
        <f>Clients_Churn_Part[[#This Row],[Facture_Mensuelle]]*Clients_Churn_Part[[#This Row],[Remise]]</f>
        <v>19.957000000000001</v>
      </c>
      <c r="N61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13" spans="1:14" x14ac:dyDescent="0.3">
      <c r="A613" t="s">
        <v>314</v>
      </c>
      <c r="B613" t="s">
        <v>337</v>
      </c>
      <c r="C613" t="s">
        <v>23</v>
      </c>
      <c r="D613">
        <v>41</v>
      </c>
      <c r="E613" s="7">
        <f>Clients_Churn_Part[[#This Row],[Anciennete_Mois]]/12</f>
        <v>3.4166666666666665</v>
      </c>
      <c r="F613" t="s">
        <v>13</v>
      </c>
      <c r="G613" t="str">
        <f>IF(Clients_Churn_Part[[#This Row],[Type_Forfait]]="pro Monde","B2B","B2C")</f>
        <v>B2B</v>
      </c>
      <c r="H613">
        <v>206</v>
      </c>
      <c r="I613" s="2">
        <f>Clients_Churn_Part[[#This Row],[Duree_Cumulee_Panne_Min]]/60</f>
        <v>3.4333333333333331</v>
      </c>
      <c r="J613">
        <v>83.16</v>
      </c>
      <c r="K613">
        <v>2</v>
      </c>
      <c r="L61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613">
        <f>Clients_Churn_Part[[#This Row],[Facture_Mensuelle]]*Clients_Churn_Part[[#This Row],[Remise]]</f>
        <v>8.3160000000000007</v>
      </c>
      <c r="N61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14" spans="1:14" x14ac:dyDescent="0.3">
      <c r="A614" t="s">
        <v>8</v>
      </c>
      <c r="B614" t="s">
        <v>63</v>
      </c>
      <c r="C614" t="s">
        <v>20</v>
      </c>
      <c r="D614">
        <v>110</v>
      </c>
      <c r="E614" s="7">
        <f>Clients_Churn_Part[[#This Row],[Anciennete_Mois]]/12</f>
        <v>9.1666666666666661</v>
      </c>
      <c r="F614" t="s">
        <v>21</v>
      </c>
      <c r="G614" t="str">
        <f>IF(Clients_Churn_Part[[#This Row],[Type_Forfait]]="pro Monde","B2B","B2C")</f>
        <v>B2C</v>
      </c>
      <c r="H614">
        <v>454</v>
      </c>
      <c r="I614" s="2">
        <f>Clients_Churn_Part[[#This Row],[Duree_Cumulee_Panne_Min]]/60</f>
        <v>7.5666666666666664</v>
      </c>
      <c r="J614">
        <v>31.05</v>
      </c>
      <c r="K614">
        <v>1</v>
      </c>
      <c r="L61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14">
        <f>Clients_Churn_Part[[#This Row],[Facture_Mensuelle]]*Clients_Churn_Part[[#This Row],[Remise]]</f>
        <v>21.734999999999999</v>
      </c>
      <c r="N61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15" spans="1:14" x14ac:dyDescent="0.3">
      <c r="A615" t="s">
        <v>452</v>
      </c>
      <c r="B615" t="s">
        <v>469</v>
      </c>
      <c r="C615" t="s">
        <v>9</v>
      </c>
      <c r="D615">
        <v>85</v>
      </c>
      <c r="E615" s="7">
        <f>Clients_Churn_Part[[#This Row],[Anciennete_Mois]]/12</f>
        <v>7.083333333333333</v>
      </c>
      <c r="F615" t="s">
        <v>13</v>
      </c>
      <c r="G615" t="str">
        <f>IF(Clients_Churn_Part[[#This Row],[Type_Forfait]]="pro Monde","B2B","B2C")</f>
        <v>B2B</v>
      </c>
      <c r="H615">
        <v>75</v>
      </c>
      <c r="I615" s="2">
        <f>Clients_Churn_Part[[#This Row],[Duree_Cumulee_Panne_Min]]/60</f>
        <v>1.25</v>
      </c>
      <c r="J615">
        <v>98.01</v>
      </c>
      <c r="K615">
        <v>1</v>
      </c>
      <c r="L61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15">
        <f>Clients_Churn_Part[[#This Row],[Facture_Mensuelle]]*Clients_Churn_Part[[#This Row],[Remise]]</f>
        <v>68.606999999999999</v>
      </c>
      <c r="N61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16" spans="1:14" x14ac:dyDescent="0.3">
      <c r="A616" t="s">
        <v>538</v>
      </c>
      <c r="B616" t="s">
        <v>541</v>
      </c>
      <c r="C616" t="s">
        <v>118</v>
      </c>
      <c r="D616">
        <v>79</v>
      </c>
      <c r="E616" s="7">
        <f>Clients_Churn_Part[[#This Row],[Anciennete_Mois]]/12</f>
        <v>6.583333333333333</v>
      </c>
      <c r="F616" t="s">
        <v>18</v>
      </c>
      <c r="G616" t="str">
        <f>IF(Clients_Churn_Part[[#This Row],[Type_Forfait]]="pro Monde","B2B","B2C")</f>
        <v>B2C</v>
      </c>
      <c r="H616">
        <v>462</v>
      </c>
      <c r="I616" s="2">
        <f>Clients_Churn_Part[[#This Row],[Duree_Cumulee_Panne_Min]]/60</f>
        <v>7.7</v>
      </c>
      <c r="J616">
        <v>18.28</v>
      </c>
      <c r="K616">
        <v>0</v>
      </c>
      <c r="L61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16">
        <f>Clients_Churn_Part[[#This Row],[Facture_Mensuelle]]*Clients_Churn_Part[[#This Row],[Remise]]</f>
        <v>12.795999999999999</v>
      </c>
      <c r="N61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17" spans="1:14" x14ac:dyDescent="0.3">
      <c r="A617" t="s">
        <v>637</v>
      </c>
      <c r="B617" t="s">
        <v>661</v>
      </c>
      <c r="C617" t="s">
        <v>33</v>
      </c>
      <c r="D617">
        <v>46</v>
      </c>
      <c r="E617" s="7">
        <f>Clients_Churn_Part[[#This Row],[Anciennete_Mois]]/12</f>
        <v>3.8333333333333335</v>
      </c>
      <c r="F617" t="s">
        <v>10</v>
      </c>
      <c r="G617" t="str">
        <f>IF(Clients_Churn_Part[[#This Row],[Type_Forfait]]="pro Monde","B2B","B2C")</f>
        <v>B2C</v>
      </c>
      <c r="H617">
        <v>43</v>
      </c>
      <c r="I617" s="2">
        <f>Clients_Churn_Part[[#This Row],[Duree_Cumulee_Panne_Min]]/60</f>
        <v>0.71666666666666667</v>
      </c>
      <c r="J617">
        <v>98.44</v>
      </c>
      <c r="K617">
        <v>2</v>
      </c>
      <c r="L61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617">
        <f>Clients_Churn_Part[[#This Row],[Facture_Mensuelle]]*Clients_Churn_Part[[#This Row],[Remise]]</f>
        <v>44.298000000000002</v>
      </c>
      <c r="N61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18" spans="1:14" x14ac:dyDescent="0.3">
      <c r="A618" t="s">
        <v>129</v>
      </c>
      <c r="B618" t="s">
        <v>164</v>
      </c>
      <c r="C618" t="s">
        <v>62</v>
      </c>
      <c r="D618">
        <v>1</v>
      </c>
      <c r="E618" s="7">
        <f>Clients_Churn_Part[[#This Row],[Anciennete_Mois]]/12</f>
        <v>8.3333333333333329E-2</v>
      </c>
      <c r="F618" t="s">
        <v>13</v>
      </c>
      <c r="G618" t="str">
        <f>IF(Clients_Churn_Part[[#This Row],[Type_Forfait]]="pro Monde","B2B","B2C")</f>
        <v>B2B</v>
      </c>
      <c r="H618">
        <v>326</v>
      </c>
      <c r="I618" s="2">
        <f>Clients_Churn_Part[[#This Row],[Duree_Cumulee_Panne_Min]]/60</f>
        <v>5.4333333333333336</v>
      </c>
      <c r="J618">
        <v>54.63</v>
      </c>
      <c r="K618">
        <v>3</v>
      </c>
      <c r="L61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618">
        <f>Clients_Churn_Part[[#This Row],[Facture_Mensuelle]]*Clients_Churn_Part[[#This Row],[Remise]]</f>
        <v>5.463000000000001</v>
      </c>
      <c r="N61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19" spans="1:14" x14ac:dyDescent="0.3">
      <c r="A619" t="s">
        <v>637</v>
      </c>
      <c r="B619" t="s">
        <v>680</v>
      </c>
      <c r="C619" t="s">
        <v>118</v>
      </c>
      <c r="D619">
        <v>26</v>
      </c>
      <c r="E619" s="7">
        <f>Clients_Churn_Part[[#This Row],[Anciennete_Mois]]/12</f>
        <v>2.1666666666666665</v>
      </c>
      <c r="F619" t="s">
        <v>10</v>
      </c>
      <c r="G619" t="str">
        <f>IF(Clients_Churn_Part[[#This Row],[Type_Forfait]]="pro Monde","B2B","B2C")</f>
        <v>B2C</v>
      </c>
      <c r="H619">
        <v>378</v>
      </c>
      <c r="I619" s="2">
        <f>Clients_Churn_Part[[#This Row],[Duree_Cumulee_Panne_Min]]/60</f>
        <v>6.3</v>
      </c>
      <c r="J619">
        <v>45.21</v>
      </c>
      <c r="K619">
        <v>5</v>
      </c>
      <c r="L61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619">
        <f>Clients_Churn_Part[[#This Row],[Facture_Mensuelle]]*Clients_Churn_Part[[#This Row],[Remise]]</f>
        <v>20.3445</v>
      </c>
      <c r="N61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20" spans="1:14" x14ac:dyDescent="0.3">
      <c r="A620" t="s">
        <v>494</v>
      </c>
      <c r="B620" t="s">
        <v>515</v>
      </c>
      <c r="C620" t="s">
        <v>12</v>
      </c>
      <c r="D620">
        <v>73</v>
      </c>
      <c r="E620" s="7">
        <f>Clients_Churn_Part[[#This Row],[Anciennete_Mois]]/12</f>
        <v>6.083333333333333</v>
      </c>
      <c r="F620" t="s">
        <v>13</v>
      </c>
      <c r="G620" t="str">
        <f>IF(Clients_Churn_Part[[#This Row],[Type_Forfait]]="pro Monde","B2B","B2C")</f>
        <v>B2B</v>
      </c>
      <c r="H620">
        <v>268</v>
      </c>
      <c r="I620" s="2">
        <f>Clients_Churn_Part[[#This Row],[Duree_Cumulee_Panne_Min]]/60</f>
        <v>4.4666666666666668</v>
      </c>
      <c r="J620">
        <v>56.86</v>
      </c>
      <c r="K620">
        <v>5</v>
      </c>
      <c r="L62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20">
        <f>Clients_Churn_Part[[#This Row],[Facture_Mensuelle]]*Clients_Churn_Part[[#This Row],[Remise]]</f>
        <v>39.802</v>
      </c>
      <c r="N62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21" spans="1:14" x14ac:dyDescent="0.3">
      <c r="A621" t="s">
        <v>129</v>
      </c>
      <c r="B621" t="s">
        <v>146</v>
      </c>
      <c r="C621" t="s">
        <v>68</v>
      </c>
      <c r="D621">
        <v>16</v>
      </c>
      <c r="E621" s="7">
        <f>Clients_Churn_Part[[#This Row],[Anciennete_Mois]]/12</f>
        <v>1.3333333333333333</v>
      </c>
      <c r="F621" t="s">
        <v>18</v>
      </c>
      <c r="G621" t="str">
        <f>IF(Clients_Churn_Part[[#This Row],[Type_Forfait]]="pro Monde","B2B","B2C")</f>
        <v>B2C</v>
      </c>
      <c r="H621">
        <v>13</v>
      </c>
      <c r="I621" s="2">
        <f>Clients_Churn_Part[[#This Row],[Duree_Cumulee_Panne_Min]]/60</f>
        <v>0.21666666666666667</v>
      </c>
      <c r="J621">
        <v>14.91</v>
      </c>
      <c r="K621">
        <v>1</v>
      </c>
      <c r="L62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621">
        <f>Clients_Churn_Part[[#This Row],[Facture_Mensuelle]]*Clients_Churn_Part[[#This Row],[Remise]]</f>
        <v>6.7095000000000002</v>
      </c>
      <c r="N62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22" spans="1:14" x14ac:dyDescent="0.3">
      <c r="A622" t="s">
        <v>8</v>
      </c>
      <c r="B622" t="s">
        <v>19</v>
      </c>
      <c r="C622" t="s">
        <v>20</v>
      </c>
      <c r="D622">
        <v>101</v>
      </c>
      <c r="E622" s="7">
        <f>Clients_Churn_Part[[#This Row],[Anciennete_Mois]]/12</f>
        <v>8.4166666666666661</v>
      </c>
      <c r="F622" t="s">
        <v>21</v>
      </c>
      <c r="G622" t="str">
        <f>IF(Clients_Churn_Part[[#This Row],[Type_Forfait]]="pro Monde","B2B","B2C")</f>
        <v>B2C</v>
      </c>
      <c r="H622">
        <v>358</v>
      </c>
      <c r="I622" s="2">
        <f>Clients_Churn_Part[[#This Row],[Duree_Cumulee_Panne_Min]]/60</f>
        <v>5.9666666666666668</v>
      </c>
      <c r="J622">
        <v>29.24</v>
      </c>
      <c r="K622">
        <v>3</v>
      </c>
      <c r="L62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22">
        <f>Clients_Churn_Part[[#This Row],[Facture_Mensuelle]]*Clients_Churn_Part[[#This Row],[Remise]]</f>
        <v>20.467999999999996</v>
      </c>
      <c r="N62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23" spans="1:14" x14ac:dyDescent="0.3">
      <c r="A623" t="s">
        <v>452</v>
      </c>
      <c r="B623" t="s">
        <v>475</v>
      </c>
      <c r="C623" t="s">
        <v>12</v>
      </c>
      <c r="D623">
        <v>103</v>
      </c>
      <c r="E623" s="7">
        <f>Clients_Churn_Part[[#This Row],[Anciennete_Mois]]/12</f>
        <v>8.5833333333333339</v>
      </c>
      <c r="F623" t="s">
        <v>21</v>
      </c>
      <c r="G623" t="str">
        <f>IF(Clients_Churn_Part[[#This Row],[Type_Forfait]]="pro Monde","B2B","B2C")</f>
        <v>B2C</v>
      </c>
      <c r="H623">
        <v>291</v>
      </c>
      <c r="I623" s="2">
        <f>Clients_Churn_Part[[#This Row],[Duree_Cumulee_Panne_Min]]/60</f>
        <v>4.8499999999999996</v>
      </c>
      <c r="J623">
        <v>60.34</v>
      </c>
      <c r="K623">
        <v>5</v>
      </c>
      <c r="L62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23">
        <f>Clients_Churn_Part[[#This Row],[Facture_Mensuelle]]*Clients_Churn_Part[[#This Row],[Remise]]</f>
        <v>42.238</v>
      </c>
      <c r="N62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24" spans="1:14" x14ac:dyDescent="0.3">
      <c r="A624" t="s">
        <v>174</v>
      </c>
      <c r="B624" t="s">
        <v>189</v>
      </c>
      <c r="C624" t="s">
        <v>9</v>
      </c>
      <c r="D624">
        <v>92</v>
      </c>
      <c r="E624" s="7">
        <f>Clients_Churn_Part[[#This Row],[Anciennete_Mois]]/12</f>
        <v>7.666666666666667</v>
      </c>
      <c r="F624" t="s">
        <v>10</v>
      </c>
      <c r="G624" t="str">
        <f>IF(Clients_Churn_Part[[#This Row],[Type_Forfait]]="pro Monde","B2B","B2C")</f>
        <v>B2C</v>
      </c>
      <c r="H624">
        <v>116</v>
      </c>
      <c r="I624" s="2">
        <f>Clients_Churn_Part[[#This Row],[Duree_Cumulee_Panne_Min]]/60</f>
        <v>1.9333333333333333</v>
      </c>
      <c r="J624">
        <v>23.83</v>
      </c>
      <c r="K624">
        <v>3</v>
      </c>
      <c r="L62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24">
        <f>Clients_Churn_Part[[#This Row],[Facture_Mensuelle]]*Clients_Churn_Part[[#This Row],[Remise]]</f>
        <v>16.680999999999997</v>
      </c>
      <c r="N62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25" spans="1:14" x14ac:dyDescent="0.3">
      <c r="A625" t="s">
        <v>589</v>
      </c>
      <c r="B625" t="s">
        <v>605</v>
      </c>
      <c r="C625" t="s">
        <v>61</v>
      </c>
      <c r="D625">
        <v>116</v>
      </c>
      <c r="E625" s="7">
        <f>Clients_Churn_Part[[#This Row],[Anciennete_Mois]]/12</f>
        <v>9.6666666666666661</v>
      </c>
      <c r="F625" t="s">
        <v>21</v>
      </c>
      <c r="G625" t="str">
        <f>IF(Clients_Churn_Part[[#This Row],[Type_Forfait]]="pro Monde","B2B","B2C")</f>
        <v>B2C</v>
      </c>
      <c r="H625">
        <v>231</v>
      </c>
      <c r="I625" s="2">
        <f>Clients_Churn_Part[[#This Row],[Duree_Cumulee_Panne_Min]]/60</f>
        <v>3.85</v>
      </c>
      <c r="J625">
        <v>19.12</v>
      </c>
      <c r="K625">
        <v>5</v>
      </c>
      <c r="L62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25">
        <f>Clients_Churn_Part[[#This Row],[Facture_Mensuelle]]*Clients_Churn_Part[[#This Row],[Remise]]</f>
        <v>13.384</v>
      </c>
      <c r="N62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26" spans="1:14" x14ac:dyDescent="0.3">
      <c r="A626" t="s">
        <v>589</v>
      </c>
      <c r="B626" t="s">
        <v>593</v>
      </c>
      <c r="C626" t="s">
        <v>83</v>
      </c>
      <c r="D626">
        <v>89</v>
      </c>
      <c r="E626" s="7">
        <f>Clients_Churn_Part[[#This Row],[Anciennete_Mois]]/12</f>
        <v>7.416666666666667</v>
      </c>
      <c r="F626" t="s">
        <v>13</v>
      </c>
      <c r="G626" t="str">
        <f>IF(Clients_Churn_Part[[#This Row],[Type_Forfait]]="pro Monde","B2B","B2C")</f>
        <v>B2B</v>
      </c>
      <c r="H626">
        <v>381</v>
      </c>
      <c r="I626" s="2">
        <f>Clients_Churn_Part[[#This Row],[Duree_Cumulee_Panne_Min]]/60</f>
        <v>6.35</v>
      </c>
      <c r="J626">
        <v>68.17</v>
      </c>
      <c r="K626">
        <v>0</v>
      </c>
      <c r="L62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26">
        <f>Clients_Churn_Part[[#This Row],[Facture_Mensuelle]]*Clients_Churn_Part[[#This Row],[Remise]]</f>
        <v>47.719000000000001</v>
      </c>
      <c r="N62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27" spans="1:14" x14ac:dyDescent="0.3">
      <c r="A627" t="s">
        <v>538</v>
      </c>
      <c r="B627" t="s">
        <v>566</v>
      </c>
      <c r="C627" t="s">
        <v>33</v>
      </c>
      <c r="D627">
        <v>65</v>
      </c>
      <c r="E627" s="7">
        <f>Clients_Churn_Part[[#This Row],[Anciennete_Mois]]/12</f>
        <v>5.416666666666667</v>
      </c>
      <c r="F627" t="s">
        <v>10</v>
      </c>
      <c r="G627" t="str">
        <f>IF(Clients_Churn_Part[[#This Row],[Type_Forfait]]="pro Monde","B2B","B2C")</f>
        <v>B2C</v>
      </c>
      <c r="H627">
        <v>15</v>
      </c>
      <c r="I627" s="2">
        <f>Clients_Churn_Part[[#This Row],[Duree_Cumulee_Panne_Min]]/60</f>
        <v>0.25</v>
      </c>
      <c r="J627">
        <v>44.47</v>
      </c>
      <c r="K627">
        <v>0</v>
      </c>
      <c r="L62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627">
        <f>Clients_Churn_Part[[#This Row],[Facture_Mensuelle]]*Clients_Churn_Part[[#This Row],[Remise]]</f>
        <v>20.011500000000002</v>
      </c>
      <c r="N62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28" spans="1:14" x14ac:dyDescent="0.3">
      <c r="A628" t="s">
        <v>405</v>
      </c>
      <c r="B628" t="s">
        <v>428</v>
      </c>
      <c r="C628" t="s">
        <v>48</v>
      </c>
      <c r="D628">
        <v>61</v>
      </c>
      <c r="E628" s="7">
        <f>Clients_Churn_Part[[#This Row],[Anciennete_Mois]]/12</f>
        <v>5.083333333333333</v>
      </c>
      <c r="F628" t="s">
        <v>13</v>
      </c>
      <c r="G628" t="str">
        <f>IF(Clients_Churn_Part[[#This Row],[Type_Forfait]]="pro Monde","B2B","B2C")</f>
        <v>B2B</v>
      </c>
      <c r="H628">
        <v>362</v>
      </c>
      <c r="I628" s="2">
        <f>Clients_Churn_Part[[#This Row],[Duree_Cumulee_Panne_Min]]/60</f>
        <v>6.0333333333333332</v>
      </c>
      <c r="J628">
        <v>75.03</v>
      </c>
      <c r="K628">
        <v>0</v>
      </c>
      <c r="L62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28">
        <f>Clients_Churn_Part[[#This Row],[Facture_Mensuelle]]*Clients_Churn_Part[[#This Row],[Remise]]</f>
        <v>52.521000000000001</v>
      </c>
      <c r="N62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29" spans="1:14" x14ac:dyDescent="0.3">
      <c r="A629" t="s">
        <v>589</v>
      </c>
      <c r="B629" t="s">
        <v>633</v>
      </c>
      <c r="C629" t="s">
        <v>61</v>
      </c>
      <c r="D629">
        <v>17</v>
      </c>
      <c r="E629" s="7">
        <f>Clients_Churn_Part[[#This Row],[Anciennete_Mois]]/12</f>
        <v>1.4166666666666667</v>
      </c>
      <c r="F629" t="s">
        <v>13</v>
      </c>
      <c r="G629" t="str">
        <f>IF(Clients_Churn_Part[[#This Row],[Type_Forfait]]="pro Monde","B2B","B2C")</f>
        <v>B2B</v>
      </c>
      <c r="H629">
        <v>206</v>
      </c>
      <c r="I629" s="2">
        <f>Clients_Churn_Part[[#This Row],[Duree_Cumulee_Panne_Min]]/60</f>
        <v>3.4333333333333331</v>
      </c>
      <c r="J629">
        <v>63.46</v>
      </c>
      <c r="K629">
        <v>3</v>
      </c>
      <c r="L62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629">
        <f>Clients_Churn_Part[[#This Row],[Facture_Mensuelle]]*Clients_Churn_Part[[#This Row],[Remise]]</f>
        <v>6.3460000000000001</v>
      </c>
      <c r="N62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30" spans="1:14" x14ac:dyDescent="0.3">
      <c r="A630" t="s">
        <v>314</v>
      </c>
      <c r="B630" t="s">
        <v>338</v>
      </c>
      <c r="C630" t="s">
        <v>54</v>
      </c>
      <c r="D630">
        <v>19</v>
      </c>
      <c r="E630" s="7">
        <f>Clients_Churn_Part[[#This Row],[Anciennete_Mois]]/12</f>
        <v>1.5833333333333333</v>
      </c>
      <c r="F630" t="s">
        <v>18</v>
      </c>
      <c r="G630" t="str">
        <f>IF(Clients_Churn_Part[[#This Row],[Type_Forfait]]="pro Monde","B2B","B2C")</f>
        <v>B2C</v>
      </c>
      <c r="H630">
        <v>125</v>
      </c>
      <c r="I630" s="2">
        <f>Clients_Churn_Part[[#This Row],[Duree_Cumulee_Panne_Min]]/60</f>
        <v>2.0833333333333335</v>
      </c>
      <c r="J630">
        <v>11.78</v>
      </c>
      <c r="K630">
        <v>4</v>
      </c>
      <c r="L63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630">
        <f>Clients_Churn_Part[[#This Row],[Facture_Mensuelle]]*Clients_Churn_Part[[#This Row],[Remise]]</f>
        <v>0</v>
      </c>
      <c r="N63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31" spans="1:14" x14ac:dyDescent="0.3">
      <c r="A631" t="s">
        <v>360</v>
      </c>
      <c r="B631" t="s">
        <v>387</v>
      </c>
      <c r="C631" t="s">
        <v>27</v>
      </c>
      <c r="D631">
        <v>13</v>
      </c>
      <c r="E631" s="7">
        <f>Clients_Churn_Part[[#This Row],[Anciennete_Mois]]/12</f>
        <v>1.0833333333333333</v>
      </c>
      <c r="F631" t="s">
        <v>18</v>
      </c>
      <c r="G631" t="str">
        <f>IF(Clients_Churn_Part[[#This Row],[Type_Forfait]]="pro Monde","B2B","B2C")</f>
        <v>B2C</v>
      </c>
      <c r="H631">
        <v>180</v>
      </c>
      <c r="I631" s="2">
        <f>Clients_Churn_Part[[#This Row],[Duree_Cumulee_Panne_Min]]/60</f>
        <v>3</v>
      </c>
      <c r="J631">
        <v>24.01</v>
      </c>
      <c r="K631">
        <v>0</v>
      </c>
      <c r="L63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631">
        <f>Clients_Churn_Part[[#This Row],[Facture_Mensuelle]]*Clients_Churn_Part[[#This Row],[Remise]]</f>
        <v>0</v>
      </c>
      <c r="N63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32" spans="1:14" x14ac:dyDescent="0.3">
      <c r="A632" t="s">
        <v>267</v>
      </c>
      <c r="B632" t="s">
        <v>297</v>
      </c>
      <c r="C632" t="s">
        <v>37</v>
      </c>
      <c r="D632">
        <v>90</v>
      </c>
      <c r="E632" s="7">
        <f>Clients_Churn_Part[[#This Row],[Anciennete_Mois]]/12</f>
        <v>7.5</v>
      </c>
      <c r="F632" t="s">
        <v>13</v>
      </c>
      <c r="G632" t="str">
        <f>IF(Clients_Churn_Part[[#This Row],[Type_Forfait]]="pro Monde","B2B","B2C")</f>
        <v>B2B</v>
      </c>
      <c r="H632">
        <v>299</v>
      </c>
      <c r="I632" s="2">
        <f>Clients_Churn_Part[[#This Row],[Duree_Cumulee_Panne_Min]]/60</f>
        <v>4.9833333333333334</v>
      </c>
      <c r="J632">
        <v>71.760000000000005</v>
      </c>
      <c r="K632">
        <v>1</v>
      </c>
      <c r="L63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32">
        <f>Clients_Churn_Part[[#This Row],[Facture_Mensuelle]]*Clients_Churn_Part[[#This Row],[Remise]]</f>
        <v>50.231999999999999</v>
      </c>
      <c r="N63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33" spans="1:14" x14ac:dyDescent="0.3">
      <c r="A633" t="s">
        <v>129</v>
      </c>
      <c r="B633" t="s">
        <v>163</v>
      </c>
      <c r="C633" t="s">
        <v>41</v>
      </c>
      <c r="D633">
        <v>41</v>
      </c>
      <c r="E633" s="7">
        <f>Clients_Churn_Part[[#This Row],[Anciennete_Mois]]/12</f>
        <v>3.4166666666666665</v>
      </c>
      <c r="F633" t="s">
        <v>10</v>
      </c>
      <c r="G633" t="str">
        <f>IF(Clients_Churn_Part[[#This Row],[Type_Forfait]]="pro Monde","B2B","B2C")</f>
        <v>B2C</v>
      </c>
      <c r="H633">
        <v>64</v>
      </c>
      <c r="I633" s="2">
        <f>Clients_Churn_Part[[#This Row],[Duree_Cumulee_Panne_Min]]/60</f>
        <v>1.0666666666666667</v>
      </c>
      <c r="J633">
        <v>91.95</v>
      </c>
      <c r="K633">
        <v>1</v>
      </c>
      <c r="L63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633">
        <f>Clients_Churn_Part[[#This Row],[Facture_Mensuelle]]*Clients_Churn_Part[[#This Row],[Remise]]</f>
        <v>41.377500000000005</v>
      </c>
      <c r="N63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34" spans="1:14" x14ac:dyDescent="0.3">
      <c r="A634" t="s">
        <v>682</v>
      </c>
      <c r="B634" t="s">
        <v>708</v>
      </c>
      <c r="C634" t="s">
        <v>61</v>
      </c>
      <c r="D634">
        <v>74</v>
      </c>
      <c r="E634" s="7">
        <f>Clients_Churn_Part[[#This Row],[Anciennete_Mois]]/12</f>
        <v>6.166666666666667</v>
      </c>
      <c r="F634" t="s">
        <v>21</v>
      </c>
      <c r="G634" t="str">
        <f>IF(Clients_Churn_Part[[#This Row],[Type_Forfait]]="pro Monde","B2B","B2C")</f>
        <v>B2C</v>
      </c>
      <c r="H634">
        <v>359</v>
      </c>
      <c r="I634" s="2">
        <f>Clients_Churn_Part[[#This Row],[Duree_Cumulee_Panne_Min]]/60</f>
        <v>5.9833333333333334</v>
      </c>
      <c r="J634">
        <v>92.63</v>
      </c>
      <c r="K634">
        <v>0</v>
      </c>
      <c r="L63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34">
        <f>Clients_Churn_Part[[#This Row],[Facture_Mensuelle]]*Clients_Churn_Part[[#This Row],[Remise]]</f>
        <v>64.840999999999994</v>
      </c>
      <c r="N63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35" spans="1:14" x14ac:dyDescent="0.3">
      <c r="A635" t="s">
        <v>174</v>
      </c>
      <c r="B635" t="s">
        <v>188</v>
      </c>
      <c r="C635" t="s">
        <v>29</v>
      </c>
      <c r="D635">
        <v>62</v>
      </c>
      <c r="E635" s="7">
        <f>Clients_Churn_Part[[#This Row],[Anciennete_Mois]]/12</f>
        <v>5.166666666666667</v>
      </c>
      <c r="F635" t="s">
        <v>10</v>
      </c>
      <c r="G635" t="str">
        <f>IF(Clients_Churn_Part[[#This Row],[Type_Forfait]]="pro Monde","B2B","B2C")</f>
        <v>B2C</v>
      </c>
      <c r="H635">
        <v>116</v>
      </c>
      <c r="I635" s="2">
        <f>Clients_Churn_Part[[#This Row],[Duree_Cumulee_Panne_Min]]/60</f>
        <v>1.9333333333333333</v>
      </c>
      <c r="J635">
        <v>92.99</v>
      </c>
      <c r="K635">
        <v>5</v>
      </c>
      <c r="L63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35">
        <f>Clients_Churn_Part[[#This Row],[Facture_Mensuelle]]*Clients_Churn_Part[[#This Row],[Remise]]</f>
        <v>65.092999999999989</v>
      </c>
      <c r="N63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36" spans="1:14" x14ac:dyDescent="0.3">
      <c r="A636" t="s">
        <v>452</v>
      </c>
      <c r="B636" t="s">
        <v>467</v>
      </c>
      <c r="C636" t="s">
        <v>61</v>
      </c>
      <c r="D636">
        <v>118</v>
      </c>
      <c r="E636" s="7">
        <f>Clients_Churn_Part[[#This Row],[Anciennete_Mois]]/12</f>
        <v>9.8333333333333339</v>
      </c>
      <c r="F636" t="s">
        <v>13</v>
      </c>
      <c r="G636" t="str">
        <f>IF(Clients_Churn_Part[[#This Row],[Type_Forfait]]="pro Monde","B2B","B2C")</f>
        <v>B2B</v>
      </c>
      <c r="H636">
        <v>80</v>
      </c>
      <c r="I636" s="2">
        <f>Clients_Churn_Part[[#This Row],[Duree_Cumulee_Panne_Min]]/60</f>
        <v>1.3333333333333333</v>
      </c>
      <c r="J636">
        <v>97.58</v>
      </c>
      <c r="K636">
        <v>3</v>
      </c>
      <c r="L63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36">
        <f>Clients_Churn_Part[[#This Row],[Facture_Mensuelle]]*Clients_Churn_Part[[#This Row],[Remise]]</f>
        <v>68.305999999999997</v>
      </c>
      <c r="N63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37" spans="1:14" x14ac:dyDescent="0.3">
      <c r="A637" t="s">
        <v>314</v>
      </c>
      <c r="B637" t="s">
        <v>321</v>
      </c>
      <c r="C637" t="s">
        <v>54</v>
      </c>
      <c r="D637">
        <v>99</v>
      </c>
      <c r="E637" s="7">
        <f>Clients_Churn_Part[[#This Row],[Anciennete_Mois]]/12</f>
        <v>8.25</v>
      </c>
      <c r="F637" t="s">
        <v>18</v>
      </c>
      <c r="G637" t="str">
        <f>IF(Clients_Churn_Part[[#This Row],[Type_Forfait]]="pro Monde","B2B","B2C")</f>
        <v>B2C</v>
      </c>
      <c r="H637">
        <v>28</v>
      </c>
      <c r="I637" s="2">
        <f>Clients_Churn_Part[[#This Row],[Duree_Cumulee_Panne_Min]]/60</f>
        <v>0.46666666666666667</v>
      </c>
      <c r="J637">
        <v>70.19</v>
      </c>
      <c r="K637">
        <v>1</v>
      </c>
      <c r="L63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637">
        <f>Clients_Churn_Part[[#This Row],[Facture_Mensuelle]]*Clients_Churn_Part[[#This Row],[Remise]]</f>
        <v>31.5855</v>
      </c>
      <c r="N63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38" spans="1:14" x14ac:dyDescent="0.3">
      <c r="A638" t="s">
        <v>79</v>
      </c>
      <c r="B638" t="s">
        <v>93</v>
      </c>
      <c r="C638" t="s">
        <v>33</v>
      </c>
      <c r="D638">
        <v>80</v>
      </c>
      <c r="E638" s="7">
        <f>Clients_Churn_Part[[#This Row],[Anciennete_Mois]]/12</f>
        <v>6.666666666666667</v>
      </c>
      <c r="F638" t="s">
        <v>10</v>
      </c>
      <c r="G638" t="str">
        <f>IF(Clients_Churn_Part[[#This Row],[Type_Forfait]]="pro Monde","B2B","B2C")</f>
        <v>B2C</v>
      </c>
      <c r="H638">
        <v>121</v>
      </c>
      <c r="I638" s="2">
        <f>Clients_Churn_Part[[#This Row],[Duree_Cumulee_Panne_Min]]/60</f>
        <v>2.0166666666666666</v>
      </c>
      <c r="J638">
        <v>83.14</v>
      </c>
      <c r="K638">
        <v>5</v>
      </c>
      <c r="L63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38">
        <f>Clients_Churn_Part[[#This Row],[Facture_Mensuelle]]*Clients_Churn_Part[[#This Row],[Remise]]</f>
        <v>58.197999999999993</v>
      </c>
      <c r="N63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39" spans="1:14" x14ac:dyDescent="0.3">
      <c r="A639" t="s">
        <v>79</v>
      </c>
      <c r="B639" t="s">
        <v>86</v>
      </c>
      <c r="C639" t="s">
        <v>68</v>
      </c>
      <c r="D639">
        <v>58</v>
      </c>
      <c r="E639" s="7">
        <f>Clients_Churn_Part[[#This Row],[Anciennete_Mois]]/12</f>
        <v>4.833333333333333</v>
      </c>
      <c r="F639" t="s">
        <v>21</v>
      </c>
      <c r="G639" t="str">
        <f>IF(Clients_Churn_Part[[#This Row],[Type_Forfait]]="pro Monde","B2B","B2C")</f>
        <v>B2C</v>
      </c>
      <c r="H639">
        <v>61</v>
      </c>
      <c r="I639" s="2">
        <f>Clients_Churn_Part[[#This Row],[Duree_Cumulee_Panne_Min]]/60</f>
        <v>1.0166666666666666</v>
      </c>
      <c r="J639">
        <v>58.64</v>
      </c>
      <c r="K639">
        <v>3</v>
      </c>
      <c r="L63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639">
        <f>Clients_Churn_Part[[#This Row],[Facture_Mensuelle]]*Clients_Churn_Part[[#This Row],[Remise]]</f>
        <v>0</v>
      </c>
      <c r="N63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40" spans="1:14" x14ac:dyDescent="0.3">
      <c r="A640" t="s">
        <v>79</v>
      </c>
      <c r="B640" t="s">
        <v>111</v>
      </c>
      <c r="C640" t="s">
        <v>59</v>
      </c>
      <c r="D640">
        <v>4</v>
      </c>
      <c r="E640" s="7">
        <f>Clients_Churn_Part[[#This Row],[Anciennete_Mois]]/12</f>
        <v>0.33333333333333331</v>
      </c>
      <c r="F640" t="s">
        <v>18</v>
      </c>
      <c r="G640" t="str">
        <f>IF(Clients_Churn_Part[[#This Row],[Type_Forfait]]="pro Monde","B2B","B2C")</f>
        <v>B2C</v>
      </c>
      <c r="H640">
        <v>453</v>
      </c>
      <c r="I640" s="2">
        <f>Clients_Churn_Part[[#This Row],[Duree_Cumulee_Panne_Min]]/60</f>
        <v>7.55</v>
      </c>
      <c r="J640">
        <v>75.260000000000005</v>
      </c>
      <c r="K640">
        <v>5</v>
      </c>
      <c r="L64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640">
        <f>Clients_Churn_Part[[#This Row],[Facture_Mensuelle]]*Clients_Churn_Part[[#This Row],[Remise]]</f>
        <v>0</v>
      </c>
      <c r="N64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41" spans="1:14" x14ac:dyDescent="0.3">
      <c r="A641" t="s">
        <v>314</v>
      </c>
      <c r="B641" t="s">
        <v>356</v>
      </c>
      <c r="C641" t="s">
        <v>17</v>
      </c>
      <c r="D641">
        <v>41</v>
      </c>
      <c r="E641" s="7">
        <f>Clients_Churn_Part[[#This Row],[Anciennete_Mois]]/12</f>
        <v>3.4166666666666665</v>
      </c>
      <c r="F641" t="s">
        <v>18</v>
      </c>
      <c r="G641" t="str">
        <f>IF(Clients_Churn_Part[[#This Row],[Type_Forfait]]="pro Monde","B2B","B2C")</f>
        <v>B2C</v>
      </c>
      <c r="H641">
        <v>398</v>
      </c>
      <c r="I641" s="2">
        <f>Clients_Churn_Part[[#This Row],[Duree_Cumulee_Panne_Min]]/60</f>
        <v>6.6333333333333337</v>
      </c>
      <c r="J641">
        <v>28.56</v>
      </c>
      <c r="K641">
        <v>2</v>
      </c>
      <c r="L64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641">
        <f>Clients_Churn_Part[[#This Row],[Facture_Mensuelle]]*Clients_Churn_Part[[#This Row],[Remise]]</f>
        <v>0</v>
      </c>
      <c r="N64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42" spans="1:14" x14ac:dyDescent="0.3">
      <c r="A642" t="s">
        <v>360</v>
      </c>
      <c r="B642" t="s">
        <v>372</v>
      </c>
      <c r="C642" t="s">
        <v>31</v>
      </c>
      <c r="D642">
        <v>49</v>
      </c>
      <c r="E642" s="7">
        <f>Clients_Churn_Part[[#This Row],[Anciennete_Mois]]/12</f>
        <v>4.083333333333333</v>
      </c>
      <c r="F642" t="s">
        <v>13</v>
      </c>
      <c r="G642" t="str">
        <f>IF(Clients_Churn_Part[[#This Row],[Type_Forfait]]="pro Monde","B2B","B2C")</f>
        <v>B2B</v>
      </c>
      <c r="H642">
        <v>229</v>
      </c>
      <c r="I642" s="2">
        <f>Clients_Churn_Part[[#This Row],[Duree_Cumulee_Panne_Min]]/60</f>
        <v>3.8166666666666669</v>
      </c>
      <c r="J642">
        <v>53.94</v>
      </c>
      <c r="K642">
        <v>5</v>
      </c>
      <c r="L64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642">
        <f>Clients_Churn_Part[[#This Row],[Facture_Mensuelle]]*Clients_Churn_Part[[#This Row],[Remise]]</f>
        <v>5.3940000000000001</v>
      </c>
      <c r="N64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43" spans="1:14" x14ac:dyDescent="0.3">
      <c r="A643" t="s">
        <v>174</v>
      </c>
      <c r="B643" t="s">
        <v>201</v>
      </c>
      <c r="C643" t="s">
        <v>54</v>
      </c>
      <c r="D643">
        <v>29</v>
      </c>
      <c r="E643" s="7">
        <f>Clients_Churn_Part[[#This Row],[Anciennete_Mois]]/12</f>
        <v>2.4166666666666665</v>
      </c>
      <c r="F643" t="s">
        <v>21</v>
      </c>
      <c r="G643" t="str">
        <f>IF(Clients_Churn_Part[[#This Row],[Type_Forfait]]="pro Monde","B2B","B2C")</f>
        <v>B2C</v>
      </c>
      <c r="H643">
        <v>416</v>
      </c>
      <c r="I643" s="2">
        <f>Clients_Churn_Part[[#This Row],[Duree_Cumulee_Panne_Min]]/60</f>
        <v>6.9333333333333336</v>
      </c>
      <c r="J643">
        <v>61.26</v>
      </c>
      <c r="K643">
        <v>0</v>
      </c>
      <c r="L64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643">
        <f>Clients_Churn_Part[[#This Row],[Facture_Mensuelle]]*Clients_Churn_Part[[#This Row],[Remise]]</f>
        <v>0</v>
      </c>
      <c r="N64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44" spans="1:14" x14ac:dyDescent="0.3">
      <c r="A644" t="s">
        <v>452</v>
      </c>
      <c r="B644" t="s">
        <v>489</v>
      </c>
      <c r="C644" t="s">
        <v>29</v>
      </c>
      <c r="D644">
        <v>9</v>
      </c>
      <c r="E644" s="7">
        <f>Clients_Churn_Part[[#This Row],[Anciennete_Mois]]/12</f>
        <v>0.75</v>
      </c>
      <c r="F644" t="s">
        <v>21</v>
      </c>
      <c r="G644" t="str">
        <f>IF(Clients_Churn_Part[[#This Row],[Type_Forfait]]="pro Monde","B2B","B2C")</f>
        <v>B2C</v>
      </c>
      <c r="H644">
        <v>227</v>
      </c>
      <c r="I644" s="2">
        <f>Clients_Churn_Part[[#This Row],[Duree_Cumulee_Panne_Min]]/60</f>
        <v>3.7833333333333332</v>
      </c>
      <c r="J644">
        <v>63.74</v>
      </c>
      <c r="K644">
        <v>3</v>
      </c>
      <c r="L64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644">
        <f>Clients_Churn_Part[[#This Row],[Facture_Mensuelle]]*Clients_Churn_Part[[#This Row],[Remise]]</f>
        <v>0</v>
      </c>
      <c r="N64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45" spans="1:14" x14ac:dyDescent="0.3">
      <c r="A645" t="s">
        <v>360</v>
      </c>
      <c r="B645" t="s">
        <v>400</v>
      </c>
      <c r="C645" t="s">
        <v>12</v>
      </c>
      <c r="D645">
        <v>97</v>
      </c>
      <c r="E645" s="7">
        <f>Clients_Churn_Part[[#This Row],[Anciennete_Mois]]/12</f>
        <v>8.0833333333333339</v>
      </c>
      <c r="F645" t="s">
        <v>13</v>
      </c>
      <c r="G645" t="str">
        <f>IF(Clients_Churn_Part[[#This Row],[Type_Forfait]]="pro Monde","B2B","B2C")</f>
        <v>B2B</v>
      </c>
      <c r="H645">
        <v>276</v>
      </c>
      <c r="I645" s="2">
        <f>Clients_Churn_Part[[#This Row],[Duree_Cumulee_Panne_Min]]/60</f>
        <v>4.5999999999999996</v>
      </c>
      <c r="J645">
        <v>88.35</v>
      </c>
      <c r="K645">
        <v>0</v>
      </c>
      <c r="L64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45">
        <f>Clients_Churn_Part[[#This Row],[Facture_Mensuelle]]*Clients_Churn_Part[[#This Row],[Remise]]</f>
        <v>61.844999999999992</v>
      </c>
      <c r="N64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46" spans="1:14" x14ac:dyDescent="0.3">
      <c r="A646" t="s">
        <v>267</v>
      </c>
      <c r="B646" t="s">
        <v>304</v>
      </c>
      <c r="C646" t="s">
        <v>61</v>
      </c>
      <c r="D646">
        <v>32</v>
      </c>
      <c r="E646" s="7">
        <f>Clients_Churn_Part[[#This Row],[Anciennete_Mois]]/12</f>
        <v>2.6666666666666665</v>
      </c>
      <c r="F646" t="s">
        <v>21</v>
      </c>
      <c r="G646" t="str">
        <f>IF(Clients_Churn_Part[[#This Row],[Type_Forfait]]="pro Monde","B2B","B2C")</f>
        <v>B2C</v>
      </c>
      <c r="H646">
        <v>31</v>
      </c>
      <c r="I646" s="2">
        <f>Clients_Churn_Part[[#This Row],[Duree_Cumulee_Panne_Min]]/60</f>
        <v>0.51666666666666672</v>
      </c>
      <c r="J646">
        <v>67.040000000000006</v>
      </c>
      <c r="K646">
        <v>1</v>
      </c>
      <c r="L64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646">
        <f>Clients_Churn_Part[[#This Row],[Facture_Mensuelle]]*Clients_Churn_Part[[#This Row],[Remise]]</f>
        <v>0</v>
      </c>
      <c r="N64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47" spans="1:14" x14ac:dyDescent="0.3">
      <c r="A647" t="s">
        <v>314</v>
      </c>
      <c r="B647" t="s">
        <v>324</v>
      </c>
      <c r="C647" t="s">
        <v>29</v>
      </c>
      <c r="D647">
        <v>87</v>
      </c>
      <c r="E647" s="7">
        <f>Clients_Churn_Part[[#This Row],[Anciennete_Mois]]/12</f>
        <v>7.25</v>
      </c>
      <c r="F647" t="s">
        <v>21</v>
      </c>
      <c r="G647" t="str">
        <f>IF(Clients_Churn_Part[[#This Row],[Type_Forfait]]="pro Monde","B2B","B2C")</f>
        <v>B2C</v>
      </c>
      <c r="H647">
        <v>498</v>
      </c>
      <c r="I647" s="2">
        <f>Clients_Churn_Part[[#This Row],[Duree_Cumulee_Panne_Min]]/60</f>
        <v>8.3000000000000007</v>
      </c>
      <c r="J647">
        <v>61.57</v>
      </c>
      <c r="K647">
        <v>0</v>
      </c>
      <c r="L64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47">
        <f>Clients_Churn_Part[[#This Row],[Facture_Mensuelle]]*Clients_Churn_Part[[#This Row],[Remise]]</f>
        <v>43.098999999999997</v>
      </c>
      <c r="N64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48" spans="1:14" x14ac:dyDescent="0.3">
      <c r="A648" t="s">
        <v>8</v>
      </c>
      <c r="B648" t="s">
        <v>74</v>
      </c>
      <c r="C648" t="s">
        <v>48</v>
      </c>
      <c r="D648">
        <v>112</v>
      </c>
      <c r="E648" s="7">
        <f>Clients_Churn_Part[[#This Row],[Anciennete_Mois]]/12</f>
        <v>9.3333333333333339</v>
      </c>
      <c r="F648" t="s">
        <v>13</v>
      </c>
      <c r="G648" t="str">
        <f>IF(Clients_Churn_Part[[#This Row],[Type_Forfait]]="pro Monde","B2B","B2C")</f>
        <v>B2B</v>
      </c>
      <c r="H648">
        <v>18</v>
      </c>
      <c r="I648" s="2">
        <f>Clients_Churn_Part[[#This Row],[Duree_Cumulee_Panne_Min]]/60</f>
        <v>0.3</v>
      </c>
      <c r="J648">
        <v>27.33</v>
      </c>
      <c r="K648">
        <v>5</v>
      </c>
      <c r="L64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648">
        <f>Clients_Churn_Part[[#This Row],[Facture_Mensuelle]]*Clients_Churn_Part[[#This Row],[Remise]]</f>
        <v>12.298499999999999</v>
      </c>
      <c r="N64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49" spans="1:14" x14ac:dyDescent="0.3">
      <c r="A649" t="s">
        <v>174</v>
      </c>
      <c r="B649" t="s">
        <v>177</v>
      </c>
      <c r="C649" t="s">
        <v>37</v>
      </c>
      <c r="D649">
        <v>97</v>
      </c>
      <c r="E649" s="7">
        <f>Clients_Churn_Part[[#This Row],[Anciennete_Mois]]/12</f>
        <v>8.0833333333333339</v>
      </c>
      <c r="F649" t="s">
        <v>10</v>
      </c>
      <c r="G649" t="str">
        <f>IF(Clients_Churn_Part[[#This Row],[Type_Forfait]]="pro Monde","B2B","B2C")</f>
        <v>B2C</v>
      </c>
      <c r="H649">
        <v>296</v>
      </c>
      <c r="I649" s="2">
        <f>Clients_Churn_Part[[#This Row],[Duree_Cumulee_Panne_Min]]/60</f>
        <v>4.9333333333333336</v>
      </c>
      <c r="J649">
        <v>10.87</v>
      </c>
      <c r="K649">
        <v>4</v>
      </c>
      <c r="L64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49">
        <f>Clients_Churn_Part[[#This Row],[Facture_Mensuelle]]*Clients_Churn_Part[[#This Row],[Remise]]</f>
        <v>7.6089999999999991</v>
      </c>
      <c r="N64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50" spans="1:14" x14ac:dyDescent="0.3">
      <c r="A650" t="s">
        <v>314</v>
      </c>
      <c r="B650" t="s">
        <v>332</v>
      </c>
      <c r="C650" t="s">
        <v>122</v>
      </c>
      <c r="D650">
        <v>14</v>
      </c>
      <c r="E650" s="7">
        <f>Clients_Churn_Part[[#This Row],[Anciennete_Mois]]/12</f>
        <v>1.1666666666666667</v>
      </c>
      <c r="F650" t="s">
        <v>13</v>
      </c>
      <c r="G650" t="str">
        <f>IF(Clients_Churn_Part[[#This Row],[Type_Forfait]]="pro Monde","B2B","B2C")</f>
        <v>B2B</v>
      </c>
      <c r="H650">
        <v>303</v>
      </c>
      <c r="I650" s="2">
        <f>Clients_Churn_Part[[#This Row],[Duree_Cumulee_Panne_Min]]/60</f>
        <v>5.05</v>
      </c>
      <c r="J650">
        <v>61.43</v>
      </c>
      <c r="K650">
        <v>1</v>
      </c>
      <c r="L65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650">
        <f>Clients_Churn_Part[[#This Row],[Facture_Mensuelle]]*Clients_Churn_Part[[#This Row],[Remise]]</f>
        <v>6.1430000000000007</v>
      </c>
      <c r="N65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51" spans="1:14" x14ac:dyDescent="0.3">
      <c r="A651" t="s">
        <v>360</v>
      </c>
      <c r="B651" t="s">
        <v>385</v>
      </c>
      <c r="C651" t="s">
        <v>68</v>
      </c>
      <c r="D651">
        <v>104</v>
      </c>
      <c r="E651" s="7">
        <f>Clients_Churn_Part[[#This Row],[Anciennete_Mois]]/12</f>
        <v>8.6666666666666661</v>
      </c>
      <c r="F651" t="s">
        <v>10</v>
      </c>
      <c r="G651" t="str">
        <f>IF(Clients_Churn_Part[[#This Row],[Type_Forfait]]="pro Monde","B2B","B2C")</f>
        <v>B2C</v>
      </c>
      <c r="H651">
        <v>68</v>
      </c>
      <c r="I651" s="2">
        <f>Clients_Churn_Part[[#This Row],[Duree_Cumulee_Panne_Min]]/60</f>
        <v>1.1333333333333333</v>
      </c>
      <c r="J651">
        <v>21.15</v>
      </c>
      <c r="K651">
        <v>2</v>
      </c>
      <c r="L65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51">
        <f>Clients_Churn_Part[[#This Row],[Facture_Mensuelle]]*Clients_Churn_Part[[#This Row],[Remise]]</f>
        <v>14.804999999999998</v>
      </c>
      <c r="N65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52" spans="1:14" x14ac:dyDescent="0.3">
      <c r="A652" t="s">
        <v>637</v>
      </c>
      <c r="B652" t="s">
        <v>649</v>
      </c>
      <c r="C652" t="s">
        <v>15</v>
      </c>
      <c r="D652">
        <v>38</v>
      </c>
      <c r="E652" s="7">
        <f>Clients_Churn_Part[[#This Row],[Anciennete_Mois]]/12</f>
        <v>3.1666666666666665</v>
      </c>
      <c r="F652" t="s">
        <v>10</v>
      </c>
      <c r="G652" t="str">
        <f>IF(Clients_Churn_Part[[#This Row],[Type_Forfait]]="pro Monde","B2B","B2C")</f>
        <v>B2C</v>
      </c>
      <c r="H652">
        <v>432</v>
      </c>
      <c r="I652" s="2">
        <f>Clients_Churn_Part[[#This Row],[Duree_Cumulee_Panne_Min]]/60</f>
        <v>7.2</v>
      </c>
      <c r="J652">
        <v>53.65</v>
      </c>
      <c r="K652">
        <v>4</v>
      </c>
      <c r="L65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652">
        <f>Clients_Churn_Part[[#This Row],[Facture_Mensuelle]]*Clients_Churn_Part[[#This Row],[Remise]]</f>
        <v>24.142499999999998</v>
      </c>
      <c r="N65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53" spans="1:14" x14ac:dyDescent="0.3">
      <c r="A653" t="s">
        <v>79</v>
      </c>
      <c r="B653" t="s">
        <v>110</v>
      </c>
      <c r="C653" t="s">
        <v>37</v>
      </c>
      <c r="D653">
        <v>91</v>
      </c>
      <c r="E653" s="7">
        <f>Clients_Churn_Part[[#This Row],[Anciennete_Mois]]/12</f>
        <v>7.583333333333333</v>
      </c>
      <c r="F653" t="s">
        <v>10</v>
      </c>
      <c r="G653" t="str">
        <f>IF(Clients_Churn_Part[[#This Row],[Type_Forfait]]="pro Monde","B2B","B2C")</f>
        <v>B2C</v>
      </c>
      <c r="H653">
        <v>467</v>
      </c>
      <c r="I653" s="2">
        <f>Clients_Churn_Part[[#This Row],[Duree_Cumulee_Panne_Min]]/60</f>
        <v>7.7833333333333332</v>
      </c>
      <c r="J653">
        <v>84.74</v>
      </c>
      <c r="K653">
        <v>1</v>
      </c>
      <c r="L65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53">
        <f>Clients_Churn_Part[[#This Row],[Facture_Mensuelle]]*Clients_Churn_Part[[#This Row],[Remise]]</f>
        <v>59.317999999999991</v>
      </c>
      <c r="N65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54" spans="1:14" x14ac:dyDescent="0.3">
      <c r="A654" t="s">
        <v>8</v>
      </c>
      <c r="B654" t="s">
        <v>64</v>
      </c>
      <c r="C654" t="s">
        <v>12</v>
      </c>
      <c r="D654">
        <v>14</v>
      </c>
      <c r="E654" s="7">
        <f>Clients_Churn_Part[[#This Row],[Anciennete_Mois]]/12</f>
        <v>1.1666666666666667</v>
      </c>
      <c r="F654" t="s">
        <v>18</v>
      </c>
      <c r="G654" t="str">
        <f>IF(Clients_Churn_Part[[#This Row],[Type_Forfait]]="pro Monde","B2B","B2C")</f>
        <v>B2C</v>
      </c>
      <c r="H654">
        <v>415</v>
      </c>
      <c r="I654" s="2">
        <f>Clients_Churn_Part[[#This Row],[Duree_Cumulee_Panne_Min]]/60</f>
        <v>6.916666666666667</v>
      </c>
      <c r="J654">
        <v>36.93</v>
      </c>
      <c r="K654">
        <v>5</v>
      </c>
      <c r="L65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654">
        <f>Clients_Churn_Part[[#This Row],[Facture_Mensuelle]]*Clients_Churn_Part[[#This Row],[Remise]]</f>
        <v>0</v>
      </c>
      <c r="N65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55" spans="1:14" x14ac:dyDescent="0.3">
      <c r="A655" t="s">
        <v>405</v>
      </c>
      <c r="B655" t="s">
        <v>422</v>
      </c>
      <c r="C655" t="s">
        <v>31</v>
      </c>
      <c r="D655">
        <v>7</v>
      </c>
      <c r="E655" s="7">
        <f>Clients_Churn_Part[[#This Row],[Anciennete_Mois]]/12</f>
        <v>0.58333333333333337</v>
      </c>
      <c r="F655" t="s">
        <v>13</v>
      </c>
      <c r="G655" t="str">
        <f>IF(Clients_Churn_Part[[#This Row],[Type_Forfait]]="pro Monde","B2B","B2C")</f>
        <v>B2B</v>
      </c>
      <c r="H655">
        <v>268</v>
      </c>
      <c r="I655" s="2">
        <f>Clients_Churn_Part[[#This Row],[Duree_Cumulee_Panne_Min]]/60</f>
        <v>4.4666666666666668</v>
      </c>
      <c r="J655">
        <v>33.04</v>
      </c>
      <c r="K655">
        <v>5</v>
      </c>
      <c r="L65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655">
        <f>Clients_Churn_Part[[#This Row],[Facture_Mensuelle]]*Clients_Churn_Part[[#This Row],[Remise]]</f>
        <v>3.3040000000000003</v>
      </c>
      <c r="N65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56" spans="1:14" x14ac:dyDescent="0.3">
      <c r="A656" t="s">
        <v>129</v>
      </c>
      <c r="B656" t="s">
        <v>156</v>
      </c>
      <c r="C656" t="s">
        <v>29</v>
      </c>
      <c r="D656">
        <v>93</v>
      </c>
      <c r="E656" s="7">
        <f>Clients_Churn_Part[[#This Row],[Anciennete_Mois]]/12</f>
        <v>7.75</v>
      </c>
      <c r="F656" t="s">
        <v>18</v>
      </c>
      <c r="G656" t="str">
        <f>IF(Clients_Churn_Part[[#This Row],[Type_Forfait]]="pro Monde","B2B","B2C")</f>
        <v>B2C</v>
      </c>
      <c r="H656">
        <v>365</v>
      </c>
      <c r="I656" s="2">
        <f>Clients_Churn_Part[[#This Row],[Duree_Cumulee_Panne_Min]]/60</f>
        <v>6.083333333333333</v>
      </c>
      <c r="J656">
        <v>72.319999999999993</v>
      </c>
      <c r="K656">
        <v>1</v>
      </c>
      <c r="L65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56">
        <f>Clients_Churn_Part[[#This Row],[Facture_Mensuelle]]*Clients_Churn_Part[[#This Row],[Remise]]</f>
        <v>50.623999999999995</v>
      </c>
      <c r="N65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57" spans="1:14" x14ac:dyDescent="0.3">
      <c r="A657" t="s">
        <v>79</v>
      </c>
      <c r="B657" t="s">
        <v>97</v>
      </c>
      <c r="C657" t="s">
        <v>41</v>
      </c>
      <c r="D657">
        <v>30</v>
      </c>
      <c r="E657" s="7">
        <f>Clients_Churn_Part[[#This Row],[Anciennete_Mois]]/12</f>
        <v>2.5</v>
      </c>
      <c r="F657" t="s">
        <v>10</v>
      </c>
      <c r="G657" t="str">
        <f>IF(Clients_Churn_Part[[#This Row],[Type_Forfait]]="pro Monde","B2B","B2C")</f>
        <v>B2C</v>
      </c>
      <c r="H657">
        <v>197</v>
      </c>
      <c r="I657" s="2">
        <f>Clients_Churn_Part[[#This Row],[Duree_Cumulee_Panne_Min]]/60</f>
        <v>3.2833333333333332</v>
      </c>
      <c r="J657">
        <v>15.42</v>
      </c>
      <c r="K657">
        <v>0</v>
      </c>
      <c r="L65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657">
        <f>Clients_Churn_Part[[#This Row],[Facture_Mensuelle]]*Clients_Churn_Part[[#This Row],[Remise]]</f>
        <v>6.9390000000000001</v>
      </c>
      <c r="N65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58" spans="1:14" x14ac:dyDescent="0.3">
      <c r="A658" t="s">
        <v>682</v>
      </c>
      <c r="B658" t="s">
        <v>704</v>
      </c>
      <c r="C658" t="s">
        <v>29</v>
      </c>
      <c r="D658">
        <v>58</v>
      </c>
      <c r="E658" s="7">
        <f>Clients_Churn_Part[[#This Row],[Anciennete_Mois]]/12</f>
        <v>4.833333333333333</v>
      </c>
      <c r="F658" t="s">
        <v>10</v>
      </c>
      <c r="G658" t="str">
        <f>IF(Clients_Churn_Part[[#This Row],[Type_Forfait]]="pro Monde","B2B","B2C")</f>
        <v>B2C</v>
      </c>
      <c r="H658">
        <v>485</v>
      </c>
      <c r="I658" s="2">
        <f>Clients_Churn_Part[[#This Row],[Duree_Cumulee_Panne_Min]]/60</f>
        <v>8.0833333333333339</v>
      </c>
      <c r="J658">
        <v>65.41</v>
      </c>
      <c r="K658">
        <v>5</v>
      </c>
      <c r="L65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658">
        <f>Clients_Churn_Part[[#This Row],[Facture_Mensuelle]]*Clients_Churn_Part[[#This Row],[Remise]]</f>
        <v>29.4345</v>
      </c>
      <c r="N65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59" spans="1:14" x14ac:dyDescent="0.3">
      <c r="A659" t="s">
        <v>129</v>
      </c>
      <c r="B659" t="s">
        <v>168</v>
      </c>
      <c r="C659" t="s">
        <v>23</v>
      </c>
      <c r="D659">
        <v>113</v>
      </c>
      <c r="E659" s="7">
        <f>Clients_Churn_Part[[#This Row],[Anciennete_Mois]]/12</f>
        <v>9.4166666666666661</v>
      </c>
      <c r="F659" t="s">
        <v>10</v>
      </c>
      <c r="G659" t="str">
        <f>IF(Clients_Churn_Part[[#This Row],[Type_Forfait]]="pro Monde","B2B","B2C")</f>
        <v>B2C</v>
      </c>
      <c r="H659">
        <v>246</v>
      </c>
      <c r="I659" s="2">
        <f>Clients_Churn_Part[[#This Row],[Duree_Cumulee_Panne_Min]]/60</f>
        <v>4.0999999999999996</v>
      </c>
      <c r="J659">
        <v>29.18</v>
      </c>
      <c r="K659">
        <v>2</v>
      </c>
      <c r="L65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59">
        <f>Clients_Churn_Part[[#This Row],[Facture_Mensuelle]]*Clients_Churn_Part[[#This Row],[Remise]]</f>
        <v>20.425999999999998</v>
      </c>
      <c r="N65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60" spans="1:14" x14ac:dyDescent="0.3">
      <c r="A660" t="s">
        <v>589</v>
      </c>
      <c r="B660" t="s">
        <v>636</v>
      </c>
      <c r="C660" t="s">
        <v>61</v>
      </c>
      <c r="D660">
        <v>19</v>
      </c>
      <c r="E660" s="7">
        <f>Clients_Churn_Part[[#This Row],[Anciennete_Mois]]/12</f>
        <v>1.5833333333333333</v>
      </c>
      <c r="F660" t="s">
        <v>18</v>
      </c>
      <c r="G660" t="str">
        <f>IF(Clients_Churn_Part[[#This Row],[Type_Forfait]]="pro Monde","B2B","B2C")</f>
        <v>B2C</v>
      </c>
      <c r="H660">
        <v>141</v>
      </c>
      <c r="I660" s="2">
        <f>Clients_Churn_Part[[#This Row],[Duree_Cumulee_Panne_Min]]/60</f>
        <v>2.35</v>
      </c>
      <c r="J660">
        <v>53.95</v>
      </c>
      <c r="K660">
        <v>1</v>
      </c>
      <c r="L66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660">
        <f>Clients_Churn_Part[[#This Row],[Facture_Mensuelle]]*Clients_Churn_Part[[#This Row],[Remise]]</f>
        <v>0</v>
      </c>
      <c r="N66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61" spans="1:14" x14ac:dyDescent="0.3">
      <c r="A661" t="s">
        <v>220</v>
      </c>
      <c r="B661" t="s">
        <v>240</v>
      </c>
      <c r="C661" t="s">
        <v>59</v>
      </c>
      <c r="D661">
        <v>33</v>
      </c>
      <c r="E661" s="7">
        <f>Clients_Churn_Part[[#This Row],[Anciennete_Mois]]/12</f>
        <v>2.75</v>
      </c>
      <c r="F661" t="s">
        <v>18</v>
      </c>
      <c r="G661" t="str">
        <f>IF(Clients_Churn_Part[[#This Row],[Type_Forfait]]="pro Monde","B2B","B2C")</f>
        <v>B2C</v>
      </c>
      <c r="H661">
        <v>332</v>
      </c>
      <c r="I661" s="2">
        <f>Clients_Churn_Part[[#This Row],[Duree_Cumulee_Panne_Min]]/60</f>
        <v>5.5333333333333332</v>
      </c>
      <c r="J661">
        <v>76.41</v>
      </c>
      <c r="K661">
        <v>1</v>
      </c>
      <c r="L66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661">
        <f>Clients_Churn_Part[[#This Row],[Facture_Mensuelle]]*Clients_Churn_Part[[#This Row],[Remise]]</f>
        <v>0</v>
      </c>
      <c r="N66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62" spans="1:14" x14ac:dyDescent="0.3">
      <c r="A662" t="s">
        <v>538</v>
      </c>
      <c r="B662" t="s">
        <v>564</v>
      </c>
      <c r="C662" t="s">
        <v>12</v>
      </c>
      <c r="D662">
        <v>103</v>
      </c>
      <c r="E662" s="7">
        <f>Clients_Churn_Part[[#This Row],[Anciennete_Mois]]/12</f>
        <v>8.5833333333333339</v>
      </c>
      <c r="F662" t="s">
        <v>18</v>
      </c>
      <c r="G662" t="str">
        <f>IF(Clients_Churn_Part[[#This Row],[Type_Forfait]]="pro Monde","B2B","B2C")</f>
        <v>B2C</v>
      </c>
      <c r="H662">
        <v>98</v>
      </c>
      <c r="I662" s="2">
        <f>Clients_Churn_Part[[#This Row],[Duree_Cumulee_Panne_Min]]/60</f>
        <v>1.6333333333333333</v>
      </c>
      <c r="J662">
        <v>38.69</v>
      </c>
      <c r="K662">
        <v>4</v>
      </c>
      <c r="L66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62">
        <f>Clients_Churn_Part[[#This Row],[Facture_Mensuelle]]*Clients_Churn_Part[[#This Row],[Remise]]</f>
        <v>27.082999999999998</v>
      </c>
      <c r="N66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63" spans="1:14" x14ac:dyDescent="0.3">
      <c r="A663" t="s">
        <v>8</v>
      </c>
      <c r="B663" t="s">
        <v>66</v>
      </c>
      <c r="C663" t="s">
        <v>27</v>
      </c>
      <c r="D663">
        <v>72</v>
      </c>
      <c r="E663" s="7">
        <f>Clients_Churn_Part[[#This Row],[Anciennete_Mois]]/12</f>
        <v>6</v>
      </c>
      <c r="F663" t="s">
        <v>18</v>
      </c>
      <c r="G663" t="str">
        <f>IF(Clients_Churn_Part[[#This Row],[Type_Forfait]]="pro Monde","B2B","B2C")</f>
        <v>B2C</v>
      </c>
      <c r="H663">
        <v>332</v>
      </c>
      <c r="I663" s="2">
        <f>Clients_Churn_Part[[#This Row],[Duree_Cumulee_Panne_Min]]/60</f>
        <v>5.5333333333333332</v>
      </c>
      <c r="J663">
        <v>83.36</v>
      </c>
      <c r="K663">
        <v>4</v>
      </c>
      <c r="L66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63">
        <f>Clients_Churn_Part[[#This Row],[Facture_Mensuelle]]*Clients_Churn_Part[[#This Row],[Remise]]</f>
        <v>58.351999999999997</v>
      </c>
      <c r="N66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64" spans="1:14" x14ac:dyDescent="0.3">
      <c r="A664" t="s">
        <v>8</v>
      </c>
      <c r="B664" t="s">
        <v>45</v>
      </c>
      <c r="C664" t="s">
        <v>29</v>
      </c>
      <c r="D664">
        <v>91</v>
      </c>
      <c r="E664" s="7">
        <f>Clients_Churn_Part[[#This Row],[Anciennete_Mois]]/12</f>
        <v>7.583333333333333</v>
      </c>
      <c r="F664" t="s">
        <v>13</v>
      </c>
      <c r="G664" t="str">
        <f>IF(Clients_Churn_Part[[#This Row],[Type_Forfait]]="pro Monde","B2B","B2C")</f>
        <v>B2B</v>
      </c>
      <c r="H664">
        <v>358</v>
      </c>
      <c r="I664" s="2">
        <f>Clients_Churn_Part[[#This Row],[Duree_Cumulee_Panne_Min]]/60</f>
        <v>5.9666666666666668</v>
      </c>
      <c r="J664">
        <v>21.14</v>
      </c>
      <c r="K664">
        <v>5</v>
      </c>
      <c r="L66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64">
        <f>Clients_Churn_Part[[#This Row],[Facture_Mensuelle]]*Clients_Churn_Part[[#This Row],[Remise]]</f>
        <v>14.798</v>
      </c>
      <c r="N66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65" spans="1:14" x14ac:dyDescent="0.3">
      <c r="A665" t="s">
        <v>637</v>
      </c>
      <c r="B665" t="s">
        <v>672</v>
      </c>
      <c r="C665" t="s">
        <v>83</v>
      </c>
      <c r="D665">
        <v>65</v>
      </c>
      <c r="E665" s="7">
        <f>Clients_Churn_Part[[#This Row],[Anciennete_Mois]]/12</f>
        <v>5.416666666666667</v>
      </c>
      <c r="F665" t="s">
        <v>13</v>
      </c>
      <c r="G665" t="str">
        <f>IF(Clients_Churn_Part[[#This Row],[Type_Forfait]]="pro Monde","B2B","B2C")</f>
        <v>B2B</v>
      </c>
      <c r="H665">
        <v>246</v>
      </c>
      <c r="I665" s="2">
        <f>Clients_Churn_Part[[#This Row],[Duree_Cumulee_Panne_Min]]/60</f>
        <v>4.0999999999999996</v>
      </c>
      <c r="J665">
        <v>69.17</v>
      </c>
      <c r="K665">
        <v>0</v>
      </c>
      <c r="L665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65">
        <f>Clients_Churn_Part[[#This Row],[Facture_Mensuelle]]*Clients_Churn_Part[[#This Row],[Remise]]</f>
        <v>48.418999999999997</v>
      </c>
      <c r="N665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66" spans="1:14" x14ac:dyDescent="0.3">
      <c r="A666" t="s">
        <v>682</v>
      </c>
      <c r="B666" t="s">
        <v>693</v>
      </c>
      <c r="C666" t="s">
        <v>35</v>
      </c>
      <c r="D666">
        <v>10</v>
      </c>
      <c r="E666" s="7">
        <f>Clients_Churn_Part[[#This Row],[Anciennete_Mois]]/12</f>
        <v>0.83333333333333337</v>
      </c>
      <c r="F666" t="s">
        <v>21</v>
      </c>
      <c r="G666" t="str">
        <f>IF(Clients_Churn_Part[[#This Row],[Type_Forfait]]="pro Monde","B2B","B2C")</f>
        <v>B2C</v>
      </c>
      <c r="H666">
        <v>418</v>
      </c>
      <c r="I666" s="2">
        <f>Clients_Churn_Part[[#This Row],[Duree_Cumulee_Panne_Min]]/60</f>
        <v>6.9666666666666668</v>
      </c>
      <c r="J666">
        <v>27.66</v>
      </c>
      <c r="K666">
        <v>2</v>
      </c>
      <c r="L666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</v>
      </c>
      <c r="M666">
        <f>Clients_Churn_Part[[#This Row],[Facture_Mensuelle]]*Clients_Churn_Part[[#This Row],[Remise]]</f>
        <v>0</v>
      </c>
      <c r="N666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67" spans="1:14" x14ac:dyDescent="0.3">
      <c r="A667" t="s">
        <v>494</v>
      </c>
      <c r="B667" t="s">
        <v>502</v>
      </c>
      <c r="C667" t="s">
        <v>15</v>
      </c>
      <c r="D667">
        <v>10</v>
      </c>
      <c r="E667" s="7">
        <f>Clients_Churn_Part[[#This Row],[Anciennete_Mois]]/12</f>
        <v>0.83333333333333337</v>
      </c>
      <c r="F667" t="s">
        <v>13</v>
      </c>
      <c r="G667" t="str">
        <f>IF(Clients_Churn_Part[[#This Row],[Type_Forfait]]="pro Monde","B2B","B2C")</f>
        <v>B2B</v>
      </c>
      <c r="H667">
        <v>129</v>
      </c>
      <c r="I667" s="2">
        <f>Clients_Churn_Part[[#This Row],[Duree_Cumulee_Panne_Min]]/60</f>
        <v>2.15</v>
      </c>
      <c r="J667">
        <v>70.12</v>
      </c>
      <c r="K667">
        <v>0</v>
      </c>
      <c r="L667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667">
        <f>Clients_Churn_Part[[#This Row],[Facture_Mensuelle]]*Clients_Churn_Part[[#This Row],[Remise]]</f>
        <v>7.0120000000000005</v>
      </c>
      <c r="N667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68" spans="1:14" x14ac:dyDescent="0.3">
      <c r="A668" t="s">
        <v>494</v>
      </c>
      <c r="B668" t="s">
        <v>532</v>
      </c>
      <c r="C668" t="s">
        <v>57</v>
      </c>
      <c r="D668">
        <v>80</v>
      </c>
      <c r="E668" s="7">
        <f>Clients_Churn_Part[[#This Row],[Anciennete_Mois]]/12</f>
        <v>6.666666666666667</v>
      </c>
      <c r="F668" t="s">
        <v>21</v>
      </c>
      <c r="G668" t="str">
        <f>IF(Clients_Churn_Part[[#This Row],[Type_Forfait]]="pro Monde","B2B","B2C")</f>
        <v>B2C</v>
      </c>
      <c r="H668">
        <v>101</v>
      </c>
      <c r="I668" s="2">
        <f>Clients_Churn_Part[[#This Row],[Duree_Cumulee_Panne_Min]]/60</f>
        <v>1.6833333333333333</v>
      </c>
      <c r="J668">
        <v>61.92</v>
      </c>
      <c r="K668">
        <v>4</v>
      </c>
      <c r="L668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68">
        <f>Clients_Churn_Part[[#This Row],[Facture_Mensuelle]]*Clients_Churn_Part[[#This Row],[Remise]]</f>
        <v>43.344000000000001</v>
      </c>
      <c r="N668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69" spans="1:14" x14ac:dyDescent="0.3">
      <c r="A669" t="s">
        <v>174</v>
      </c>
      <c r="B669" t="s">
        <v>191</v>
      </c>
      <c r="C669" t="s">
        <v>54</v>
      </c>
      <c r="D669">
        <v>61</v>
      </c>
      <c r="E669" s="7">
        <f>Clients_Churn_Part[[#This Row],[Anciennete_Mois]]/12</f>
        <v>5.083333333333333</v>
      </c>
      <c r="F669" t="s">
        <v>18</v>
      </c>
      <c r="G669" t="str">
        <f>IF(Clients_Churn_Part[[#This Row],[Type_Forfait]]="pro Monde","B2B","B2C")</f>
        <v>B2C</v>
      </c>
      <c r="H669">
        <v>383</v>
      </c>
      <c r="I669" s="2">
        <f>Clients_Churn_Part[[#This Row],[Duree_Cumulee_Panne_Min]]/60</f>
        <v>6.3833333333333337</v>
      </c>
      <c r="J669">
        <v>39.72</v>
      </c>
      <c r="K669">
        <v>4</v>
      </c>
      <c r="L669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69">
        <f>Clients_Churn_Part[[#This Row],[Facture_Mensuelle]]*Clients_Churn_Part[[#This Row],[Remise]]</f>
        <v>27.803999999999998</v>
      </c>
      <c r="N669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70" spans="1:14" x14ac:dyDescent="0.3">
      <c r="A670" t="s">
        <v>405</v>
      </c>
      <c r="B670" t="s">
        <v>446</v>
      </c>
      <c r="C670" t="s">
        <v>54</v>
      </c>
      <c r="D670">
        <v>111</v>
      </c>
      <c r="E670" s="7">
        <f>Clients_Churn_Part[[#This Row],[Anciennete_Mois]]/12</f>
        <v>9.25</v>
      </c>
      <c r="F670" t="s">
        <v>13</v>
      </c>
      <c r="G670" t="str">
        <f>IF(Clients_Churn_Part[[#This Row],[Type_Forfait]]="pro Monde","B2B","B2C")</f>
        <v>B2B</v>
      </c>
      <c r="H670">
        <v>447</v>
      </c>
      <c r="I670" s="2">
        <f>Clients_Churn_Part[[#This Row],[Duree_Cumulee_Panne_Min]]/60</f>
        <v>7.45</v>
      </c>
      <c r="J670">
        <v>51.35</v>
      </c>
      <c r="K670">
        <v>0</v>
      </c>
      <c r="L670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70">
        <f>Clients_Churn_Part[[#This Row],[Facture_Mensuelle]]*Clients_Churn_Part[[#This Row],[Remise]]</f>
        <v>35.945</v>
      </c>
      <c r="N670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71" spans="1:14" x14ac:dyDescent="0.3">
      <c r="A671" t="s">
        <v>452</v>
      </c>
      <c r="B671" t="s">
        <v>482</v>
      </c>
      <c r="C671" t="s">
        <v>48</v>
      </c>
      <c r="D671">
        <v>100</v>
      </c>
      <c r="E671" s="7">
        <f>Clients_Churn_Part[[#This Row],[Anciennete_Mois]]/12</f>
        <v>8.3333333333333339</v>
      </c>
      <c r="F671" t="s">
        <v>21</v>
      </c>
      <c r="G671" t="str">
        <f>IF(Clients_Churn_Part[[#This Row],[Type_Forfait]]="pro Monde","B2B","B2C")</f>
        <v>B2C</v>
      </c>
      <c r="H671">
        <v>240</v>
      </c>
      <c r="I671" s="2">
        <f>Clients_Churn_Part[[#This Row],[Duree_Cumulee_Panne_Min]]/60</f>
        <v>4</v>
      </c>
      <c r="J671">
        <v>24.83</v>
      </c>
      <c r="K671">
        <v>4</v>
      </c>
      <c r="L671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0.7</v>
      </c>
      <c r="M671">
        <f>Clients_Churn_Part[[#This Row],[Facture_Mensuelle]]*Clients_Churn_Part[[#This Row],[Remise]]</f>
        <v>17.380999999999997</v>
      </c>
      <c r="N671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72" spans="1:14" x14ac:dyDescent="0.3">
      <c r="A672" t="s">
        <v>682</v>
      </c>
      <c r="B672" t="s">
        <v>690</v>
      </c>
      <c r="C672" t="s">
        <v>12</v>
      </c>
      <c r="D672">
        <v>5</v>
      </c>
      <c r="E672" s="7">
        <f>Clients_Churn_Part[[#This Row],[Anciennete_Mois]]/12</f>
        <v>0.41666666666666669</v>
      </c>
      <c r="F672" t="s">
        <v>10</v>
      </c>
      <c r="G672" t="str">
        <f>IF(Clients_Churn_Part[[#This Row],[Type_Forfait]]="pro Monde","B2B","B2C")</f>
        <v>B2C</v>
      </c>
      <c r="H672">
        <v>71</v>
      </c>
      <c r="I672" s="2">
        <f>Clients_Churn_Part[[#This Row],[Duree_Cumulee_Panne_Min]]/60</f>
        <v>1.1833333333333333</v>
      </c>
      <c r="J672">
        <v>93.81</v>
      </c>
      <c r="K672">
        <v>3</v>
      </c>
      <c r="L672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0.45</v>
      </c>
      <c r="M672">
        <f>Clients_Churn_Part[[#This Row],[Facture_Mensuelle]]*Clients_Churn_Part[[#This Row],[Remise]]</f>
        <v>42.214500000000001</v>
      </c>
      <c r="N672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73" spans="1:14" x14ac:dyDescent="0.3">
      <c r="A673" t="s">
        <v>637</v>
      </c>
      <c r="B673" t="s">
        <v>664</v>
      </c>
      <c r="C673" t="s">
        <v>68</v>
      </c>
      <c r="D673">
        <v>7</v>
      </c>
      <c r="E673" s="7">
        <f>Clients_Churn_Part[[#This Row],[Anciennete_Mois]]/12</f>
        <v>0.58333333333333337</v>
      </c>
      <c r="F673" t="s">
        <v>13</v>
      </c>
      <c r="G673" t="str">
        <f>IF(Clients_Churn_Part[[#This Row],[Type_Forfait]]="pro Monde","B2B","B2C")</f>
        <v>B2B</v>
      </c>
      <c r="H673">
        <v>332</v>
      </c>
      <c r="I673" s="2">
        <f>Clients_Churn_Part[[#This Row],[Duree_Cumulee_Panne_Min]]/60</f>
        <v>5.5333333333333332</v>
      </c>
      <c r="J673">
        <v>83.95</v>
      </c>
      <c r="K673">
        <v>4</v>
      </c>
      <c r="L673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673">
        <f>Clients_Churn_Part[[#This Row],[Facture_Mensuelle]]*Clients_Churn_Part[[#This Row],[Remise]]</f>
        <v>8.3950000000000014</v>
      </c>
      <c r="N673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  <row r="674" spans="1:14" x14ac:dyDescent="0.3">
      <c r="A674" t="s">
        <v>405</v>
      </c>
      <c r="B674" t="s">
        <v>436</v>
      </c>
      <c r="C674" t="s">
        <v>29</v>
      </c>
      <c r="D674">
        <v>47</v>
      </c>
      <c r="E674" s="7">
        <f>Clients_Churn_Part[[#This Row],[Anciennete_Mois]]/12</f>
        <v>3.9166666666666665</v>
      </c>
      <c r="F674" t="s">
        <v>13</v>
      </c>
      <c r="G674" t="str">
        <f>IF(Clients_Churn_Part[[#This Row],[Type_Forfait]]="pro Monde","B2B","B2C")</f>
        <v>B2B</v>
      </c>
      <c r="H674">
        <v>149</v>
      </c>
      <c r="I674" s="2">
        <f>Clients_Churn_Part[[#This Row],[Duree_Cumulee_Panne_Min]]/60</f>
        <v>2.4833333333333334</v>
      </c>
      <c r="J674">
        <v>28.35</v>
      </c>
      <c r="K674">
        <v>1</v>
      </c>
      <c r="L674">
        <f>IF(AND(Clients_Churn_Part[[#This Row],[Duree_cumule_heure]]&gt;TIME(12,0,0),Clients_Churn_Part[[#This Row],[Anciennete_annee]]&gt;5),0.7,
 IF(OR(
       AND(Clients_Churn_Part[[#This Row],[Duree_cumule_heure]]&gt;=TIME(4,0,0),Clients_Churn_Part[[#This Row],[Duree_cumule_heure]]&lt;=TIME(12,0,0)),
       AND(Clients_Churn_Part[[#This Row],[Anciennete_annee]]&lt;5,Clients_Churn_Part[[#This Row],[Type_Forfait]]="Premium 5G 150Go")
    ),0.45,
 IF(Clients_Churn_Part[[#This Row],[type_client]]="B2B",0.1,0)))</f>
        <v>0.1</v>
      </c>
      <c r="M674">
        <f>Clients_Churn_Part[[#This Row],[Facture_Mensuelle]]*Clients_Churn_Part[[#This Row],[Remise]]</f>
        <v>2.8350000000000004</v>
      </c>
      <c r="N674" t="b">
        <f>AND(INT(Clients_Churn_Part[[#This Row],[Facture_Mensuelle]]*100)=Clients_Churn_Part[[#This Row],[Facture_Mensuelle]]*100,INT(Clients_Churn_Part[[#This Row],[Facture_Mensuelle]]*10)&lt;&gt;Clients_Churn_Part[[#This Row],[Facture_Mensuelle]]*10)</f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FA3CB-A85D-4484-94DC-DF0C28FD6464}">
  <dimension ref="A1:G1069"/>
  <sheetViews>
    <sheetView workbookViewId="0">
      <selection activeCell="J15" sqref="J15"/>
    </sheetView>
  </sheetViews>
  <sheetFormatPr baseColWidth="10" defaultRowHeight="14.4" x14ac:dyDescent="0.3"/>
  <cols>
    <col min="1" max="1" width="24.109375" bestFit="1" customWidth="1"/>
    <col min="2" max="2" width="24.109375" customWidth="1"/>
    <col min="3" max="3" width="22" customWidth="1"/>
    <col min="4" max="4" width="14.88671875" customWidth="1"/>
    <col min="5" max="5" width="26.109375" customWidth="1"/>
    <col min="6" max="6" width="21.6640625" customWidth="1"/>
    <col min="7" max="7" width="14.109375" customWidth="1"/>
  </cols>
  <sheetData>
    <row r="1" spans="1:7" x14ac:dyDescent="0.3">
      <c r="A1" t="s">
        <v>0</v>
      </c>
      <c r="B1" t="s">
        <v>1417</v>
      </c>
      <c r="C1" t="s">
        <v>728</v>
      </c>
      <c r="D1" t="s">
        <v>729</v>
      </c>
      <c r="E1" t="s">
        <v>730</v>
      </c>
      <c r="F1" t="s">
        <v>731</v>
      </c>
      <c r="G1" t="s">
        <v>726</v>
      </c>
    </row>
    <row r="2" spans="1:7" x14ac:dyDescent="0.3">
      <c r="A2" t="s">
        <v>1026</v>
      </c>
      <c r="B2" s="1">
        <v>45230.997916666667</v>
      </c>
      <c r="C2" s="2">
        <v>45230.997916666667</v>
      </c>
      <c r="D2" t="s">
        <v>1031</v>
      </c>
      <c r="E2">
        <v>72</v>
      </c>
      <c r="F2" t="s">
        <v>739</v>
      </c>
      <c r="G2" t="b">
        <f>LEFT(Logs_Reseau_Part[[#This Row],[Cell_ID]],1)="A"</f>
        <v>1</v>
      </c>
    </row>
    <row r="3" spans="1:7" x14ac:dyDescent="0.3">
      <c r="A3" t="s">
        <v>863</v>
      </c>
      <c r="B3" s="1">
        <v>45230.925000000003</v>
      </c>
      <c r="C3" s="2">
        <v>45230.925000000003</v>
      </c>
      <c r="D3" t="s">
        <v>891</v>
      </c>
      <c r="E3">
        <v>90</v>
      </c>
      <c r="F3" t="s">
        <v>734</v>
      </c>
      <c r="G3" t="b">
        <f>LEFT(Logs_Reseau_Part[[#This Row],[Cell_ID]],1)="A"</f>
        <v>1</v>
      </c>
    </row>
    <row r="4" spans="1:7" x14ac:dyDescent="0.3">
      <c r="A4" t="s">
        <v>1363</v>
      </c>
      <c r="B4" s="1">
        <v>45230.913194444453</v>
      </c>
      <c r="C4" s="2">
        <v>45230.913194444453</v>
      </c>
      <c r="D4" t="s">
        <v>1148</v>
      </c>
      <c r="E4">
        <v>62</v>
      </c>
      <c r="F4" t="s">
        <v>734</v>
      </c>
      <c r="G4" t="b">
        <f>LEFT(Logs_Reseau_Part[[#This Row],[Cell_ID]],1)="A"</f>
        <v>1</v>
      </c>
    </row>
    <row r="5" spans="1:7" x14ac:dyDescent="0.3">
      <c r="A5" t="s">
        <v>904</v>
      </c>
      <c r="B5" s="1">
        <v>45230.911805555559</v>
      </c>
      <c r="C5" s="2">
        <v>45230.911805555559</v>
      </c>
      <c r="D5" t="s">
        <v>940</v>
      </c>
      <c r="E5">
        <v>16</v>
      </c>
      <c r="F5" t="s">
        <v>737</v>
      </c>
      <c r="G5" t="b">
        <f>LEFT(Logs_Reseau_Part[[#This Row],[Cell_ID]],1)="A"</f>
        <v>1</v>
      </c>
    </row>
    <row r="6" spans="1:7" x14ac:dyDescent="0.3">
      <c r="A6" t="s">
        <v>1384</v>
      </c>
      <c r="B6" s="1">
        <v>45230.90625</v>
      </c>
      <c r="C6" s="2">
        <v>45230.90625</v>
      </c>
      <c r="D6" t="s">
        <v>1336</v>
      </c>
      <c r="E6">
        <v>87</v>
      </c>
      <c r="F6" t="s">
        <v>734</v>
      </c>
      <c r="G6" t="b">
        <f>LEFT(Logs_Reseau_Part[[#This Row],[Cell_ID]],1)="A"</f>
        <v>1</v>
      </c>
    </row>
    <row r="7" spans="1:7" x14ac:dyDescent="0.3">
      <c r="A7" t="s">
        <v>1116</v>
      </c>
      <c r="B7" s="1">
        <v>45230.868055555547</v>
      </c>
      <c r="C7" s="2">
        <v>45230.868055555547</v>
      </c>
      <c r="D7" t="s">
        <v>1125</v>
      </c>
      <c r="E7">
        <v>103</v>
      </c>
      <c r="F7" t="s">
        <v>739</v>
      </c>
      <c r="G7" t="b">
        <f>LEFT(Logs_Reseau_Part[[#This Row],[Cell_ID]],1)="A"</f>
        <v>1</v>
      </c>
    </row>
    <row r="8" spans="1:7" x14ac:dyDescent="0.3">
      <c r="A8" t="s">
        <v>1026</v>
      </c>
      <c r="B8" s="1">
        <v>45230.863888888889</v>
      </c>
      <c r="C8" s="2">
        <v>45230.863888888889</v>
      </c>
      <c r="D8" t="s">
        <v>1047</v>
      </c>
      <c r="E8">
        <v>57</v>
      </c>
      <c r="F8" t="s">
        <v>734</v>
      </c>
      <c r="G8" t="b">
        <f>LEFT(Logs_Reseau_Part[[#This Row],[Cell_ID]],1)="A"</f>
        <v>1</v>
      </c>
    </row>
    <row r="9" spans="1:7" x14ac:dyDescent="0.3">
      <c r="A9" t="s">
        <v>1167</v>
      </c>
      <c r="B9" s="1">
        <v>45230.862500000003</v>
      </c>
      <c r="C9" s="2">
        <v>45230.862500000003</v>
      </c>
      <c r="D9" t="s">
        <v>803</v>
      </c>
      <c r="E9">
        <v>67</v>
      </c>
      <c r="F9" t="s">
        <v>734</v>
      </c>
      <c r="G9" t="b">
        <f>LEFT(Logs_Reseau_Part[[#This Row],[Cell_ID]],1)="A"</f>
        <v>1</v>
      </c>
    </row>
    <row r="10" spans="1:7" x14ac:dyDescent="0.3">
      <c r="A10" t="s">
        <v>1221</v>
      </c>
      <c r="B10" s="1">
        <v>45230.847222222219</v>
      </c>
      <c r="C10" s="2">
        <v>45230.847222222219</v>
      </c>
      <c r="D10" t="s">
        <v>793</v>
      </c>
      <c r="E10">
        <v>58</v>
      </c>
      <c r="F10" t="s">
        <v>739</v>
      </c>
      <c r="G10" t="b">
        <f>LEFT(Logs_Reseau_Part[[#This Row],[Cell_ID]],1)="A"</f>
        <v>1</v>
      </c>
    </row>
    <row r="11" spans="1:7" x14ac:dyDescent="0.3">
      <c r="A11" t="s">
        <v>1406</v>
      </c>
      <c r="B11" s="1">
        <v>45230.839583333327</v>
      </c>
      <c r="C11" s="2">
        <v>45230.839583333327</v>
      </c>
      <c r="D11" t="s">
        <v>1122</v>
      </c>
      <c r="E11">
        <v>83</v>
      </c>
      <c r="F11" t="s">
        <v>739</v>
      </c>
      <c r="G11" t="b">
        <f>LEFT(Logs_Reseau_Part[[#This Row],[Cell_ID]],1)="A"</f>
        <v>1</v>
      </c>
    </row>
    <row r="12" spans="1:7" x14ac:dyDescent="0.3">
      <c r="A12" t="s">
        <v>863</v>
      </c>
      <c r="B12" s="1">
        <v>45230.834722222222</v>
      </c>
      <c r="C12" s="2">
        <v>45230.834722222222</v>
      </c>
      <c r="D12" t="s">
        <v>778</v>
      </c>
      <c r="E12">
        <v>46</v>
      </c>
      <c r="F12" t="s">
        <v>737</v>
      </c>
      <c r="G12" t="b">
        <f>LEFT(Logs_Reseau_Part[[#This Row],[Cell_ID]],1)="A"</f>
        <v>1</v>
      </c>
    </row>
    <row r="13" spans="1:7" x14ac:dyDescent="0.3">
      <c r="A13" t="s">
        <v>732</v>
      </c>
      <c r="B13" s="1">
        <v>45230.788888888892</v>
      </c>
      <c r="C13" s="2">
        <v>45230.788888888892</v>
      </c>
      <c r="D13" t="s">
        <v>776</v>
      </c>
      <c r="E13">
        <v>87</v>
      </c>
      <c r="F13" t="s">
        <v>737</v>
      </c>
      <c r="G13" t="b">
        <f>LEFT(Logs_Reseau_Part[[#This Row],[Cell_ID]],1)="A"</f>
        <v>1</v>
      </c>
    </row>
    <row r="14" spans="1:7" x14ac:dyDescent="0.3">
      <c r="A14" t="s">
        <v>1001</v>
      </c>
      <c r="B14" s="1">
        <v>45230.776388888888</v>
      </c>
      <c r="C14" s="2">
        <v>45230.776388888888</v>
      </c>
      <c r="D14" t="s">
        <v>1018</v>
      </c>
      <c r="E14">
        <v>55</v>
      </c>
      <c r="F14" t="s">
        <v>737</v>
      </c>
      <c r="G14" t="b">
        <f>LEFT(Logs_Reseau_Part[[#This Row],[Cell_ID]],1)="A"</f>
        <v>1</v>
      </c>
    </row>
    <row r="15" spans="1:7" x14ac:dyDescent="0.3">
      <c r="A15" t="s">
        <v>1310</v>
      </c>
      <c r="B15" s="1">
        <v>45230.767361111109</v>
      </c>
      <c r="C15" s="2">
        <v>45230.767361111109</v>
      </c>
      <c r="D15" t="s">
        <v>1313</v>
      </c>
      <c r="E15">
        <v>16</v>
      </c>
      <c r="F15" t="s">
        <v>739</v>
      </c>
      <c r="G15" t="b">
        <f>LEFT(Logs_Reseau_Part[[#This Row],[Cell_ID]],1)="A"</f>
        <v>1</v>
      </c>
    </row>
    <row r="16" spans="1:7" x14ac:dyDescent="0.3">
      <c r="A16" t="s">
        <v>1406</v>
      </c>
      <c r="B16" s="1">
        <v>45230.731944444437</v>
      </c>
      <c r="C16" s="2">
        <v>45230.731944444437</v>
      </c>
      <c r="D16" t="s">
        <v>1032</v>
      </c>
      <c r="E16">
        <v>52</v>
      </c>
      <c r="F16" t="s">
        <v>734</v>
      </c>
      <c r="G16" t="b">
        <f>LEFT(Logs_Reseau_Part[[#This Row],[Cell_ID]],1)="A"</f>
        <v>1</v>
      </c>
    </row>
    <row r="17" spans="1:7" x14ac:dyDescent="0.3">
      <c r="A17" t="s">
        <v>980</v>
      </c>
      <c r="B17" s="1">
        <v>45230.726388888892</v>
      </c>
      <c r="C17" s="2">
        <v>45230.726388888892</v>
      </c>
      <c r="D17" t="s">
        <v>959</v>
      </c>
      <c r="E17">
        <v>19</v>
      </c>
      <c r="F17" t="s">
        <v>737</v>
      </c>
      <c r="G17" t="b">
        <f>LEFT(Logs_Reseau_Part[[#This Row],[Cell_ID]],1)="A"</f>
        <v>1</v>
      </c>
    </row>
    <row r="18" spans="1:7" x14ac:dyDescent="0.3">
      <c r="A18" t="s">
        <v>1347</v>
      </c>
      <c r="B18" s="1">
        <v>45230.64166666667</v>
      </c>
      <c r="C18" s="2">
        <v>45230.64166666667</v>
      </c>
      <c r="D18" t="s">
        <v>1359</v>
      </c>
      <c r="E18">
        <v>106</v>
      </c>
      <c r="F18" t="s">
        <v>734</v>
      </c>
      <c r="G18" t="b">
        <f>LEFT(Logs_Reseau_Part[[#This Row],[Cell_ID]],1)="A"</f>
        <v>1</v>
      </c>
    </row>
    <row r="19" spans="1:7" x14ac:dyDescent="0.3">
      <c r="A19" t="s">
        <v>1243</v>
      </c>
      <c r="B19" s="1">
        <v>45230.638888888891</v>
      </c>
      <c r="C19" s="2">
        <v>45230.638888888891</v>
      </c>
      <c r="D19" t="s">
        <v>1244</v>
      </c>
      <c r="E19">
        <v>77</v>
      </c>
      <c r="F19" t="s">
        <v>737</v>
      </c>
      <c r="G19" t="b">
        <f>LEFT(Logs_Reseau_Part[[#This Row],[Cell_ID]],1)="A"</f>
        <v>1</v>
      </c>
    </row>
    <row r="20" spans="1:7" x14ac:dyDescent="0.3">
      <c r="A20" t="s">
        <v>1026</v>
      </c>
      <c r="B20" s="1">
        <v>45230.633333333331</v>
      </c>
      <c r="C20" s="2">
        <v>45230.633333333331</v>
      </c>
      <c r="D20" t="s">
        <v>1057</v>
      </c>
      <c r="E20">
        <v>34</v>
      </c>
      <c r="F20" t="s">
        <v>734</v>
      </c>
      <c r="G20" t="b">
        <f>LEFT(Logs_Reseau_Part[[#This Row],[Cell_ID]],1)="A"</f>
        <v>1</v>
      </c>
    </row>
    <row r="21" spans="1:7" x14ac:dyDescent="0.3">
      <c r="A21" t="s">
        <v>904</v>
      </c>
      <c r="B21" s="1">
        <v>45230.629861111112</v>
      </c>
      <c r="C21" s="2">
        <v>45230.629861111112</v>
      </c>
      <c r="D21" t="s">
        <v>906</v>
      </c>
      <c r="E21">
        <v>91</v>
      </c>
      <c r="F21" t="s">
        <v>734</v>
      </c>
      <c r="G21" t="b">
        <f>LEFT(Logs_Reseau_Part[[#This Row],[Cell_ID]],1)="A"</f>
        <v>1</v>
      </c>
    </row>
    <row r="22" spans="1:7" x14ac:dyDescent="0.3">
      <c r="A22" t="s">
        <v>1363</v>
      </c>
      <c r="B22" s="1">
        <v>45230.595138888893</v>
      </c>
      <c r="C22" s="2">
        <v>45230.595138888893</v>
      </c>
      <c r="D22" t="s">
        <v>1366</v>
      </c>
      <c r="E22">
        <v>14</v>
      </c>
      <c r="F22" t="s">
        <v>734</v>
      </c>
      <c r="G22" t="b">
        <f>LEFT(Logs_Reseau_Part[[#This Row],[Cell_ID]],1)="A"</f>
        <v>1</v>
      </c>
    </row>
    <row r="23" spans="1:7" x14ac:dyDescent="0.3">
      <c r="A23" t="s">
        <v>1243</v>
      </c>
      <c r="B23" s="1">
        <v>45230.577777777777</v>
      </c>
      <c r="C23" s="2">
        <v>45230.577777777777</v>
      </c>
      <c r="D23" t="s">
        <v>1247</v>
      </c>
      <c r="E23">
        <v>97</v>
      </c>
      <c r="F23" t="s">
        <v>734</v>
      </c>
      <c r="G23" t="b">
        <f>LEFT(Logs_Reseau_Part[[#This Row],[Cell_ID]],1)="A"</f>
        <v>1</v>
      </c>
    </row>
    <row r="24" spans="1:7" x14ac:dyDescent="0.3">
      <c r="A24" t="s">
        <v>1167</v>
      </c>
      <c r="B24" s="1">
        <v>45230.565972222219</v>
      </c>
      <c r="C24" s="2">
        <v>45230.565972222219</v>
      </c>
      <c r="D24" t="s">
        <v>886</v>
      </c>
      <c r="E24">
        <v>74</v>
      </c>
      <c r="F24" t="s">
        <v>734</v>
      </c>
      <c r="G24" t="b">
        <f>LEFT(Logs_Reseau_Part[[#This Row],[Cell_ID]],1)="A"</f>
        <v>1</v>
      </c>
    </row>
    <row r="25" spans="1:7" x14ac:dyDescent="0.3">
      <c r="A25" t="s">
        <v>1290</v>
      </c>
      <c r="B25" s="1">
        <v>45230.537499999999</v>
      </c>
      <c r="C25" s="2">
        <v>45230.537499999999</v>
      </c>
      <c r="D25" t="s">
        <v>1291</v>
      </c>
      <c r="E25">
        <v>33</v>
      </c>
      <c r="F25" t="s">
        <v>737</v>
      </c>
      <c r="G25" t="b">
        <f>LEFT(Logs_Reseau_Part[[#This Row],[Cell_ID]],1)="A"</f>
        <v>1</v>
      </c>
    </row>
    <row r="26" spans="1:7" x14ac:dyDescent="0.3">
      <c r="A26" t="s">
        <v>1263</v>
      </c>
      <c r="B26" s="1">
        <v>45230.50277777778</v>
      </c>
      <c r="C26" s="2">
        <v>45230.50277777778</v>
      </c>
      <c r="D26" t="s">
        <v>1126</v>
      </c>
      <c r="E26">
        <v>99</v>
      </c>
      <c r="F26" t="s">
        <v>734</v>
      </c>
      <c r="G26" t="b">
        <f>LEFT(Logs_Reseau_Part[[#This Row],[Cell_ID]],1)="A"</f>
        <v>1</v>
      </c>
    </row>
    <row r="27" spans="1:7" x14ac:dyDescent="0.3">
      <c r="A27" t="s">
        <v>863</v>
      </c>
      <c r="B27" s="1">
        <v>45230.486111111109</v>
      </c>
      <c r="C27" s="2">
        <v>45230.486111111109</v>
      </c>
      <c r="D27" t="s">
        <v>902</v>
      </c>
      <c r="E27">
        <v>38</v>
      </c>
      <c r="F27" t="s">
        <v>734</v>
      </c>
      <c r="G27" t="b">
        <f>LEFT(Logs_Reseau_Part[[#This Row],[Cell_ID]],1)="A"</f>
        <v>1</v>
      </c>
    </row>
    <row r="28" spans="1:7" x14ac:dyDescent="0.3">
      <c r="A28" t="s">
        <v>941</v>
      </c>
      <c r="B28" s="1">
        <v>45230.484027777777</v>
      </c>
      <c r="C28" s="2">
        <v>45230.484027777777</v>
      </c>
      <c r="D28" t="s">
        <v>977</v>
      </c>
      <c r="E28">
        <v>37</v>
      </c>
      <c r="F28" t="s">
        <v>737</v>
      </c>
      <c r="G28" t="b">
        <f>LEFT(Logs_Reseau_Part[[#This Row],[Cell_ID]],1)="A"</f>
        <v>1</v>
      </c>
    </row>
    <row r="29" spans="1:7" x14ac:dyDescent="0.3">
      <c r="A29" t="s">
        <v>941</v>
      </c>
      <c r="B29" s="1">
        <v>45230.444444444453</v>
      </c>
      <c r="C29" s="2">
        <v>45230.444444444453</v>
      </c>
      <c r="D29" t="s">
        <v>930</v>
      </c>
      <c r="E29">
        <v>40</v>
      </c>
      <c r="F29" t="s">
        <v>734</v>
      </c>
      <c r="G29" t="b">
        <f>LEFT(Logs_Reseau_Part[[#This Row],[Cell_ID]],1)="A"</f>
        <v>1</v>
      </c>
    </row>
    <row r="30" spans="1:7" x14ac:dyDescent="0.3">
      <c r="A30" t="s">
        <v>1384</v>
      </c>
      <c r="B30" s="1">
        <v>45230.429166666669</v>
      </c>
      <c r="C30" s="2">
        <v>45230.429166666669</v>
      </c>
      <c r="D30" t="s">
        <v>1125</v>
      </c>
      <c r="E30">
        <v>11</v>
      </c>
      <c r="F30" t="s">
        <v>739</v>
      </c>
      <c r="G30" t="b">
        <f>LEFT(Logs_Reseau_Part[[#This Row],[Cell_ID]],1)="A"</f>
        <v>1</v>
      </c>
    </row>
    <row r="31" spans="1:7" x14ac:dyDescent="0.3">
      <c r="A31" t="s">
        <v>1116</v>
      </c>
      <c r="B31" s="1">
        <v>45230.40902777778</v>
      </c>
      <c r="C31" s="2">
        <v>45230.40902777778</v>
      </c>
      <c r="D31" t="s">
        <v>1137</v>
      </c>
      <c r="E31">
        <v>80</v>
      </c>
      <c r="F31" t="s">
        <v>737</v>
      </c>
      <c r="G31" t="b">
        <f>LEFT(Logs_Reseau_Part[[#This Row],[Cell_ID]],1)="A"</f>
        <v>1</v>
      </c>
    </row>
    <row r="32" spans="1:7" x14ac:dyDescent="0.3">
      <c r="A32" t="s">
        <v>1347</v>
      </c>
      <c r="B32" s="1">
        <v>45230.395138888889</v>
      </c>
      <c r="C32" s="2">
        <v>45230.395138888889</v>
      </c>
      <c r="D32" t="s">
        <v>1362</v>
      </c>
      <c r="E32">
        <v>89</v>
      </c>
      <c r="F32" t="s">
        <v>739</v>
      </c>
      <c r="G32" t="b">
        <f>LEFT(Logs_Reseau_Part[[#This Row],[Cell_ID]],1)="A"</f>
        <v>1</v>
      </c>
    </row>
    <row r="33" spans="1:7" x14ac:dyDescent="0.3">
      <c r="A33" t="s">
        <v>1195</v>
      </c>
      <c r="B33" s="1">
        <v>45230.323611111111</v>
      </c>
      <c r="C33" s="2">
        <v>45230.323611111111</v>
      </c>
      <c r="D33" t="s">
        <v>875</v>
      </c>
      <c r="E33">
        <v>105</v>
      </c>
      <c r="F33" t="s">
        <v>734</v>
      </c>
      <c r="G33" t="b">
        <f>LEFT(Logs_Reseau_Part[[#This Row],[Cell_ID]],1)="A"</f>
        <v>1</v>
      </c>
    </row>
    <row r="34" spans="1:7" x14ac:dyDescent="0.3">
      <c r="A34" t="s">
        <v>1116</v>
      </c>
      <c r="B34" s="1">
        <v>45230.303472222222</v>
      </c>
      <c r="C34" s="2">
        <v>45230.303472222222</v>
      </c>
      <c r="D34" t="s">
        <v>1135</v>
      </c>
      <c r="E34">
        <v>83</v>
      </c>
      <c r="F34" t="s">
        <v>739</v>
      </c>
      <c r="G34" t="b">
        <f>LEFT(Logs_Reseau_Part[[#This Row],[Cell_ID]],1)="A"</f>
        <v>1</v>
      </c>
    </row>
    <row r="35" spans="1:7" x14ac:dyDescent="0.3">
      <c r="A35" t="s">
        <v>1026</v>
      </c>
      <c r="B35" s="1">
        <v>45230.26458333333</v>
      </c>
      <c r="C35" s="2">
        <v>45230.26458333333</v>
      </c>
      <c r="D35" t="s">
        <v>1056</v>
      </c>
      <c r="E35">
        <v>62</v>
      </c>
      <c r="F35" t="s">
        <v>734</v>
      </c>
      <c r="G35" t="b">
        <f>LEFT(Logs_Reseau_Part[[#This Row],[Cell_ID]],1)="A"</f>
        <v>1</v>
      </c>
    </row>
    <row r="36" spans="1:7" x14ac:dyDescent="0.3">
      <c r="A36" t="s">
        <v>1116</v>
      </c>
      <c r="B36" s="1">
        <v>45230.228472222218</v>
      </c>
      <c r="C36" s="2">
        <v>45230.228472222218</v>
      </c>
      <c r="D36" t="s">
        <v>862</v>
      </c>
      <c r="E36">
        <v>39</v>
      </c>
      <c r="F36" t="s">
        <v>739</v>
      </c>
      <c r="G36" t="b">
        <f>LEFT(Logs_Reseau_Part[[#This Row],[Cell_ID]],1)="A"</f>
        <v>1</v>
      </c>
    </row>
    <row r="37" spans="1:7" x14ac:dyDescent="0.3">
      <c r="A37" t="s">
        <v>1140</v>
      </c>
      <c r="B37" s="1">
        <v>45230.1875</v>
      </c>
      <c r="C37" s="2">
        <v>45230.1875</v>
      </c>
      <c r="D37" t="s">
        <v>1149</v>
      </c>
      <c r="E37">
        <v>9</v>
      </c>
      <c r="F37" t="s">
        <v>739</v>
      </c>
      <c r="G37" t="b">
        <f>LEFT(Logs_Reseau_Part[[#This Row],[Cell_ID]],1)="A"</f>
        <v>1</v>
      </c>
    </row>
    <row r="38" spans="1:7" x14ac:dyDescent="0.3">
      <c r="A38" t="s">
        <v>1088</v>
      </c>
      <c r="B38" s="1">
        <v>45230.185416666667</v>
      </c>
      <c r="C38" s="2">
        <v>45230.185416666667</v>
      </c>
      <c r="D38" t="s">
        <v>1104</v>
      </c>
      <c r="E38">
        <v>31</v>
      </c>
      <c r="F38" t="s">
        <v>737</v>
      </c>
      <c r="G38" t="b">
        <f>LEFT(Logs_Reseau_Part[[#This Row],[Cell_ID]],1)="A"</f>
        <v>1</v>
      </c>
    </row>
    <row r="39" spans="1:7" x14ac:dyDescent="0.3">
      <c r="A39" t="s">
        <v>1310</v>
      </c>
      <c r="B39" s="1">
        <v>45230.12777777778</v>
      </c>
      <c r="C39" s="2">
        <v>45230.12777777778</v>
      </c>
      <c r="D39" t="s">
        <v>1229</v>
      </c>
      <c r="E39">
        <v>87</v>
      </c>
      <c r="F39" t="s">
        <v>739</v>
      </c>
      <c r="G39" t="b">
        <f>LEFT(Logs_Reseau_Part[[#This Row],[Cell_ID]],1)="A"</f>
        <v>1</v>
      </c>
    </row>
    <row r="40" spans="1:7" x14ac:dyDescent="0.3">
      <c r="A40" t="s">
        <v>1310</v>
      </c>
      <c r="B40" s="1">
        <v>45230.119444444441</v>
      </c>
      <c r="C40" s="2">
        <v>45230.119444444441</v>
      </c>
      <c r="D40" t="s">
        <v>918</v>
      </c>
      <c r="E40">
        <v>8</v>
      </c>
      <c r="F40" t="s">
        <v>737</v>
      </c>
      <c r="G40" t="b">
        <f>LEFT(Logs_Reseau_Part[[#This Row],[Cell_ID]],1)="A"</f>
        <v>1</v>
      </c>
    </row>
    <row r="41" spans="1:7" x14ac:dyDescent="0.3">
      <c r="A41" t="s">
        <v>1221</v>
      </c>
      <c r="B41" s="1">
        <v>45230.088194444441</v>
      </c>
      <c r="C41" s="2">
        <v>45230.088194444441</v>
      </c>
      <c r="D41" t="s">
        <v>1113</v>
      </c>
      <c r="E41">
        <v>87</v>
      </c>
      <c r="F41" t="s">
        <v>739</v>
      </c>
      <c r="G41" t="b">
        <f>LEFT(Logs_Reseau_Part[[#This Row],[Cell_ID]],1)="A"</f>
        <v>1</v>
      </c>
    </row>
    <row r="42" spans="1:7" x14ac:dyDescent="0.3">
      <c r="A42" t="s">
        <v>781</v>
      </c>
      <c r="B42" s="1">
        <v>45230.067361111112</v>
      </c>
      <c r="C42" s="2">
        <v>45230.067361111112</v>
      </c>
      <c r="D42" t="s">
        <v>805</v>
      </c>
      <c r="E42">
        <v>75</v>
      </c>
      <c r="F42" t="s">
        <v>734</v>
      </c>
      <c r="G42" t="b">
        <f>LEFT(Logs_Reseau_Part[[#This Row],[Cell_ID]],1)="A"</f>
        <v>1</v>
      </c>
    </row>
    <row r="43" spans="1:7" x14ac:dyDescent="0.3">
      <c r="A43" t="s">
        <v>1026</v>
      </c>
      <c r="B43" s="1">
        <v>45230.061111111107</v>
      </c>
      <c r="C43" s="2">
        <v>45230.061111111107</v>
      </c>
      <c r="D43" t="s">
        <v>1035</v>
      </c>
      <c r="E43">
        <v>103</v>
      </c>
      <c r="F43" t="s">
        <v>734</v>
      </c>
      <c r="G43" t="b">
        <f>LEFT(Logs_Reseau_Part[[#This Row],[Cell_ID]],1)="A"</f>
        <v>1</v>
      </c>
    </row>
    <row r="44" spans="1:7" x14ac:dyDescent="0.3">
      <c r="A44" t="s">
        <v>1347</v>
      </c>
      <c r="B44" s="1">
        <v>45230.039583333331</v>
      </c>
      <c r="C44" s="2">
        <v>45230.039583333331</v>
      </c>
      <c r="D44" t="s">
        <v>1274</v>
      </c>
      <c r="E44">
        <v>117</v>
      </c>
      <c r="F44" t="s">
        <v>737</v>
      </c>
      <c r="G44" t="b">
        <f>LEFT(Logs_Reseau_Part[[#This Row],[Cell_ID]],1)="A"</f>
        <v>1</v>
      </c>
    </row>
    <row r="45" spans="1:7" x14ac:dyDescent="0.3">
      <c r="A45" t="s">
        <v>1167</v>
      </c>
      <c r="B45" s="1">
        <v>45230.009027777778</v>
      </c>
      <c r="C45" s="2">
        <v>45230.009027777778</v>
      </c>
      <c r="D45" t="s">
        <v>813</v>
      </c>
      <c r="E45">
        <v>11</v>
      </c>
      <c r="F45" t="s">
        <v>737</v>
      </c>
      <c r="G45" t="b">
        <f>LEFT(Logs_Reseau_Part[[#This Row],[Cell_ID]],1)="A"</f>
        <v>1</v>
      </c>
    </row>
    <row r="46" spans="1:7" x14ac:dyDescent="0.3">
      <c r="A46" t="s">
        <v>825</v>
      </c>
      <c r="B46" s="1">
        <v>45230.004861111112</v>
      </c>
      <c r="C46" s="2">
        <v>45230.004861111112</v>
      </c>
      <c r="D46" t="s">
        <v>826</v>
      </c>
      <c r="E46">
        <v>58</v>
      </c>
      <c r="F46" t="s">
        <v>734</v>
      </c>
      <c r="G46" t="b">
        <f>LEFT(Logs_Reseau_Part[[#This Row],[Cell_ID]],1)="A"</f>
        <v>1</v>
      </c>
    </row>
    <row r="47" spans="1:7" x14ac:dyDescent="0.3">
      <c r="A47" t="s">
        <v>1406</v>
      </c>
      <c r="B47" s="1">
        <v>45229.986805555563</v>
      </c>
      <c r="C47" s="2">
        <v>45229.986805555563</v>
      </c>
      <c r="D47" t="s">
        <v>1182</v>
      </c>
      <c r="E47">
        <v>37</v>
      </c>
      <c r="F47" t="s">
        <v>739</v>
      </c>
      <c r="G47" t="b">
        <f>LEFT(Logs_Reseau_Part[[#This Row],[Cell_ID]],1)="A"</f>
        <v>1</v>
      </c>
    </row>
    <row r="48" spans="1:7" x14ac:dyDescent="0.3">
      <c r="A48" t="s">
        <v>1263</v>
      </c>
      <c r="B48" s="1">
        <v>45229.972222222219</v>
      </c>
      <c r="C48" s="2">
        <v>45229.972222222219</v>
      </c>
      <c r="D48" t="s">
        <v>1203</v>
      </c>
      <c r="E48">
        <v>5</v>
      </c>
      <c r="F48" t="s">
        <v>739</v>
      </c>
      <c r="G48" t="b">
        <f>LEFT(Logs_Reseau_Part[[#This Row],[Cell_ID]],1)="A"</f>
        <v>1</v>
      </c>
    </row>
    <row r="49" spans="1:7" x14ac:dyDescent="0.3">
      <c r="A49" t="s">
        <v>1310</v>
      </c>
      <c r="B49" s="1">
        <v>45229.801388888889</v>
      </c>
      <c r="C49" s="2">
        <v>45229.801388888889</v>
      </c>
      <c r="D49" t="s">
        <v>948</v>
      </c>
      <c r="E49">
        <v>89</v>
      </c>
      <c r="F49" t="s">
        <v>734</v>
      </c>
      <c r="G49" t="b">
        <f>LEFT(Logs_Reseau_Part[[#This Row],[Cell_ID]],1)="A"</f>
        <v>1</v>
      </c>
    </row>
    <row r="50" spans="1:7" x14ac:dyDescent="0.3">
      <c r="A50" t="s">
        <v>1290</v>
      </c>
      <c r="B50" s="1">
        <v>45229.772222222222</v>
      </c>
      <c r="C50" s="2">
        <v>45229.772222222222</v>
      </c>
      <c r="D50" t="s">
        <v>1183</v>
      </c>
      <c r="E50">
        <v>27</v>
      </c>
      <c r="F50" t="s">
        <v>734</v>
      </c>
      <c r="G50" t="b">
        <f>LEFT(Logs_Reseau_Part[[#This Row],[Cell_ID]],1)="A"</f>
        <v>1</v>
      </c>
    </row>
    <row r="51" spans="1:7" x14ac:dyDescent="0.3">
      <c r="A51" t="s">
        <v>941</v>
      </c>
      <c r="B51" s="1">
        <v>45229.756249999999</v>
      </c>
      <c r="C51" s="2">
        <v>45229.756249999999</v>
      </c>
      <c r="D51" t="s">
        <v>973</v>
      </c>
      <c r="E51">
        <v>82</v>
      </c>
      <c r="F51" t="s">
        <v>739</v>
      </c>
      <c r="G51" t="b">
        <f>LEFT(Logs_Reseau_Part[[#This Row],[Cell_ID]],1)="A"</f>
        <v>1</v>
      </c>
    </row>
    <row r="52" spans="1:7" x14ac:dyDescent="0.3">
      <c r="A52" t="s">
        <v>825</v>
      </c>
      <c r="B52" s="1">
        <v>45229.738194444442</v>
      </c>
      <c r="C52" s="2">
        <v>45229.738194444442</v>
      </c>
      <c r="D52" t="s">
        <v>835</v>
      </c>
      <c r="E52">
        <v>36</v>
      </c>
      <c r="F52" t="s">
        <v>737</v>
      </c>
      <c r="G52" t="b">
        <f>LEFT(Logs_Reseau_Part[[#This Row],[Cell_ID]],1)="A"</f>
        <v>1</v>
      </c>
    </row>
    <row r="53" spans="1:7" x14ac:dyDescent="0.3">
      <c r="A53" t="s">
        <v>1116</v>
      </c>
      <c r="B53" s="1">
        <v>45229.722916666673</v>
      </c>
      <c r="C53" s="2">
        <v>45229.722916666673</v>
      </c>
      <c r="D53" t="s">
        <v>881</v>
      </c>
      <c r="E53">
        <v>76</v>
      </c>
      <c r="F53" t="s">
        <v>737</v>
      </c>
      <c r="G53" t="b">
        <f>LEFT(Logs_Reseau_Part[[#This Row],[Cell_ID]],1)="A"</f>
        <v>1</v>
      </c>
    </row>
    <row r="54" spans="1:7" x14ac:dyDescent="0.3">
      <c r="A54" t="s">
        <v>1026</v>
      </c>
      <c r="B54" s="1">
        <v>45229.670138888891</v>
      </c>
      <c r="C54" s="2">
        <v>45229.670138888891</v>
      </c>
      <c r="D54" t="s">
        <v>1054</v>
      </c>
      <c r="E54">
        <v>41</v>
      </c>
      <c r="F54" t="s">
        <v>739</v>
      </c>
      <c r="G54" t="b">
        <f>LEFT(Logs_Reseau_Part[[#This Row],[Cell_ID]],1)="A"</f>
        <v>1</v>
      </c>
    </row>
    <row r="55" spans="1:7" x14ac:dyDescent="0.3">
      <c r="A55" t="s">
        <v>1310</v>
      </c>
      <c r="B55" s="1">
        <v>45229.631249999999</v>
      </c>
      <c r="C55" s="2">
        <v>45229.631249999999</v>
      </c>
      <c r="D55" t="s">
        <v>1315</v>
      </c>
      <c r="E55">
        <v>81</v>
      </c>
      <c r="F55" t="s">
        <v>734</v>
      </c>
      <c r="G55" t="b">
        <f>LEFT(Logs_Reseau_Part[[#This Row],[Cell_ID]],1)="A"</f>
        <v>1</v>
      </c>
    </row>
    <row r="56" spans="1:7" x14ac:dyDescent="0.3">
      <c r="A56" t="s">
        <v>1167</v>
      </c>
      <c r="B56" s="1">
        <v>45229.620833333327</v>
      </c>
      <c r="C56" s="2">
        <v>45229.620833333327</v>
      </c>
      <c r="D56" t="s">
        <v>1176</v>
      </c>
      <c r="E56">
        <v>74</v>
      </c>
      <c r="F56" t="s">
        <v>739</v>
      </c>
      <c r="G56" t="b">
        <f>LEFT(Logs_Reseau_Part[[#This Row],[Cell_ID]],1)="A"</f>
        <v>1</v>
      </c>
    </row>
    <row r="57" spans="1:7" x14ac:dyDescent="0.3">
      <c r="A57" t="s">
        <v>781</v>
      </c>
      <c r="B57" s="1">
        <v>45229.595833333333</v>
      </c>
      <c r="C57" s="2">
        <v>45229.595833333333</v>
      </c>
      <c r="D57" t="s">
        <v>759</v>
      </c>
      <c r="E57">
        <v>88</v>
      </c>
      <c r="F57" t="s">
        <v>739</v>
      </c>
      <c r="G57" t="b">
        <f>LEFT(Logs_Reseau_Part[[#This Row],[Cell_ID]],1)="A"</f>
        <v>1</v>
      </c>
    </row>
    <row r="58" spans="1:7" x14ac:dyDescent="0.3">
      <c r="A58" t="s">
        <v>732</v>
      </c>
      <c r="B58" s="1">
        <v>45229.503472222219</v>
      </c>
      <c r="C58" s="2">
        <v>45229.503472222219</v>
      </c>
      <c r="D58" t="s">
        <v>756</v>
      </c>
      <c r="E58">
        <v>106</v>
      </c>
      <c r="F58" t="s">
        <v>737</v>
      </c>
      <c r="G58" t="b">
        <f>LEFT(Logs_Reseau_Part[[#This Row],[Cell_ID]],1)="A"</f>
        <v>1</v>
      </c>
    </row>
    <row r="59" spans="1:7" x14ac:dyDescent="0.3">
      <c r="A59" t="s">
        <v>825</v>
      </c>
      <c r="B59" s="1">
        <v>45229.443749999999</v>
      </c>
      <c r="C59" s="2">
        <v>45229.443749999999</v>
      </c>
      <c r="D59" t="s">
        <v>839</v>
      </c>
      <c r="E59">
        <v>5</v>
      </c>
      <c r="F59" t="s">
        <v>734</v>
      </c>
      <c r="G59" t="b">
        <f>LEFT(Logs_Reseau_Part[[#This Row],[Cell_ID]],1)="A"</f>
        <v>1</v>
      </c>
    </row>
    <row r="60" spans="1:7" x14ac:dyDescent="0.3">
      <c r="A60" t="s">
        <v>1167</v>
      </c>
      <c r="B60" s="1">
        <v>45229.429861111108</v>
      </c>
      <c r="C60" s="2">
        <v>45229.429861111108</v>
      </c>
      <c r="D60" t="s">
        <v>1018</v>
      </c>
      <c r="E60">
        <v>90</v>
      </c>
      <c r="F60" t="s">
        <v>734</v>
      </c>
      <c r="G60" t="b">
        <f>LEFT(Logs_Reseau_Part[[#This Row],[Cell_ID]],1)="A"</f>
        <v>1</v>
      </c>
    </row>
    <row r="61" spans="1:7" x14ac:dyDescent="0.3">
      <c r="A61" t="s">
        <v>863</v>
      </c>
      <c r="B61" s="1">
        <v>45229.4</v>
      </c>
      <c r="C61" s="2">
        <v>45229.4</v>
      </c>
      <c r="D61" t="s">
        <v>889</v>
      </c>
      <c r="E61">
        <v>77</v>
      </c>
      <c r="F61" t="s">
        <v>734</v>
      </c>
      <c r="G61" t="b">
        <f>LEFT(Logs_Reseau_Part[[#This Row],[Cell_ID]],1)="A"</f>
        <v>1</v>
      </c>
    </row>
    <row r="62" spans="1:7" x14ac:dyDescent="0.3">
      <c r="A62" t="s">
        <v>1026</v>
      </c>
      <c r="B62" s="1">
        <v>45229.39166666667</v>
      </c>
      <c r="C62" s="2">
        <v>45229.39166666667</v>
      </c>
      <c r="D62" t="s">
        <v>1040</v>
      </c>
      <c r="E62">
        <v>28</v>
      </c>
      <c r="F62" t="s">
        <v>739</v>
      </c>
      <c r="G62" t="b">
        <f>LEFT(Logs_Reseau_Part[[#This Row],[Cell_ID]],1)="A"</f>
        <v>1</v>
      </c>
    </row>
    <row r="63" spans="1:7" x14ac:dyDescent="0.3">
      <c r="A63" t="s">
        <v>781</v>
      </c>
      <c r="B63" s="1">
        <v>45229.298611111109</v>
      </c>
      <c r="C63" s="2">
        <v>45229.298611111109</v>
      </c>
      <c r="D63" t="s">
        <v>796</v>
      </c>
      <c r="E63">
        <v>74</v>
      </c>
      <c r="F63" t="s">
        <v>739</v>
      </c>
      <c r="G63" t="b">
        <f>LEFT(Logs_Reseau_Part[[#This Row],[Cell_ID]],1)="A"</f>
        <v>1</v>
      </c>
    </row>
    <row r="64" spans="1:7" x14ac:dyDescent="0.3">
      <c r="A64" t="s">
        <v>1167</v>
      </c>
      <c r="B64" s="1">
        <v>45229.282638888893</v>
      </c>
      <c r="C64" s="2">
        <v>45229.282638888893</v>
      </c>
      <c r="D64" t="s">
        <v>778</v>
      </c>
      <c r="E64">
        <v>102</v>
      </c>
      <c r="F64" t="s">
        <v>737</v>
      </c>
      <c r="G64" t="b">
        <f>LEFT(Logs_Reseau_Part[[#This Row],[Cell_ID]],1)="A"</f>
        <v>1</v>
      </c>
    </row>
    <row r="65" spans="1:7" x14ac:dyDescent="0.3">
      <c r="A65" t="s">
        <v>1263</v>
      </c>
      <c r="B65" s="1">
        <v>45229.065972222219</v>
      </c>
      <c r="C65" s="2">
        <v>45229.065972222219</v>
      </c>
      <c r="D65" t="s">
        <v>799</v>
      </c>
      <c r="E65">
        <v>93</v>
      </c>
      <c r="F65" t="s">
        <v>734</v>
      </c>
      <c r="G65" t="b">
        <f>LEFT(Logs_Reseau_Part[[#This Row],[Cell_ID]],1)="A"</f>
        <v>1</v>
      </c>
    </row>
    <row r="66" spans="1:7" x14ac:dyDescent="0.3">
      <c r="A66" t="s">
        <v>1384</v>
      </c>
      <c r="B66" s="1">
        <v>45228.980555555558</v>
      </c>
      <c r="C66" s="2">
        <v>45228.980555555558</v>
      </c>
      <c r="D66" t="s">
        <v>940</v>
      </c>
      <c r="E66">
        <v>37</v>
      </c>
      <c r="F66" t="s">
        <v>737</v>
      </c>
      <c r="G66" t="b">
        <f>LEFT(Logs_Reseau_Part[[#This Row],[Cell_ID]],1)="A"</f>
        <v>1</v>
      </c>
    </row>
    <row r="67" spans="1:7" x14ac:dyDescent="0.3">
      <c r="A67" t="s">
        <v>1347</v>
      </c>
      <c r="B67" s="1">
        <v>45228.880555555559</v>
      </c>
      <c r="C67" s="2">
        <v>45228.880555555559</v>
      </c>
      <c r="D67" t="s">
        <v>1029</v>
      </c>
      <c r="E67">
        <v>112</v>
      </c>
      <c r="F67" t="s">
        <v>739</v>
      </c>
      <c r="G67" t="b">
        <f>LEFT(Logs_Reseau_Part[[#This Row],[Cell_ID]],1)="A"</f>
        <v>1</v>
      </c>
    </row>
    <row r="68" spans="1:7" x14ac:dyDescent="0.3">
      <c r="A68" t="s">
        <v>732</v>
      </c>
      <c r="B68" s="1">
        <v>45228.853472222218</v>
      </c>
      <c r="C68" s="2">
        <v>45228.853472222218</v>
      </c>
      <c r="D68" t="s">
        <v>773</v>
      </c>
      <c r="E68">
        <v>42</v>
      </c>
      <c r="F68" t="s">
        <v>734</v>
      </c>
      <c r="G68" t="b">
        <f>LEFT(Logs_Reseau_Part[[#This Row],[Cell_ID]],1)="A"</f>
        <v>1</v>
      </c>
    </row>
    <row r="69" spans="1:7" x14ac:dyDescent="0.3">
      <c r="A69" t="s">
        <v>980</v>
      </c>
      <c r="B69" s="1">
        <v>45228.848611111112</v>
      </c>
      <c r="C69" s="2">
        <v>45228.848611111112</v>
      </c>
      <c r="D69" t="s">
        <v>990</v>
      </c>
      <c r="E69">
        <v>18</v>
      </c>
      <c r="F69" t="s">
        <v>739</v>
      </c>
      <c r="G69" t="b">
        <f>LEFT(Logs_Reseau_Part[[#This Row],[Cell_ID]],1)="A"</f>
        <v>1</v>
      </c>
    </row>
    <row r="70" spans="1:7" x14ac:dyDescent="0.3">
      <c r="A70" t="s">
        <v>1243</v>
      </c>
      <c r="B70" s="1">
        <v>45228.840277777781</v>
      </c>
      <c r="C70" s="2">
        <v>45228.840277777781</v>
      </c>
      <c r="D70" t="s">
        <v>776</v>
      </c>
      <c r="E70">
        <v>101</v>
      </c>
      <c r="F70" t="s">
        <v>734</v>
      </c>
      <c r="G70" t="b">
        <f>LEFT(Logs_Reseau_Part[[#This Row],[Cell_ID]],1)="A"</f>
        <v>1</v>
      </c>
    </row>
    <row r="71" spans="1:7" x14ac:dyDescent="0.3">
      <c r="A71" t="s">
        <v>980</v>
      </c>
      <c r="B71" s="1">
        <v>45228.791666666657</v>
      </c>
      <c r="C71" s="2">
        <v>45228.791666666657</v>
      </c>
      <c r="D71" t="s">
        <v>733</v>
      </c>
      <c r="E71">
        <v>63</v>
      </c>
      <c r="F71" t="s">
        <v>734</v>
      </c>
      <c r="G71" t="b">
        <f>LEFT(Logs_Reseau_Part[[#This Row],[Cell_ID]],1)="A"</f>
        <v>1</v>
      </c>
    </row>
    <row r="72" spans="1:7" x14ac:dyDescent="0.3">
      <c r="A72" t="s">
        <v>825</v>
      </c>
      <c r="B72" s="1">
        <v>45228.758333333331</v>
      </c>
      <c r="C72" s="2">
        <v>45228.758333333331</v>
      </c>
      <c r="D72" t="s">
        <v>833</v>
      </c>
      <c r="E72">
        <v>54</v>
      </c>
      <c r="F72" t="s">
        <v>734</v>
      </c>
      <c r="G72" t="b">
        <f>LEFT(Logs_Reseau_Part[[#This Row],[Cell_ID]],1)="A"</f>
        <v>1</v>
      </c>
    </row>
    <row r="73" spans="1:7" x14ac:dyDescent="0.3">
      <c r="A73" t="s">
        <v>1195</v>
      </c>
      <c r="B73" s="1">
        <v>45228.747916666667</v>
      </c>
      <c r="C73" s="2">
        <v>45228.747916666667</v>
      </c>
      <c r="D73" t="s">
        <v>1194</v>
      </c>
      <c r="E73">
        <v>27</v>
      </c>
      <c r="F73" t="s">
        <v>734</v>
      </c>
      <c r="G73" t="b">
        <f>LEFT(Logs_Reseau_Part[[#This Row],[Cell_ID]],1)="A"</f>
        <v>1</v>
      </c>
    </row>
    <row r="74" spans="1:7" x14ac:dyDescent="0.3">
      <c r="A74" t="s">
        <v>1088</v>
      </c>
      <c r="B74" s="1">
        <v>45228.736111111109</v>
      </c>
      <c r="C74" s="2">
        <v>45228.736111111109</v>
      </c>
      <c r="D74" t="s">
        <v>1103</v>
      </c>
      <c r="E74">
        <v>66</v>
      </c>
      <c r="F74" t="s">
        <v>739</v>
      </c>
      <c r="G74" t="b">
        <f>LEFT(Logs_Reseau_Part[[#This Row],[Cell_ID]],1)="A"</f>
        <v>1</v>
      </c>
    </row>
    <row r="75" spans="1:7" x14ac:dyDescent="0.3">
      <c r="A75" t="s">
        <v>1116</v>
      </c>
      <c r="B75" s="1">
        <v>45228.672222222223</v>
      </c>
      <c r="C75" s="2">
        <v>45228.672222222223</v>
      </c>
      <c r="D75" t="s">
        <v>1119</v>
      </c>
      <c r="E75">
        <v>106</v>
      </c>
      <c r="F75" t="s">
        <v>734</v>
      </c>
      <c r="G75" t="b">
        <f>LEFT(Logs_Reseau_Part[[#This Row],[Cell_ID]],1)="A"</f>
        <v>1</v>
      </c>
    </row>
    <row r="76" spans="1:7" x14ac:dyDescent="0.3">
      <c r="A76" t="s">
        <v>1263</v>
      </c>
      <c r="B76" s="1">
        <v>45228.621527777781</v>
      </c>
      <c r="C76" s="2">
        <v>45228.621527777781</v>
      </c>
      <c r="D76" t="s">
        <v>798</v>
      </c>
      <c r="E76">
        <v>98</v>
      </c>
      <c r="F76" t="s">
        <v>739</v>
      </c>
      <c r="G76" t="b">
        <f>LEFT(Logs_Reseau_Part[[#This Row],[Cell_ID]],1)="A"</f>
        <v>1</v>
      </c>
    </row>
    <row r="77" spans="1:7" x14ac:dyDescent="0.3">
      <c r="A77" t="s">
        <v>863</v>
      </c>
      <c r="B77" s="1">
        <v>45228.614583333343</v>
      </c>
      <c r="C77" s="2">
        <v>45228.614583333343</v>
      </c>
      <c r="D77" t="s">
        <v>903</v>
      </c>
      <c r="E77">
        <v>48</v>
      </c>
      <c r="F77" t="s">
        <v>737</v>
      </c>
      <c r="G77" t="b">
        <f>LEFT(Logs_Reseau_Part[[#This Row],[Cell_ID]],1)="A"</f>
        <v>1</v>
      </c>
    </row>
    <row r="78" spans="1:7" x14ac:dyDescent="0.3">
      <c r="A78" t="s">
        <v>1384</v>
      </c>
      <c r="B78" s="1">
        <v>45228.57708333333</v>
      </c>
      <c r="C78" s="2">
        <v>45228.57708333333</v>
      </c>
      <c r="D78" t="s">
        <v>883</v>
      </c>
      <c r="E78">
        <v>80</v>
      </c>
      <c r="F78" t="s">
        <v>739</v>
      </c>
      <c r="G78" t="b">
        <f>LEFT(Logs_Reseau_Part[[#This Row],[Cell_ID]],1)="A"</f>
        <v>1</v>
      </c>
    </row>
    <row r="79" spans="1:7" x14ac:dyDescent="0.3">
      <c r="A79" t="s">
        <v>1310</v>
      </c>
      <c r="B79" s="1">
        <v>45228.563194444447</v>
      </c>
      <c r="C79" s="2">
        <v>45228.563194444447</v>
      </c>
      <c r="D79" t="s">
        <v>1216</v>
      </c>
      <c r="E79">
        <v>44</v>
      </c>
      <c r="F79" t="s">
        <v>734</v>
      </c>
      <c r="G79" t="b">
        <f>LEFT(Logs_Reseau_Part[[#This Row],[Cell_ID]],1)="A"</f>
        <v>1</v>
      </c>
    </row>
    <row r="80" spans="1:7" x14ac:dyDescent="0.3">
      <c r="A80" t="s">
        <v>1384</v>
      </c>
      <c r="B80" s="1">
        <v>45228.518055555563</v>
      </c>
      <c r="C80" s="2">
        <v>45228.518055555563</v>
      </c>
      <c r="D80" t="s">
        <v>1334</v>
      </c>
      <c r="E80">
        <v>92</v>
      </c>
      <c r="F80" t="s">
        <v>739</v>
      </c>
      <c r="G80" t="b">
        <f>LEFT(Logs_Reseau_Part[[#This Row],[Cell_ID]],1)="A"</f>
        <v>1</v>
      </c>
    </row>
    <row r="81" spans="1:7" x14ac:dyDescent="0.3">
      <c r="A81" t="s">
        <v>1310</v>
      </c>
      <c r="B81" s="1">
        <v>45228.515277777777</v>
      </c>
      <c r="C81" s="2">
        <v>45228.515277777777</v>
      </c>
      <c r="D81" t="s">
        <v>1320</v>
      </c>
      <c r="E81">
        <v>105</v>
      </c>
      <c r="F81" t="s">
        <v>734</v>
      </c>
      <c r="G81" t="b">
        <f>LEFT(Logs_Reseau_Part[[#This Row],[Cell_ID]],1)="A"</f>
        <v>1</v>
      </c>
    </row>
    <row r="82" spans="1:7" x14ac:dyDescent="0.3">
      <c r="A82" t="s">
        <v>863</v>
      </c>
      <c r="B82" s="1">
        <v>45228.511805555558</v>
      </c>
      <c r="C82" s="2">
        <v>45228.511805555558</v>
      </c>
      <c r="D82" t="s">
        <v>875</v>
      </c>
      <c r="E82">
        <v>64</v>
      </c>
      <c r="F82" t="s">
        <v>737</v>
      </c>
      <c r="G82" t="b">
        <f>LEFT(Logs_Reseau_Part[[#This Row],[Cell_ID]],1)="A"</f>
        <v>1</v>
      </c>
    </row>
    <row r="83" spans="1:7" x14ac:dyDescent="0.3">
      <c r="A83" t="s">
        <v>825</v>
      </c>
      <c r="B83" s="1">
        <v>45228.34097222222</v>
      </c>
      <c r="C83" s="2">
        <v>45228.34097222222</v>
      </c>
      <c r="D83" t="s">
        <v>827</v>
      </c>
      <c r="E83">
        <v>118</v>
      </c>
      <c r="F83" t="s">
        <v>739</v>
      </c>
      <c r="G83" t="b">
        <f>LEFT(Logs_Reseau_Part[[#This Row],[Cell_ID]],1)="A"</f>
        <v>1</v>
      </c>
    </row>
    <row r="84" spans="1:7" x14ac:dyDescent="0.3">
      <c r="A84" t="s">
        <v>1221</v>
      </c>
      <c r="B84" s="1">
        <v>45228.269444444442</v>
      </c>
      <c r="C84" s="2">
        <v>45228.269444444442</v>
      </c>
      <c r="D84" t="s">
        <v>823</v>
      </c>
      <c r="E84">
        <v>109</v>
      </c>
      <c r="F84" t="s">
        <v>737</v>
      </c>
      <c r="G84" t="b">
        <f>LEFT(Logs_Reseau_Part[[#This Row],[Cell_ID]],1)="A"</f>
        <v>1</v>
      </c>
    </row>
    <row r="85" spans="1:7" x14ac:dyDescent="0.3">
      <c r="A85" t="s">
        <v>1263</v>
      </c>
      <c r="B85" s="1">
        <v>45228.15902777778</v>
      </c>
      <c r="C85" s="2">
        <v>45228.15902777778</v>
      </c>
      <c r="D85" t="s">
        <v>1137</v>
      </c>
      <c r="E85">
        <v>30</v>
      </c>
      <c r="F85" t="s">
        <v>734</v>
      </c>
      <c r="G85" t="b">
        <f>LEFT(Logs_Reseau_Part[[#This Row],[Cell_ID]],1)="A"</f>
        <v>1</v>
      </c>
    </row>
    <row r="86" spans="1:7" x14ac:dyDescent="0.3">
      <c r="A86" t="s">
        <v>1243</v>
      </c>
      <c r="B86" s="1">
        <v>45228.100694444453</v>
      </c>
      <c r="C86" s="2">
        <v>45228.100694444453</v>
      </c>
      <c r="D86" t="s">
        <v>988</v>
      </c>
      <c r="E86">
        <v>23</v>
      </c>
      <c r="F86" t="s">
        <v>739</v>
      </c>
      <c r="G86" t="b">
        <f>LEFT(Logs_Reseau_Part[[#This Row],[Cell_ID]],1)="A"</f>
        <v>1</v>
      </c>
    </row>
    <row r="87" spans="1:7" x14ac:dyDescent="0.3">
      <c r="A87" t="s">
        <v>1088</v>
      </c>
      <c r="B87" s="1">
        <v>45228.086111111108</v>
      </c>
      <c r="C87" s="2">
        <v>45228.086111111108</v>
      </c>
      <c r="D87" t="s">
        <v>1097</v>
      </c>
      <c r="E87">
        <v>43</v>
      </c>
      <c r="F87" t="s">
        <v>739</v>
      </c>
      <c r="G87" t="b">
        <f>LEFT(Logs_Reseau_Part[[#This Row],[Cell_ID]],1)="A"</f>
        <v>1</v>
      </c>
    </row>
    <row r="88" spans="1:7" x14ac:dyDescent="0.3">
      <c r="A88" t="s">
        <v>1263</v>
      </c>
      <c r="B88" s="1">
        <v>45228.01458333333</v>
      </c>
      <c r="C88" s="2">
        <v>45228.01458333333</v>
      </c>
      <c r="D88" t="s">
        <v>842</v>
      </c>
      <c r="E88">
        <v>98</v>
      </c>
      <c r="F88" t="s">
        <v>734</v>
      </c>
      <c r="G88" t="b">
        <f>LEFT(Logs_Reseau_Part[[#This Row],[Cell_ID]],1)="A"</f>
        <v>1</v>
      </c>
    </row>
    <row r="89" spans="1:7" x14ac:dyDescent="0.3">
      <c r="A89" t="s">
        <v>941</v>
      </c>
      <c r="B89" s="1">
        <v>45228.001388888893</v>
      </c>
      <c r="C89" s="2">
        <v>45228.001388888893</v>
      </c>
      <c r="D89" t="s">
        <v>966</v>
      </c>
      <c r="E89">
        <v>100</v>
      </c>
      <c r="F89" t="s">
        <v>737</v>
      </c>
      <c r="G89" t="b">
        <f>LEFT(Logs_Reseau_Part[[#This Row],[Cell_ID]],1)="A"</f>
        <v>1</v>
      </c>
    </row>
    <row r="90" spans="1:7" x14ac:dyDescent="0.3">
      <c r="A90" t="s">
        <v>1167</v>
      </c>
      <c r="B90" s="1">
        <v>45227.92291666667</v>
      </c>
      <c r="C90" s="2">
        <v>45227.92291666667</v>
      </c>
      <c r="D90" t="s">
        <v>858</v>
      </c>
      <c r="E90">
        <v>26</v>
      </c>
      <c r="F90" t="s">
        <v>739</v>
      </c>
      <c r="G90" t="b">
        <f>LEFT(Logs_Reseau_Part[[#This Row],[Cell_ID]],1)="A"</f>
        <v>1</v>
      </c>
    </row>
    <row r="91" spans="1:7" x14ac:dyDescent="0.3">
      <c r="A91" t="s">
        <v>1026</v>
      </c>
      <c r="B91" s="1">
        <v>45227.915277777778</v>
      </c>
      <c r="C91" s="2">
        <v>45227.915277777778</v>
      </c>
      <c r="D91" t="s">
        <v>1007</v>
      </c>
      <c r="E91">
        <v>26</v>
      </c>
      <c r="F91" t="s">
        <v>737</v>
      </c>
      <c r="G91" t="b">
        <f>LEFT(Logs_Reseau_Part[[#This Row],[Cell_ID]],1)="A"</f>
        <v>1</v>
      </c>
    </row>
    <row r="92" spans="1:7" x14ac:dyDescent="0.3">
      <c r="A92" t="s">
        <v>1363</v>
      </c>
      <c r="B92" s="1">
        <v>45227.897916666669</v>
      </c>
      <c r="C92" s="2">
        <v>45227.897916666669</v>
      </c>
      <c r="D92" t="s">
        <v>1366</v>
      </c>
      <c r="E92">
        <v>61</v>
      </c>
      <c r="F92" t="s">
        <v>734</v>
      </c>
      <c r="G92" t="b">
        <f>LEFT(Logs_Reseau_Part[[#This Row],[Cell_ID]],1)="A"</f>
        <v>1</v>
      </c>
    </row>
    <row r="93" spans="1:7" x14ac:dyDescent="0.3">
      <c r="A93" t="s">
        <v>941</v>
      </c>
      <c r="B93" s="1">
        <v>45227.839583333327</v>
      </c>
      <c r="C93" s="2">
        <v>45227.839583333327</v>
      </c>
      <c r="D93" t="s">
        <v>952</v>
      </c>
      <c r="E93">
        <v>94</v>
      </c>
      <c r="F93" t="s">
        <v>739</v>
      </c>
      <c r="G93" t="b">
        <f>LEFT(Logs_Reseau_Part[[#This Row],[Cell_ID]],1)="A"</f>
        <v>1</v>
      </c>
    </row>
    <row r="94" spans="1:7" x14ac:dyDescent="0.3">
      <c r="A94" t="s">
        <v>1310</v>
      </c>
      <c r="B94" s="1">
        <v>45227.77847222222</v>
      </c>
      <c r="C94" s="2">
        <v>45227.77847222222</v>
      </c>
      <c r="D94" t="s">
        <v>1172</v>
      </c>
      <c r="E94">
        <v>67</v>
      </c>
      <c r="F94" t="s">
        <v>739</v>
      </c>
      <c r="G94" t="b">
        <f>LEFT(Logs_Reseau_Part[[#This Row],[Cell_ID]],1)="A"</f>
        <v>1</v>
      </c>
    </row>
    <row r="95" spans="1:7" x14ac:dyDescent="0.3">
      <c r="A95" t="s">
        <v>904</v>
      </c>
      <c r="B95" s="1">
        <v>45227.775694444441</v>
      </c>
      <c r="C95" s="2">
        <v>45227.775694444441</v>
      </c>
      <c r="D95" t="s">
        <v>843</v>
      </c>
      <c r="E95">
        <v>45</v>
      </c>
      <c r="F95" t="s">
        <v>739</v>
      </c>
      <c r="G95" t="b">
        <f>LEFT(Logs_Reseau_Part[[#This Row],[Cell_ID]],1)="A"</f>
        <v>1</v>
      </c>
    </row>
    <row r="96" spans="1:7" x14ac:dyDescent="0.3">
      <c r="A96" t="s">
        <v>904</v>
      </c>
      <c r="B96" s="1">
        <v>45227.768750000003</v>
      </c>
      <c r="C96" s="2">
        <v>45227.768750000003</v>
      </c>
      <c r="D96" t="s">
        <v>917</v>
      </c>
      <c r="E96">
        <v>61</v>
      </c>
      <c r="F96" t="s">
        <v>737</v>
      </c>
      <c r="G96" t="b">
        <f>LEFT(Logs_Reseau_Part[[#This Row],[Cell_ID]],1)="A"</f>
        <v>1</v>
      </c>
    </row>
    <row r="97" spans="1:7" x14ac:dyDescent="0.3">
      <c r="A97" t="s">
        <v>1310</v>
      </c>
      <c r="B97" s="1">
        <v>45227.751388888893</v>
      </c>
      <c r="C97" s="2">
        <v>45227.751388888893</v>
      </c>
      <c r="D97" t="s">
        <v>1190</v>
      </c>
      <c r="E97">
        <v>42</v>
      </c>
      <c r="F97" t="s">
        <v>734</v>
      </c>
      <c r="G97" t="b">
        <f>LEFT(Logs_Reseau_Part[[#This Row],[Cell_ID]],1)="A"</f>
        <v>1</v>
      </c>
    </row>
    <row r="98" spans="1:7" x14ac:dyDescent="0.3">
      <c r="A98" t="s">
        <v>1001</v>
      </c>
      <c r="B98" s="1">
        <v>45227.724305555559</v>
      </c>
      <c r="C98" s="2">
        <v>45227.724305555559</v>
      </c>
      <c r="D98" t="s">
        <v>994</v>
      </c>
      <c r="E98">
        <v>20</v>
      </c>
      <c r="F98" t="s">
        <v>734</v>
      </c>
      <c r="G98" t="b">
        <f>LEFT(Logs_Reseau_Part[[#This Row],[Cell_ID]],1)="A"</f>
        <v>1</v>
      </c>
    </row>
    <row r="99" spans="1:7" x14ac:dyDescent="0.3">
      <c r="A99" t="s">
        <v>1332</v>
      </c>
      <c r="B99" s="1">
        <v>45227.705555555563</v>
      </c>
      <c r="C99" s="2">
        <v>45227.705555555563</v>
      </c>
      <c r="D99" t="s">
        <v>994</v>
      </c>
      <c r="E99">
        <v>108</v>
      </c>
      <c r="F99" t="s">
        <v>737</v>
      </c>
      <c r="G99" t="b">
        <f>LEFT(Logs_Reseau_Part[[#This Row],[Cell_ID]],1)="A"</f>
        <v>1</v>
      </c>
    </row>
    <row r="100" spans="1:7" x14ac:dyDescent="0.3">
      <c r="A100" t="s">
        <v>1363</v>
      </c>
      <c r="B100" s="1">
        <v>45227.660416666673</v>
      </c>
      <c r="C100" s="2">
        <v>45227.660416666673</v>
      </c>
      <c r="D100" t="s">
        <v>1069</v>
      </c>
      <c r="E100">
        <v>67</v>
      </c>
      <c r="F100" t="s">
        <v>739</v>
      </c>
      <c r="G100" t="b">
        <f>LEFT(Logs_Reseau_Part[[#This Row],[Cell_ID]],1)="A"</f>
        <v>1</v>
      </c>
    </row>
    <row r="101" spans="1:7" x14ac:dyDescent="0.3">
      <c r="A101" t="s">
        <v>941</v>
      </c>
      <c r="B101" s="1">
        <v>45227.587500000001</v>
      </c>
      <c r="C101" s="2">
        <v>45227.587500000001</v>
      </c>
      <c r="D101" t="s">
        <v>881</v>
      </c>
      <c r="E101">
        <v>50</v>
      </c>
      <c r="F101" t="s">
        <v>737</v>
      </c>
      <c r="G101" t="b">
        <f>LEFT(Logs_Reseau_Part[[#This Row],[Cell_ID]],1)="A"</f>
        <v>1</v>
      </c>
    </row>
    <row r="102" spans="1:7" x14ac:dyDescent="0.3">
      <c r="A102" t="s">
        <v>863</v>
      </c>
      <c r="B102" s="1">
        <v>45227.577777777777</v>
      </c>
      <c r="C102" s="2">
        <v>45227.577777777777</v>
      </c>
      <c r="D102" t="s">
        <v>900</v>
      </c>
      <c r="E102">
        <v>50</v>
      </c>
      <c r="F102" t="s">
        <v>739</v>
      </c>
      <c r="G102" t="b">
        <f>LEFT(Logs_Reseau_Part[[#This Row],[Cell_ID]],1)="A"</f>
        <v>1</v>
      </c>
    </row>
    <row r="103" spans="1:7" x14ac:dyDescent="0.3">
      <c r="A103" t="s">
        <v>941</v>
      </c>
      <c r="B103" s="1">
        <v>45227.527083333327</v>
      </c>
      <c r="C103" s="2">
        <v>45227.527083333327</v>
      </c>
      <c r="D103" t="s">
        <v>971</v>
      </c>
      <c r="E103">
        <v>107</v>
      </c>
      <c r="F103" t="s">
        <v>737</v>
      </c>
      <c r="G103" t="b">
        <f>LEFT(Logs_Reseau_Part[[#This Row],[Cell_ID]],1)="A"</f>
        <v>1</v>
      </c>
    </row>
    <row r="104" spans="1:7" x14ac:dyDescent="0.3">
      <c r="A104" t="s">
        <v>732</v>
      </c>
      <c r="B104" s="1">
        <v>45227.484722222223</v>
      </c>
      <c r="C104" s="2">
        <v>45227.484722222223</v>
      </c>
      <c r="D104" t="s">
        <v>754</v>
      </c>
      <c r="E104">
        <v>24</v>
      </c>
      <c r="F104" t="s">
        <v>737</v>
      </c>
      <c r="G104" t="b">
        <f>LEFT(Logs_Reseau_Part[[#This Row],[Cell_ID]],1)="A"</f>
        <v>1</v>
      </c>
    </row>
    <row r="105" spans="1:7" x14ac:dyDescent="0.3">
      <c r="A105" t="s">
        <v>732</v>
      </c>
      <c r="B105" s="1">
        <v>45227.48333333333</v>
      </c>
      <c r="C105" s="2">
        <v>45227.48333333333</v>
      </c>
      <c r="D105" t="s">
        <v>745</v>
      </c>
      <c r="E105">
        <v>81</v>
      </c>
      <c r="F105" t="s">
        <v>737</v>
      </c>
      <c r="G105" t="b">
        <f>LEFT(Logs_Reseau_Part[[#This Row],[Cell_ID]],1)="A"</f>
        <v>1</v>
      </c>
    </row>
    <row r="106" spans="1:7" x14ac:dyDescent="0.3">
      <c r="A106" t="s">
        <v>980</v>
      </c>
      <c r="B106" s="1">
        <v>45227.462500000001</v>
      </c>
      <c r="C106" s="2">
        <v>45227.462500000001</v>
      </c>
      <c r="D106" t="s">
        <v>820</v>
      </c>
      <c r="E106">
        <v>70</v>
      </c>
      <c r="F106" t="s">
        <v>739</v>
      </c>
      <c r="G106" t="b">
        <f>LEFT(Logs_Reseau_Part[[#This Row],[Cell_ID]],1)="A"</f>
        <v>1</v>
      </c>
    </row>
    <row r="107" spans="1:7" x14ac:dyDescent="0.3">
      <c r="A107" t="s">
        <v>1384</v>
      </c>
      <c r="B107" s="1">
        <v>45227.447916666657</v>
      </c>
      <c r="C107" s="2">
        <v>45227.447916666657</v>
      </c>
      <c r="D107" t="s">
        <v>1158</v>
      </c>
      <c r="E107">
        <v>84</v>
      </c>
      <c r="F107" t="s">
        <v>737</v>
      </c>
      <c r="G107" t="b">
        <f>LEFT(Logs_Reseau_Part[[#This Row],[Cell_ID]],1)="A"</f>
        <v>1</v>
      </c>
    </row>
    <row r="108" spans="1:7" x14ac:dyDescent="0.3">
      <c r="A108" t="s">
        <v>1290</v>
      </c>
      <c r="B108" s="1">
        <v>45227.421527777777</v>
      </c>
      <c r="C108" s="2">
        <v>45227.421527777777</v>
      </c>
      <c r="D108" t="s">
        <v>1268</v>
      </c>
      <c r="E108">
        <v>25</v>
      </c>
      <c r="F108" t="s">
        <v>737</v>
      </c>
      <c r="G108" t="b">
        <f>LEFT(Logs_Reseau_Part[[#This Row],[Cell_ID]],1)="A"</f>
        <v>1</v>
      </c>
    </row>
    <row r="109" spans="1:7" x14ac:dyDescent="0.3">
      <c r="A109" t="s">
        <v>1347</v>
      </c>
      <c r="B109" s="1">
        <v>45227.393055555563</v>
      </c>
      <c r="C109" s="2">
        <v>45227.393055555563</v>
      </c>
      <c r="D109" t="s">
        <v>1010</v>
      </c>
      <c r="E109">
        <v>67</v>
      </c>
      <c r="F109" t="s">
        <v>734</v>
      </c>
      <c r="G109" t="b">
        <f>LEFT(Logs_Reseau_Part[[#This Row],[Cell_ID]],1)="A"</f>
        <v>1</v>
      </c>
    </row>
    <row r="110" spans="1:7" x14ac:dyDescent="0.3">
      <c r="A110" t="s">
        <v>732</v>
      </c>
      <c r="B110" s="1">
        <v>45227.329861111109</v>
      </c>
      <c r="C110" s="2">
        <v>45227.329861111109</v>
      </c>
      <c r="D110" t="s">
        <v>761</v>
      </c>
      <c r="E110">
        <v>81</v>
      </c>
      <c r="F110" t="s">
        <v>737</v>
      </c>
      <c r="G110" t="b">
        <f>LEFT(Logs_Reseau_Part[[#This Row],[Cell_ID]],1)="A"</f>
        <v>1</v>
      </c>
    </row>
    <row r="111" spans="1:7" x14ac:dyDescent="0.3">
      <c r="A111" t="s">
        <v>1167</v>
      </c>
      <c r="B111" s="1">
        <v>45227.324305555558</v>
      </c>
      <c r="C111" s="2">
        <v>45227.324305555558</v>
      </c>
      <c r="D111" t="s">
        <v>1188</v>
      </c>
      <c r="E111">
        <v>52</v>
      </c>
      <c r="F111" t="s">
        <v>734</v>
      </c>
      <c r="G111" t="b">
        <f>LEFT(Logs_Reseau_Part[[#This Row],[Cell_ID]],1)="A"</f>
        <v>1</v>
      </c>
    </row>
    <row r="112" spans="1:7" x14ac:dyDescent="0.3">
      <c r="A112" t="s">
        <v>781</v>
      </c>
      <c r="B112" s="1">
        <v>45227.309027777781</v>
      </c>
      <c r="C112" s="2">
        <v>45227.309027777781</v>
      </c>
      <c r="D112" t="s">
        <v>812</v>
      </c>
      <c r="E112">
        <v>118</v>
      </c>
      <c r="F112" t="s">
        <v>739</v>
      </c>
      <c r="G112" t="b">
        <f>LEFT(Logs_Reseau_Part[[#This Row],[Cell_ID]],1)="A"</f>
        <v>1</v>
      </c>
    </row>
    <row r="113" spans="1:7" x14ac:dyDescent="0.3">
      <c r="A113" t="s">
        <v>980</v>
      </c>
      <c r="B113" s="1">
        <v>45227.306250000001</v>
      </c>
      <c r="C113" s="2">
        <v>45227.306250000001</v>
      </c>
      <c r="D113" t="s">
        <v>763</v>
      </c>
      <c r="E113">
        <v>71</v>
      </c>
      <c r="F113" t="s">
        <v>737</v>
      </c>
      <c r="G113" t="b">
        <f>LEFT(Logs_Reseau_Part[[#This Row],[Cell_ID]],1)="A"</f>
        <v>1</v>
      </c>
    </row>
    <row r="114" spans="1:7" x14ac:dyDescent="0.3">
      <c r="A114" t="s">
        <v>1332</v>
      </c>
      <c r="B114" s="1">
        <v>45227.297222222223</v>
      </c>
      <c r="C114" s="2">
        <v>45227.297222222223</v>
      </c>
      <c r="D114" t="s">
        <v>1339</v>
      </c>
      <c r="E114">
        <v>92</v>
      </c>
      <c r="F114" t="s">
        <v>739</v>
      </c>
      <c r="G114" t="b">
        <f>LEFT(Logs_Reseau_Part[[#This Row],[Cell_ID]],1)="A"</f>
        <v>1</v>
      </c>
    </row>
    <row r="115" spans="1:7" x14ac:dyDescent="0.3">
      <c r="A115" t="s">
        <v>781</v>
      </c>
      <c r="B115" s="1">
        <v>45227.211111111108</v>
      </c>
      <c r="C115" s="2">
        <v>45227.211111111108</v>
      </c>
      <c r="D115" t="s">
        <v>810</v>
      </c>
      <c r="E115">
        <v>38</v>
      </c>
      <c r="F115" t="s">
        <v>734</v>
      </c>
      <c r="G115" t="b">
        <f>LEFT(Logs_Reseau_Part[[#This Row],[Cell_ID]],1)="A"</f>
        <v>1</v>
      </c>
    </row>
    <row r="116" spans="1:7" x14ac:dyDescent="0.3">
      <c r="A116" t="s">
        <v>1363</v>
      </c>
      <c r="B116" s="1">
        <v>45227.195833333331</v>
      </c>
      <c r="C116" s="2">
        <v>45227.195833333331</v>
      </c>
      <c r="D116" t="s">
        <v>909</v>
      </c>
      <c r="E116">
        <v>113</v>
      </c>
      <c r="F116" t="s">
        <v>737</v>
      </c>
      <c r="G116" t="b">
        <f>LEFT(Logs_Reseau_Part[[#This Row],[Cell_ID]],1)="A"</f>
        <v>1</v>
      </c>
    </row>
    <row r="117" spans="1:7" x14ac:dyDescent="0.3">
      <c r="A117" t="s">
        <v>941</v>
      </c>
      <c r="B117" s="1">
        <v>45227.163194444453</v>
      </c>
      <c r="C117" s="2">
        <v>45227.163194444453</v>
      </c>
      <c r="D117" t="s">
        <v>949</v>
      </c>
      <c r="E117">
        <v>78</v>
      </c>
      <c r="F117" t="s">
        <v>737</v>
      </c>
      <c r="G117" t="b">
        <f>LEFT(Logs_Reseau_Part[[#This Row],[Cell_ID]],1)="A"</f>
        <v>1</v>
      </c>
    </row>
    <row r="118" spans="1:7" x14ac:dyDescent="0.3">
      <c r="A118" t="s">
        <v>941</v>
      </c>
      <c r="B118" s="1">
        <v>45227.144444444442</v>
      </c>
      <c r="C118" s="2">
        <v>45227.144444444442</v>
      </c>
      <c r="D118" t="s">
        <v>964</v>
      </c>
      <c r="E118">
        <v>11</v>
      </c>
      <c r="F118" t="s">
        <v>737</v>
      </c>
      <c r="G118" t="b">
        <f>LEFT(Logs_Reseau_Part[[#This Row],[Cell_ID]],1)="A"</f>
        <v>1</v>
      </c>
    </row>
    <row r="119" spans="1:7" x14ac:dyDescent="0.3">
      <c r="A119" t="s">
        <v>781</v>
      </c>
      <c r="B119" s="1">
        <v>45227.135416666657</v>
      </c>
      <c r="C119" s="2">
        <v>45227.135416666657</v>
      </c>
      <c r="D119" t="s">
        <v>790</v>
      </c>
      <c r="E119">
        <v>13</v>
      </c>
      <c r="F119" t="s">
        <v>737</v>
      </c>
      <c r="G119" t="b">
        <f>LEFT(Logs_Reseau_Part[[#This Row],[Cell_ID]],1)="A"</f>
        <v>1</v>
      </c>
    </row>
    <row r="120" spans="1:7" x14ac:dyDescent="0.3">
      <c r="A120" t="s">
        <v>1243</v>
      </c>
      <c r="B120" s="1">
        <v>45227.118055555547</v>
      </c>
      <c r="C120" s="2">
        <v>45227.118055555547</v>
      </c>
      <c r="D120" t="s">
        <v>1246</v>
      </c>
      <c r="E120">
        <v>61</v>
      </c>
      <c r="F120" t="s">
        <v>737</v>
      </c>
      <c r="G120" t="b">
        <f>LEFT(Logs_Reseau_Part[[#This Row],[Cell_ID]],1)="A"</f>
        <v>1</v>
      </c>
    </row>
    <row r="121" spans="1:7" x14ac:dyDescent="0.3">
      <c r="A121" t="s">
        <v>1167</v>
      </c>
      <c r="B121" s="1">
        <v>45227.091666666667</v>
      </c>
      <c r="C121" s="2">
        <v>45227.091666666667</v>
      </c>
      <c r="D121" t="s">
        <v>1178</v>
      </c>
      <c r="E121">
        <v>112</v>
      </c>
      <c r="F121" t="s">
        <v>734</v>
      </c>
      <c r="G121" t="b">
        <f>LEFT(Logs_Reseau_Part[[#This Row],[Cell_ID]],1)="A"</f>
        <v>1</v>
      </c>
    </row>
    <row r="122" spans="1:7" x14ac:dyDescent="0.3">
      <c r="A122" t="s">
        <v>732</v>
      </c>
      <c r="B122" s="1">
        <v>45227.033333333333</v>
      </c>
      <c r="C122" s="2">
        <v>45227.033333333333</v>
      </c>
      <c r="D122" t="s">
        <v>748</v>
      </c>
      <c r="E122">
        <v>68</v>
      </c>
      <c r="F122" t="s">
        <v>739</v>
      </c>
      <c r="G122" t="b">
        <f>LEFT(Logs_Reseau_Part[[#This Row],[Cell_ID]],1)="A"</f>
        <v>1</v>
      </c>
    </row>
    <row r="123" spans="1:7" x14ac:dyDescent="0.3">
      <c r="A123" t="s">
        <v>1263</v>
      </c>
      <c r="B123" s="1">
        <v>45227.010416666657</v>
      </c>
      <c r="C123" s="2">
        <v>45227.010416666657</v>
      </c>
      <c r="D123" t="s">
        <v>1281</v>
      </c>
      <c r="E123">
        <v>49</v>
      </c>
      <c r="F123" t="s">
        <v>739</v>
      </c>
      <c r="G123" t="b">
        <f>LEFT(Logs_Reseau_Part[[#This Row],[Cell_ID]],1)="A"</f>
        <v>1</v>
      </c>
    </row>
    <row r="124" spans="1:7" x14ac:dyDescent="0.3">
      <c r="A124" t="s">
        <v>980</v>
      </c>
      <c r="B124" s="1">
        <v>45227.005555555559</v>
      </c>
      <c r="C124" s="2">
        <v>45227.005555555559</v>
      </c>
      <c r="D124" t="s">
        <v>998</v>
      </c>
      <c r="E124">
        <v>66</v>
      </c>
      <c r="F124" t="s">
        <v>739</v>
      </c>
      <c r="G124" t="b">
        <f>LEFT(Logs_Reseau_Part[[#This Row],[Cell_ID]],1)="A"</f>
        <v>1</v>
      </c>
    </row>
    <row r="125" spans="1:7" x14ac:dyDescent="0.3">
      <c r="A125" t="s">
        <v>1363</v>
      </c>
      <c r="B125" s="1">
        <v>45226.997916666667</v>
      </c>
      <c r="C125" s="2">
        <v>45226.997916666667</v>
      </c>
      <c r="D125" t="s">
        <v>1376</v>
      </c>
      <c r="E125">
        <v>53</v>
      </c>
      <c r="F125" t="s">
        <v>739</v>
      </c>
      <c r="G125" t="b">
        <f>LEFT(Logs_Reseau_Part[[#This Row],[Cell_ID]],1)="A"</f>
        <v>1</v>
      </c>
    </row>
    <row r="126" spans="1:7" x14ac:dyDescent="0.3">
      <c r="A126" t="s">
        <v>1026</v>
      </c>
      <c r="B126" s="1">
        <v>45226.988194444442</v>
      </c>
      <c r="C126" s="2">
        <v>45226.988194444442</v>
      </c>
      <c r="D126" t="s">
        <v>1053</v>
      </c>
      <c r="E126">
        <v>83</v>
      </c>
      <c r="F126" t="s">
        <v>737</v>
      </c>
      <c r="G126" t="b">
        <f>LEFT(Logs_Reseau_Part[[#This Row],[Cell_ID]],1)="A"</f>
        <v>1</v>
      </c>
    </row>
    <row r="127" spans="1:7" x14ac:dyDescent="0.3">
      <c r="A127" t="s">
        <v>1290</v>
      </c>
      <c r="B127" s="1">
        <v>45226.975694444453</v>
      </c>
      <c r="C127" s="2">
        <v>45226.975694444453</v>
      </c>
      <c r="D127" t="s">
        <v>920</v>
      </c>
      <c r="E127">
        <v>89</v>
      </c>
      <c r="F127" t="s">
        <v>739</v>
      </c>
      <c r="G127" t="b">
        <f>LEFT(Logs_Reseau_Part[[#This Row],[Cell_ID]],1)="A"</f>
        <v>1</v>
      </c>
    </row>
    <row r="128" spans="1:7" x14ac:dyDescent="0.3">
      <c r="A128" t="s">
        <v>1263</v>
      </c>
      <c r="B128" s="1">
        <v>45226.969444444447</v>
      </c>
      <c r="C128" s="2">
        <v>45226.969444444447</v>
      </c>
      <c r="D128" t="s">
        <v>887</v>
      </c>
      <c r="E128">
        <v>68</v>
      </c>
      <c r="F128" t="s">
        <v>734</v>
      </c>
      <c r="G128" t="b">
        <f>LEFT(Logs_Reseau_Part[[#This Row],[Cell_ID]],1)="A"</f>
        <v>1</v>
      </c>
    </row>
    <row r="129" spans="1:7" x14ac:dyDescent="0.3">
      <c r="A129" t="s">
        <v>1221</v>
      </c>
      <c r="B129" s="1">
        <v>45226.964583333327</v>
      </c>
      <c r="C129" s="2">
        <v>45226.964583333327</v>
      </c>
      <c r="D129" t="s">
        <v>1225</v>
      </c>
      <c r="E129">
        <v>27</v>
      </c>
      <c r="F129" t="s">
        <v>737</v>
      </c>
      <c r="G129" t="b">
        <f>LEFT(Logs_Reseau_Part[[#This Row],[Cell_ID]],1)="A"</f>
        <v>1</v>
      </c>
    </row>
    <row r="130" spans="1:7" x14ac:dyDescent="0.3">
      <c r="A130" t="s">
        <v>1406</v>
      </c>
      <c r="B130" s="1">
        <v>45226.955555555563</v>
      </c>
      <c r="C130" s="2">
        <v>45226.955555555563</v>
      </c>
      <c r="D130" t="s">
        <v>1408</v>
      </c>
      <c r="E130">
        <v>20</v>
      </c>
      <c r="F130" t="s">
        <v>737</v>
      </c>
      <c r="G130" t="b">
        <f>LEFT(Logs_Reseau_Part[[#This Row],[Cell_ID]],1)="A"</f>
        <v>1</v>
      </c>
    </row>
    <row r="131" spans="1:7" x14ac:dyDescent="0.3">
      <c r="A131" t="s">
        <v>1332</v>
      </c>
      <c r="B131" s="1">
        <v>45226.920138888891</v>
      </c>
      <c r="C131" s="2">
        <v>45226.920138888891</v>
      </c>
      <c r="D131" t="s">
        <v>778</v>
      </c>
      <c r="E131">
        <v>64</v>
      </c>
      <c r="F131" t="s">
        <v>739</v>
      </c>
      <c r="G131" t="b">
        <f>LEFT(Logs_Reseau_Part[[#This Row],[Cell_ID]],1)="A"</f>
        <v>1</v>
      </c>
    </row>
    <row r="132" spans="1:7" x14ac:dyDescent="0.3">
      <c r="A132" t="s">
        <v>1221</v>
      </c>
      <c r="B132" s="1">
        <v>45226.90625</v>
      </c>
      <c r="C132" s="2">
        <v>45226.90625</v>
      </c>
      <c r="D132" t="s">
        <v>1051</v>
      </c>
      <c r="E132">
        <v>26</v>
      </c>
      <c r="F132" t="s">
        <v>737</v>
      </c>
      <c r="G132" t="b">
        <f>LEFT(Logs_Reseau_Part[[#This Row],[Cell_ID]],1)="A"</f>
        <v>1</v>
      </c>
    </row>
    <row r="133" spans="1:7" x14ac:dyDescent="0.3">
      <c r="A133" t="s">
        <v>1061</v>
      </c>
      <c r="B133" s="1">
        <v>45226.895138888889</v>
      </c>
      <c r="C133" s="2">
        <v>45226.895138888889</v>
      </c>
      <c r="D133" t="s">
        <v>1079</v>
      </c>
      <c r="E133">
        <v>42</v>
      </c>
      <c r="F133" t="s">
        <v>734</v>
      </c>
      <c r="G133" t="b">
        <f>LEFT(Logs_Reseau_Part[[#This Row],[Cell_ID]],1)="A"</f>
        <v>1</v>
      </c>
    </row>
    <row r="134" spans="1:7" x14ac:dyDescent="0.3">
      <c r="A134" t="s">
        <v>1116</v>
      </c>
      <c r="B134" s="1">
        <v>45226.885416666657</v>
      </c>
      <c r="C134" s="2">
        <v>45226.885416666657</v>
      </c>
      <c r="D134" t="s">
        <v>1128</v>
      </c>
      <c r="E134">
        <v>96</v>
      </c>
      <c r="F134" t="s">
        <v>739</v>
      </c>
      <c r="G134" t="b">
        <f>LEFT(Logs_Reseau_Part[[#This Row],[Cell_ID]],1)="A"</f>
        <v>1</v>
      </c>
    </row>
    <row r="135" spans="1:7" x14ac:dyDescent="0.3">
      <c r="A135" t="s">
        <v>863</v>
      </c>
      <c r="B135" s="1">
        <v>45226.84375</v>
      </c>
      <c r="C135" s="2">
        <v>45226.84375</v>
      </c>
      <c r="D135" t="s">
        <v>893</v>
      </c>
      <c r="E135">
        <v>48</v>
      </c>
      <c r="F135" t="s">
        <v>734</v>
      </c>
      <c r="G135" t="b">
        <f>LEFT(Logs_Reseau_Part[[#This Row],[Cell_ID]],1)="A"</f>
        <v>1</v>
      </c>
    </row>
    <row r="136" spans="1:7" x14ac:dyDescent="0.3">
      <c r="A136" t="s">
        <v>1061</v>
      </c>
      <c r="B136" s="1">
        <v>45226.84097222222</v>
      </c>
      <c r="C136" s="2">
        <v>45226.84097222222</v>
      </c>
      <c r="D136" t="s">
        <v>1078</v>
      </c>
      <c r="E136">
        <v>74</v>
      </c>
      <c r="F136" t="s">
        <v>737</v>
      </c>
      <c r="G136" t="b">
        <f>LEFT(Logs_Reseau_Part[[#This Row],[Cell_ID]],1)="A"</f>
        <v>1</v>
      </c>
    </row>
    <row r="137" spans="1:7" x14ac:dyDescent="0.3">
      <c r="A137" t="s">
        <v>904</v>
      </c>
      <c r="B137" s="1">
        <v>45226.790277777778</v>
      </c>
      <c r="C137" s="2">
        <v>45226.790277777778</v>
      </c>
      <c r="D137" t="s">
        <v>934</v>
      </c>
      <c r="E137">
        <v>68</v>
      </c>
      <c r="F137" t="s">
        <v>739</v>
      </c>
      <c r="G137" t="b">
        <f>LEFT(Logs_Reseau_Part[[#This Row],[Cell_ID]],1)="A"</f>
        <v>1</v>
      </c>
    </row>
    <row r="138" spans="1:7" x14ac:dyDescent="0.3">
      <c r="A138" t="s">
        <v>1140</v>
      </c>
      <c r="B138" s="1">
        <v>45226.747916666667</v>
      </c>
      <c r="C138" s="2">
        <v>45226.747916666667</v>
      </c>
      <c r="D138" t="s">
        <v>1157</v>
      </c>
      <c r="E138">
        <v>52</v>
      </c>
      <c r="F138" t="s">
        <v>737</v>
      </c>
      <c r="G138" t="b">
        <f>LEFT(Logs_Reseau_Part[[#This Row],[Cell_ID]],1)="A"</f>
        <v>1</v>
      </c>
    </row>
    <row r="139" spans="1:7" x14ac:dyDescent="0.3">
      <c r="A139" t="s">
        <v>1363</v>
      </c>
      <c r="B139" s="1">
        <v>45226.747916666667</v>
      </c>
      <c r="C139" s="2">
        <v>45226.747916666667</v>
      </c>
      <c r="D139" t="s">
        <v>1383</v>
      </c>
      <c r="E139">
        <v>68</v>
      </c>
      <c r="F139" t="s">
        <v>737</v>
      </c>
      <c r="G139" t="b">
        <f>LEFT(Logs_Reseau_Part[[#This Row],[Cell_ID]],1)="A"</f>
        <v>1</v>
      </c>
    </row>
    <row r="140" spans="1:7" x14ac:dyDescent="0.3">
      <c r="A140" t="s">
        <v>1061</v>
      </c>
      <c r="B140" s="1">
        <v>45226.729166666657</v>
      </c>
      <c r="C140" s="2">
        <v>45226.729166666657</v>
      </c>
      <c r="D140" t="s">
        <v>1084</v>
      </c>
      <c r="E140">
        <v>62</v>
      </c>
      <c r="F140" t="s">
        <v>737</v>
      </c>
      <c r="G140" t="b">
        <f>LEFT(Logs_Reseau_Part[[#This Row],[Cell_ID]],1)="A"</f>
        <v>1</v>
      </c>
    </row>
    <row r="141" spans="1:7" x14ac:dyDescent="0.3">
      <c r="A141" t="s">
        <v>1310</v>
      </c>
      <c r="B141" s="1">
        <v>45226.659722222219</v>
      </c>
      <c r="C141" s="2">
        <v>45226.659722222219</v>
      </c>
      <c r="D141" t="s">
        <v>1027</v>
      </c>
      <c r="E141">
        <v>65</v>
      </c>
      <c r="F141" t="s">
        <v>737</v>
      </c>
      <c r="G141" t="b">
        <f>LEFT(Logs_Reseau_Part[[#This Row],[Cell_ID]],1)="A"</f>
        <v>1</v>
      </c>
    </row>
    <row r="142" spans="1:7" x14ac:dyDescent="0.3">
      <c r="A142" t="s">
        <v>1167</v>
      </c>
      <c r="B142" s="1">
        <v>45226.656944444447</v>
      </c>
      <c r="C142" s="2">
        <v>45226.656944444447</v>
      </c>
      <c r="D142" t="s">
        <v>986</v>
      </c>
      <c r="E142">
        <v>7</v>
      </c>
      <c r="F142" t="s">
        <v>734</v>
      </c>
      <c r="G142" t="b">
        <f>LEFT(Logs_Reseau_Part[[#This Row],[Cell_ID]],1)="A"</f>
        <v>1</v>
      </c>
    </row>
    <row r="143" spans="1:7" x14ac:dyDescent="0.3">
      <c r="A143" t="s">
        <v>1310</v>
      </c>
      <c r="B143" s="1">
        <v>45226.631249999999</v>
      </c>
      <c r="C143" s="2">
        <v>45226.631249999999</v>
      </c>
      <c r="D143" t="s">
        <v>1331</v>
      </c>
      <c r="E143">
        <v>112</v>
      </c>
      <c r="F143" t="s">
        <v>737</v>
      </c>
      <c r="G143" t="b">
        <f>LEFT(Logs_Reseau_Part[[#This Row],[Cell_ID]],1)="A"</f>
        <v>1</v>
      </c>
    </row>
    <row r="144" spans="1:7" x14ac:dyDescent="0.3">
      <c r="A144" t="s">
        <v>863</v>
      </c>
      <c r="B144" s="1">
        <v>45226.623611111107</v>
      </c>
      <c r="C144" s="2">
        <v>45226.623611111107</v>
      </c>
      <c r="D144" t="s">
        <v>867</v>
      </c>
      <c r="E144">
        <v>98</v>
      </c>
      <c r="F144" t="s">
        <v>739</v>
      </c>
      <c r="G144" t="b">
        <f>LEFT(Logs_Reseau_Part[[#This Row],[Cell_ID]],1)="A"</f>
        <v>1</v>
      </c>
    </row>
    <row r="145" spans="1:7" x14ac:dyDescent="0.3">
      <c r="A145" t="s">
        <v>980</v>
      </c>
      <c r="B145" s="1">
        <v>45226.586805555547</v>
      </c>
      <c r="C145" s="2">
        <v>45226.586805555547</v>
      </c>
      <c r="D145" t="s">
        <v>992</v>
      </c>
      <c r="E145">
        <v>33</v>
      </c>
      <c r="F145" t="s">
        <v>739</v>
      </c>
      <c r="G145" t="b">
        <f>LEFT(Logs_Reseau_Part[[#This Row],[Cell_ID]],1)="A"</f>
        <v>1</v>
      </c>
    </row>
    <row r="146" spans="1:7" x14ac:dyDescent="0.3">
      <c r="A146" t="s">
        <v>1332</v>
      </c>
      <c r="B146" s="1">
        <v>45226.574305555558</v>
      </c>
      <c r="C146" s="2">
        <v>45226.574305555558</v>
      </c>
      <c r="D146" t="s">
        <v>981</v>
      </c>
      <c r="E146">
        <v>81</v>
      </c>
      <c r="F146" t="s">
        <v>737</v>
      </c>
      <c r="G146" t="b">
        <f>LEFT(Logs_Reseau_Part[[#This Row],[Cell_ID]],1)="A"</f>
        <v>1</v>
      </c>
    </row>
    <row r="147" spans="1:7" x14ac:dyDescent="0.3">
      <c r="A147" t="s">
        <v>1363</v>
      </c>
      <c r="B147" s="1">
        <v>45226.530555555553</v>
      </c>
      <c r="C147" s="2">
        <v>45226.530555555553</v>
      </c>
      <c r="D147" t="s">
        <v>1367</v>
      </c>
      <c r="E147">
        <v>101</v>
      </c>
      <c r="F147" t="s">
        <v>739</v>
      </c>
      <c r="G147" t="b">
        <f>LEFT(Logs_Reseau_Part[[#This Row],[Cell_ID]],1)="A"</f>
        <v>1</v>
      </c>
    </row>
    <row r="148" spans="1:7" x14ac:dyDescent="0.3">
      <c r="A148" t="s">
        <v>1332</v>
      </c>
      <c r="B148" s="1">
        <v>45226.388194444437</v>
      </c>
      <c r="C148" s="2">
        <v>45226.388194444437</v>
      </c>
      <c r="D148" t="s">
        <v>1337</v>
      </c>
      <c r="E148">
        <v>115</v>
      </c>
      <c r="F148" t="s">
        <v>739</v>
      </c>
      <c r="G148" t="b">
        <f>LEFT(Logs_Reseau_Part[[#This Row],[Cell_ID]],1)="A"</f>
        <v>1</v>
      </c>
    </row>
    <row r="149" spans="1:7" x14ac:dyDescent="0.3">
      <c r="A149" t="s">
        <v>1026</v>
      </c>
      <c r="B149" s="1">
        <v>45226.37777777778</v>
      </c>
      <c r="C149" s="2">
        <v>45226.37777777778</v>
      </c>
      <c r="D149" t="s">
        <v>1028</v>
      </c>
      <c r="E149">
        <v>74</v>
      </c>
      <c r="F149" t="s">
        <v>739</v>
      </c>
      <c r="G149" t="b">
        <f>LEFT(Logs_Reseau_Part[[#This Row],[Cell_ID]],1)="A"</f>
        <v>1</v>
      </c>
    </row>
    <row r="150" spans="1:7" x14ac:dyDescent="0.3">
      <c r="A150" t="s">
        <v>825</v>
      </c>
      <c r="B150" s="1">
        <v>45226.321527777778</v>
      </c>
      <c r="C150" s="2">
        <v>45226.321527777778</v>
      </c>
      <c r="D150" t="s">
        <v>858</v>
      </c>
      <c r="E150">
        <v>22</v>
      </c>
      <c r="F150" t="s">
        <v>739</v>
      </c>
      <c r="G150" t="b">
        <f>LEFT(Logs_Reseau_Part[[#This Row],[Cell_ID]],1)="A"</f>
        <v>1</v>
      </c>
    </row>
    <row r="151" spans="1:7" x14ac:dyDescent="0.3">
      <c r="A151" t="s">
        <v>1167</v>
      </c>
      <c r="B151" s="1">
        <v>45226.313194444447</v>
      </c>
      <c r="C151" s="2">
        <v>45226.313194444447</v>
      </c>
      <c r="D151" t="s">
        <v>1192</v>
      </c>
      <c r="E151">
        <v>66</v>
      </c>
      <c r="F151" t="s">
        <v>739</v>
      </c>
      <c r="G151" t="b">
        <f>LEFT(Logs_Reseau_Part[[#This Row],[Cell_ID]],1)="A"</f>
        <v>1</v>
      </c>
    </row>
    <row r="152" spans="1:7" x14ac:dyDescent="0.3">
      <c r="A152" t="s">
        <v>1310</v>
      </c>
      <c r="B152" s="1">
        <v>45226.224999999999</v>
      </c>
      <c r="C152" s="2">
        <v>45226.224999999999</v>
      </c>
      <c r="D152" t="s">
        <v>1311</v>
      </c>
      <c r="E152">
        <v>11</v>
      </c>
      <c r="F152" t="s">
        <v>737</v>
      </c>
      <c r="G152" t="b">
        <f>LEFT(Logs_Reseau_Part[[#This Row],[Cell_ID]],1)="A"</f>
        <v>1</v>
      </c>
    </row>
    <row r="153" spans="1:7" x14ac:dyDescent="0.3">
      <c r="A153" t="s">
        <v>1290</v>
      </c>
      <c r="B153" s="1">
        <v>45226.209027777782</v>
      </c>
      <c r="C153" s="2">
        <v>45226.209027777782</v>
      </c>
      <c r="D153" t="s">
        <v>1203</v>
      </c>
      <c r="E153">
        <v>81</v>
      </c>
      <c r="F153" t="s">
        <v>739</v>
      </c>
      <c r="G153" t="b">
        <f>LEFT(Logs_Reseau_Part[[#This Row],[Cell_ID]],1)="A"</f>
        <v>1</v>
      </c>
    </row>
    <row r="154" spans="1:7" x14ac:dyDescent="0.3">
      <c r="A154" t="s">
        <v>1384</v>
      </c>
      <c r="B154" s="1">
        <v>45226.17083333333</v>
      </c>
      <c r="C154" s="2">
        <v>45226.17083333333</v>
      </c>
      <c r="D154" t="s">
        <v>784</v>
      </c>
      <c r="E154">
        <v>54</v>
      </c>
      <c r="F154" t="s">
        <v>734</v>
      </c>
      <c r="G154" t="b">
        <f>LEFT(Logs_Reseau_Part[[#This Row],[Cell_ID]],1)="A"</f>
        <v>1</v>
      </c>
    </row>
    <row r="155" spans="1:7" x14ac:dyDescent="0.3">
      <c r="A155" t="s">
        <v>1243</v>
      </c>
      <c r="B155" s="1">
        <v>45226.163194444453</v>
      </c>
      <c r="C155" s="2">
        <v>45226.163194444453</v>
      </c>
      <c r="D155" t="s">
        <v>1259</v>
      </c>
      <c r="E155">
        <v>36</v>
      </c>
      <c r="F155" t="s">
        <v>737</v>
      </c>
      <c r="G155" t="b">
        <f>LEFT(Logs_Reseau_Part[[#This Row],[Cell_ID]],1)="A"</f>
        <v>1</v>
      </c>
    </row>
    <row r="156" spans="1:7" x14ac:dyDescent="0.3">
      <c r="A156" t="s">
        <v>1406</v>
      </c>
      <c r="B156" s="1">
        <v>45226.115972222222</v>
      </c>
      <c r="C156" s="2">
        <v>45226.115972222222</v>
      </c>
      <c r="D156" t="s">
        <v>1057</v>
      </c>
      <c r="E156">
        <v>5</v>
      </c>
      <c r="F156" t="s">
        <v>739</v>
      </c>
      <c r="G156" t="b">
        <f>LEFT(Logs_Reseau_Part[[#This Row],[Cell_ID]],1)="A"</f>
        <v>1</v>
      </c>
    </row>
    <row r="157" spans="1:7" x14ac:dyDescent="0.3">
      <c r="A157" t="s">
        <v>863</v>
      </c>
      <c r="B157" s="1">
        <v>45226.104166666657</v>
      </c>
      <c r="C157" s="2">
        <v>45226.104166666657</v>
      </c>
      <c r="D157" t="s">
        <v>877</v>
      </c>
      <c r="E157">
        <v>110</v>
      </c>
      <c r="F157" t="s">
        <v>737</v>
      </c>
      <c r="G157" t="b">
        <f>LEFT(Logs_Reseau_Part[[#This Row],[Cell_ID]],1)="A"</f>
        <v>1</v>
      </c>
    </row>
    <row r="158" spans="1:7" x14ac:dyDescent="0.3">
      <c r="A158" t="s">
        <v>904</v>
      </c>
      <c r="B158" s="1">
        <v>45226.100694444453</v>
      </c>
      <c r="C158" s="2">
        <v>45226.100694444453</v>
      </c>
      <c r="D158" t="s">
        <v>907</v>
      </c>
      <c r="E158">
        <v>110</v>
      </c>
      <c r="F158" t="s">
        <v>737</v>
      </c>
      <c r="G158" t="b">
        <f>LEFT(Logs_Reseau_Part[[#This Row],[Cell_ID]],1)="A"</f>
        <v>1</v>
      </c>
    </row>
    <row r="159" spans="1:7" x14ac:dyDescent="0.3">
      <c r="A159" t="s">
        <v>732</v>
      </c>
      <c r="B159" s="1">
        <v>45226.07708333333</v>
      </c>
      <c r="C159" s="2">
        <v>45226.07708333333</v>
      </c>
      <c r="D159" t="s">
        <v>774</v>
      </c>
      <c r="E159">
        <v>101</v>
      </c>
      <c r="F159" t="s">
        <v>734</v>
      </c>
      <c r="G159" t="b">
        <f>LEFT(Logs_Reseau_Part[[#This Row],[Cell_ID]],1)="A"</f>
        <v>1</v>
      </c>
    </row>
    <row r="160" spans="1:7" x14ac:dyDescent="0.3">
      <c r="A160" t="s">
        <v>1384</v>
      </c>
      <c r="B160" s="1">
        <v>45226.072222222218</v>
      </c>
      <c r="C160" s="2">
        <v>45226.072222222218</v>
      </c>
      <c r="D160" t="s">
        <v>1400</v>
      </c>
      <c r="E160">
        <v>29</v>
      </c>
      <c r="F160" t="s">
        <v>739</v>
      </c>
      <c r="G160" t="b">
        <f>LEFT(Logs_Reseau_Part[[#This Row],[Cell_ID]],1)="A"</f>
        <v>1</v>
      </c>
    </row>
    <row r="161" spans="1:7" x14ac:dyDescent="0.3">
      <c r="A161" t="s">
        <v>825</v>
      </c>
      <c r="B161" s="1">
        <v>45226.013194444437</v>
      </c>
      <c r="C161" s="2">
        <v>45226.013194444437</v>
      </c>
      <c r="D161" t="s">
        <v>850</v>
      </c>
      <c r="E161">
        <v>107</v>
      </c>
      <c r="F161" t="s">
        <v>737</v>
      </c>
      <c r="G161" t="b">
        <f>LEFT(Logs_Reseau_Part[[#This Row],[Cell_ID]],1)="A"</f>
        <v>1</v>
      </c>
    </row>
    <row r="162" spans="1:7" x14ac:dyDescent="0.3">
      <c r="A162" t="s">
        <v>781</v>
      </c>
      <c r="B162" s="1">
        <v>45226.003472222219</v>
      </c>
      <c r="C162" s="2">
        <v>45226.003472222219</v>
      </c>
      <c r="D162" t="s">
        <v>735</v>
      </c>
      <c r="E162">
        <v>111</v>
      </c>
      <c r="F162" t="s">
        <v>734</v>
      </c>
      <c r="G162" t="b">
        <f>LEFT(Logs_Reseau_Part[[#This Row],[Cell_ID]],1)="A"</f>
        <v>1</v>
      </c>
    </row>
    <row r="163" spans="1:7" x14ac:dyDescent="0.3">
      <c r="A163" t="s">
        <v>1088</v>
      </c>
      <c r="B163" s="1">
        <v>45226.003472222219</v>
      </c>
      <c r="C163" s="2">
        <v>45226.003472222219</v>
      </c>
      <c r="D163" t="s">
        <v>1113</v>
      </c>
      <c r="E163">
        <v>76</v>
      </c>
      <c r="F163" t="s">
        <v>734</v>
      </c>
      <c r="G163" t="b">
        <f>LEFT(Logs_Reseau_Part[[#This Row],[Cell_ID]],1)="A"</f>
        <v>1</v>
      </c>
    </row>
    <row r="164" spans="1:7" x14ac:dyDescent="0.3">
      <c r="A164" t="s">
        <v>1116</v>
      </c>
      <c r="B164" s="1">
        <v>45225.996527777781</v>
      </c>
      <c r="C164" s="2">
        <v>45225.996527777781</v>
      </c>
      <c r="D164" t="s">
        <v>944</v>
      </c>
      <c r="E164">
        <v>55</v>
      </c>
      <c r="F164" t="s">
        <v>737</v>
      </c>
      <c r="G164" t="b">
        <f>LEFT(Logs_Reseau_Part[[#This Row],[Cell_ID]],1)="A"</f>
        <v>1</v>
      </c>
    </row>
    <row r="165" spans="1:7" x14ac:dyDescent="0.3">
      <c r="A165" t="s">
        <v>1167</v>
      </c>
      <c r="B165" s="1">
        <v>45225.979166666657</v>
      </c>
      <c r="C165" s="2">
        <v>45225.979166666657</v>
      </c>
      <c r="D165" t="s">
        <v>1019</v>
      </c>
      <c r="E165">
        <v>6</v>
      </c>
      <c r="F165" t="s">
        <v>734</v>
      </c>
      <c r="G165" t="b">
        <f>LEFT(Logs_Reseau_Part[[#This Row],[Cell_ID]],1)="A"</f>
        <v>1</v>
      </c>
    </row>
    <row r="166" spans="1:7" x14ac:dyDescent="0.3">
      <c r="A166" t="s">
        <v>825</v>
      </c>
      <c r="B166" s="1">
        <v>45225.965277777781</v>
      </c>
      <c r="C166" s="2">
        <v>45225.965277777781</v>
      </c>
      <c r="D166" t="s">
        <v>854</v>
      </c>
      <c r="E166">
        <v>36</v>
      </c>
      <c r="F166" t="s">
        <v>734</v>
      </c>
      <c r="G166" t="b">
        <f>LEFT(Logs_Reseau_Part[[#This Row],[Cell_ID]],1)="A"</f>
        <v>1</v>
      </c>
    </row>
    <row r="167" spans="1:7" x14ac:dyDescent="0.3">
      <c r="A167" t="s">
        <v>1263</v>
      </c>
      <c r="B167" s="1">
        <v>45225.949305555558</v>
      </c>
      <c r="C167" s="2">
        <v>45225.949305555558</v>
      </c>
      <c r="D167" t="s">
        <v>1283</v>
      </c>
      <c r="E167">
        <v>117</v>
      </c>
      <c r="F167" t="s">
        <v>734</v>
      </c>
      <c r="G167" t="b">
        <f>LEFT(Logs_Reseau_Part[[#This Row],[Cell_ID]],1)="A"</f>
        <v>1</v>
      </c>
    </row>
    <row r="168" spans="1:7" x14ac:dyDescent="0.3">
      <c r="A168" t="s">
        <v>1195</v>
      </c>
      <c r="B168" s="1">
        <v>45225.948611111111</v>
      </c>
      <c r="C168" s="2">
        <v>45225.948611111111</v>
      </c>
      <c r="D168" t="s">
        <v>1197</v>
      </c>
      <c r="E168">
        <v>30</v>
      </c>
      <c r="F168" t="s">
        <v>734</v>
      </c>
      <c r="G168" t="b">
        <f>LEFT(Logs_Reseau_Part[[#This Row],[Cell_ID]],1)="A"</f>
        <v>1</v>
      </c>
    </row>
    <row r="169" spans="1:7" x14ac:dyDescent="0.3">
      <c r="A169" t="s">
        <v>1221</v>
      </c>
      <c r="B169" s="1">
        <v>45225.921527777777</v>
      </c>
      <c r="C169" s="2">
        <v>45225.921527777777</v>
      </c>
      <c r="D169" t="s">
        <v>1163</v>
      </c>
      <c r="E169">
        <v>45</v>
      </c>
      <c r="F169" t="s">
        <v>734</v>
      </c>
      <c r="G169" t="b">
        <f>LEFT(Logs_Reseau_Part[[#This Row],[Cell_ID]],1)="A"</f>
        <v>1</v>
      </c>
    </row>
    <row r="170" spans="1:7" x14ac:dyDescent="0.3">
      <c r="A170" t="s">
        <v>1406</v>
      </c>
      <c r="B170" s="1">
        <v>45225.888194444437</v>
      </c>
      <c r="C170" s="2">
        <v>45225.888194444437</v>
      </c>
      <c r="D170" t="s">
        <v>1413</v>
      </c>
      <c r="E170">
        <v>87</v>
      </c>
      <c r="F170" t="s">
        <v>739</v>
      </c>
      <c r="G170" t="b">
        <f>LEFT(Logs_Reseau_Part[[#This Row],[Cell_ID]],1)="A"</f>
        <v>1</v>
      </c>
    </row>
    <row r="171" spans="1:7" x14ac:dyDescent="0.3">
      <c r="A171" t="s">
        <v>904</v>
      </c>
      <c r="B171" s="1">
        <v>45225.859027777777</v>
      </c>
      <c r="C171" s="2">
        <v>45225.859027777777</v>
      </c>
      <c r="D171" t="s">
        <v>928</v>
      </c>
      <c r="E171">
        <v>90</v>
      </c>
      <c r="F171" t="s">
        <v>737</v>
      </c>
      <c r="G171" t="b">
        <f>LEFT(Logs_Reseau_Part[[#This Row],[Cell_ID]],1)="A"</f>
        <v>1</v>
      </c>
    </row>
    <row r="172" spans="1:7" x14ac:dyDescent="0.3">
      <c r="A172" t="s">
        <v>1195</v>
      </c>
      <c r="B172" s="1">
        <v>45225.839583333327</v>
      </c>
      <c r="C172" s="2">
        <v>45225.839583333327</v>
      </c>
      <c r="D172" t="s">
        <v>1207</v>
      </c>
      <c r="E172">
        <v>60</v>
      </c>
      <c r="F172" t="s">
        <v>739</v>
      </c>
      <c r="G172" t="b">
        <f>LEFT(Logs_Reseau_Part[[#This Row],[Cell_ID]],1)="A"</f>
        <v>1</v>
      </c>
    </row>
    <row r="173" spans="1:7" x14ac:dyDescent="0.3">
      <c r="A173" t="s">
        <v>1167</v>
      </c>
      <c r="B173" s="1">
        <v>45225.781944444447</v>
      </c>
      <c r="C173" s="2">
        <v>45225.781944444447</v>
      </c>
      <c r="D173" t="s">
        <v>1179</v>
      </c>
      <c r="E173">
        <v>113</v>
      </c>
      <c r="F173" t="s">
        <v>737</v>
      </c>
      <c r="G173" t="b">
        <f>LEFT(Logs_Reseau_Part[[#This Row],[Cell_ID]],1)="A"</f>
        <v>1</v>
      </c>
    </row>
    <row r="174" spans="1:7" x14ac:dyDescent="0.3">
      <c r="A174" t="s">
        <v>1363</v>
      </c>
      <c r="B174" s="1">
        <v>45225.779861111107</v>
      </c>
      <c r="C174" s="2">
        <v>45225.779861111107</v>
      </c>
      <c r="D174" t="s">
        <v>1372</v>
      </c>
      <c r="E174">
        <v>69</v>
      </c>
      <c r="F174" t="s">
        <v>737</v>
      </c>
      <c r="G174" t="b">
        <f>LEFT(Logs_Reseau_Part[[#This Row],[Cell_ID]],1)="A"</f>
        <v>1</v>
      </c>
    </row>
    <row r="175" spans="1:7" x14ac:dyDescent="0.3">
      <c r="A175" t="s">
        <v>1026</v>
      </c>
      <c r="B175" s="1">
        <v>45225.77847222222</v>
      </c>
      <c r="C175" s="2">
        <v>45225.77847222222</v>
      </c>
      <c r="D175" t="s">
        <v>1033</v>
      </c>
      <c r="E175">
        <v>89</v>
      </c>
      <c r="F175" t="s">
        <v>734</v>
      </c>
      <c r="G175" t="b">
        <f>LEFT(Logs_Reseau_Part[[#This Row],[Cell_ID]],1)="A"</f>
        <v>1</v>
      </c>
    </row>
    <row r="176" spans="1:7" x14ac:dyDescent="0.3">
      <c r="A176" t="s">
        <v>825</v>
      </c>
      <c r="B176" s="1">
        <v>45225.776388888888</v>
      </c>
      <c r="C176" s="2">
        <v>45225.776388888888</v>
      </c>
      <c r="D176" t="s">
        <v>799</v>
      </c>
      <c r="E176">
        <v>71</v>
      </c>
      <c r="F176" t="s">
        <v>734</v>
      </c>
      <c r="G176" t="b">
        <f>LEFT(Logs_Reseau_Part[[#This Row],[Cell_ID]],1)="A"</f>
        <v>1</v>
      </c>
    </row>
    <row r="177" spans="1:7" x14ac:dyDescent="0.3">
      <c r="A177" t="s">
        <v>781</v>
      </c>
      <c r="B177" s="1">
        <v>45225.737500000003</v>
      </c>
      <c r="C177" s="2">
        <v>45225.737500000003</v>
      </c>
      <c r="D177" t="s">
        <v>802</v>
      </c>
      <c r="E177">
        <v>6</v>
      </c>
      <c r="F177" t="s">
        <v>737</v>
      </c>
      <c r="G177" t="b">
        <f>LEFT(Logs_Reseau_Part[[#This Row],[Cell_ID]],1)="A"</f>
        <v>1</v>
      </c>
    </row>
    <row r="178" spans="1:7" x14ac:dyDescent="0.3">
      <c r="A178" t="s">
        <v>781</v>
      </c>
      <c r="B178" s="1">
        <v>45225.712500000001</v>
      </c>
      <c r="C178" s="2">
        <v>45225.712500000001</v>
      </c>
      <c r="D178" t="s">
        <v>794</v>
      </c>
      <c r="E178">
        <v>25</v>
      </c>
      <c r="F178" t="s">
        <v>734</v>
      </c>
      <c r="G178" t="b">
        <f>LEFT(Logs_Reseau_Part[[#This Row],[Cell_ID]],1)="A"</f>
        <v>1</v>
      </c>
    </row>
    <row r="179" spans="1:7" x14ac:dyDescent="0.3">
      <c r="A179" t="s">
        <v>781</v>
      </c>
      <c r="B179" s="1">
        <v>45225.660416666673</v>
      </c>
      <c r="C179" s="2">
        <v>45225.660416666673</v>
      </c>
      <c r="D179" t="s">
        <v>783</v>
      </c>
      <c r="E179">
        <v>14</v>
      </c>
      <c r="F179" t="s">
        <v>734</v>
      </c>
      <c r="G179" t="b">
        <f>LEFT(Logs_Reseau_Part[[#This Row],[Cell_ID]],1)="A"</f>
        <v>1</v>
      </c>
    </row>
    <row r="180" spans="1:7" x14ac:dyDescent="0.3">
      <c r="A180" t="s">
        <v>1116</v>
      </c>
      <c r="B180" s="1">
        <v>45225.647916666669</v>
      </c>
      <c r="C180" s="2">
        <v>45225.647916666669</v>
      </c>
      <c r="D180" t="s">
        <v>1118</v>
      </c>
      <c r="E180">
        <v>49</v>
      </c>
      <c r="F180" t="s">
        <v>734</v>
      </c>
      <c r="G180" t="b">
        <f>LEFT(Logs_Reseau_Part[[#This Row],[Cell_ID]],1)="A"</f>
        <v>1</v>
      </c>
    </row>
    <row r="181" spans="1:7" x14ac:dyDescent="0.3">
      <c r="A181" t="s">
        <v>1088</v>
      </c>
      <c r="B181" s="1">
        <v>45225.625694444447</v>
      </c>
      <c r="C181" s="2">
        <v>45225.625694444447</v>
      </c>
      <c r="D181" t="s">
        <v>1094</v>
      </c>
      <c r="E181">
        <v>108</v>
      </c>
      <c r="F181" t="s">
        <v>739</v>
      </c>
      <c r="G181" t="b">
        <f>LEFT(Logs_Reseau_Part[[#This Row],[Cell_ID]],1)="A"</f>
        <v>1</v>
      </c>
    </row>
    <row r="182" spans="1:7" x14ac:dyDescent="0.3">
      <c r="A182" t="s">
        <v>1167</v>
      </c>
      <c r="B182" s="1">
        <v>45225.623611111107</v>
      </c>
      <c r="C182" s="2">
        <v>45225.623611111107</v>
      </c>
      <c r="D182" t="s">
        <v>1172</v>
      </c>
      <c r="E182">
        <v>22</v>
      </c>
      <c r="F182" t="s">
        <v>734</v>
      </c>
      <c r="G182" t="b">
        <f>LEFT(Logs_Reseau_Part[[#This Row],[Cell_ID]],1)="A"</f>
        <v>1</v>
      </c>
    </row>
    <row r="183" spans="1:7" x14ac:dyDescent="0.3">
      <c r="A183" t="s">
        <v>941</v>
      </c>
      <c r="B183" s="1">
        <v>45225.622916666667</v>
      </c>
      <c r="C183" s="2">
        <v>45225.622916666667</v>
      </c>
      <c r="D183" t="s">
        <v>972</v>
      </c>
      <c r="E183">
        <v>86</v>
      </c>
      <c r="F183" t="s">
        <v>734</v>
      </c>
      <c r="G183" t="b">
        <f>LEFT(Logs_Reseau_Part[[#This Row],[Cell_ID]],1)="A"</f>
        <v>1</v>
      </c>
    </row>
    <row r="184" spans="1:7" x14ac:dyDescent="0.3">
      <c r="A184" t="s">
        <v>1263</v>
      </c>
      <c r="B184" s="1">
        <v>45225.553472222222</v>
      </c>
      <c r="C184" s="2">
        <v>45225.553472222222</v>
      </c>
      <c r="D184" t="s">
        <v>1271</v>
      </c>
      <c r="E184">
        <v>120</v>
      </c>
      <c r="F184" t="s">
        <v>734</v>
      </c>
      <c r="G184" t="b">
        <f>LEFT(Logs_Reseau_Part[[#This Row],[Cell_ID]],1)="A"</f>
        <v>1</v>
      </c>
    </row>
    <row r="185" spans="1:7" x14ac:dyDescent="0.3">
      <c r="A185" t="s">
        <v>1221</v>
      </c>
      <c r="B185" s="1">
        <v>45225.527777777781</v>
      </c>
      <c r="C185" s="2">
        <v>45225.527777777781</v>
      </c>
      <c r="D185" t="s">
        <v>1233</v>
      </c>
      <c r="E185">
        <v>6</v>
      </c>
      <c r="F185" t="s">
        <v>737</v>
      </c>
      <c r="G185" t="b">
        <f>LEFT(Logs_Reseau_Part[[#This Row],[Cell_ID]],1)="A"</f>
        <v>1</v>
      </c>
    </row>
    <row r="186" spans="1:7" x14ac:dyDescent="0.3">
      <c r="A186" t="s">
        <v>1347</v>
      </c>
      <c r="B186" s="1">
        <v>45225.432638888888</v>
      </c>
      <c r="C186" s="2">
        <v>45225.432638888888</v>
      </c>
      <c r="D186" t="s">
        <v>906</v>
      </c>
      <c r="E186">
        <v>50</v>
      </c>
      <c r="F186" t="s">
        <v>737</v>
      </c>
      <c r="G186" t="b">
        <f>LEFT(Logs_Reseau_Part[[#This Row],[Cell_ID]],1)="A"</f>
        <v>1</v>
      </c>
    </row>
    <row r="187" spans="1:7" x14ac:dyDescent="0.3">
      <c r="A187" t="s">
        <v>1221</v>
      </c>
      <c r="B187" s="1">
        <v>45225.415277777778</v>
      </c>
      <c r="C187" s="2">
        <v>45225.415277777778</v>
      </c>
      <c r="D187" t="s">
        <v>1240</v>
      </c>
      <c r="E187">
        <v>15</v>
      </c>
      <c r="F187" t="s">
        <v>734</v>
      </c>
      <c r="G187" t="b">
        <f>LEFT(Logs_Reseau_Part[[#This Row],[Cell_ID]],1)="A"</f>
        <v>1</v>
      </c>
    </row>
    <row r="188" spans="1:7" x14ac:dyDescent="0.3">
      <c r="A188" t="s">
        <v>1140</v>
      </c>
      <c r="B188" s="1">
        <v>45225.406944444447</v>
      </c>
      <c r="C188" s="2">
        <v>45225.406944444447</v>
      </c>
      <c r="D188" t="s">
        <v>1165</v>
      </c>
      <c r="E188">
        <v>74</v>
      </c>
      <c r="F188" t="s">
        <v>734</v>
      </c>
      <c r="G188" t="b">
        <f>LEFT(Logs_Reseau_Part[[#This Row],[Cell_ID]],1)="A"</f>
        <v>1</v>
      </c>
    </row>
    <row r="189" spans="1:7" x14ac:dyDescent="0.3">
      <c r="A189" t="s">
        <v>1384</v>
      </c>
      <c r="B189" s="1">
        <v>45225.384027777778</v>
      </c>
      <c r="C189" s="2">
        <v>45225.384027777778</v>
      </c>
      <c r="D189" t="s">
        <v>1291</v>
      </c>
      <c r="E189">
        <v>42</v>
      </c>
      <c r="F189" t="s">
        <v>734</v>
      </c>
      <c r="G189" t="b">
        <f>LEFT(Logs_Reseau_Part[[#This Row],[Cell_ID]],1)="A"</f>
        <v>1</v>
      </c>
    </row>
    <row r="190" spans="1:7" x14ac:dyDescent="0.3">
      <c r="A190" t="s">
        <v>1195</v>
      </c>
      <c r="B190" s="1">
        <v>45225.322916666657</v>
      </c>
      <c r="C190" s="2">
        <v>45225.322916666657</v>
      </c>
      <c r="D190" t="s">
        <v>1205</v>
      </c>
      <c r="E190">
        <v>47</v>
      </c>
      <c r="F190" t="s">
        <v>739</v>
      </c>
      <c r="G190" t="b">
        <f>LEFT(Logs_Reseau_Part[[#This Row],[Cell_ID]],1)="A"</f>
        <v>1</v>
      </c>
    </row>
    <row r="191" spans="1:7" x14ac:dyDescent="0.3">
      <c r="A191" t="s">
        <v>980</v>
      </c>
      <c r="B191" s="1">
        <v>45225.317361111112</v>
      </c>
      <c r="C191" s="2">
        <v>45225.317361111112</v>
      </c>
      <c r="D191" t="s">
        <v>867</v>
      </c>
      <c r="E191">
        <v>56</v>
      </c>
      <c r="F191" t="s">
        <v>737</v>
      </c>
      <c r="G191" t="b">
        <f>LEFT(Logs_Reseau_Part[[#This Row],[Cell_ID]],1)="A"</f>
        <v>1</v>
      </c>
    </row>
    <row r="192" spans="1:7" x14ac:dyDescent="0.3">
      <c r="A192" t="s">
        <v>1061</v>
      </c>
      <c r="B192" s="1">
        <v>45225.288888888892</v>
      </c>
      <c r="C192" s="2">
        <v>45225.288888888892</v>
      </c>
      <c r="D192" t="s">
        <v>1034</v>
      </c>
      <c r="E192">
        <v>89</v>
      </c>
      <c r="F192" t="s">
        <v>734</v>
      </c>
      <c r="G192" t="b">
        <f>LEFT(Logs_Reseau_Part[[#This Row],[Cell_ID]],1)="A"</f>
        <v>1</v>
      </c>
    </row>
    <row r="193" spans="1:7" x14ac:dyDescent="0.3">
      <c r="A193" t="s">
        <v>732</v>
      </c>
      <c r="B193" s="1">
        <v>45225.238888888889</v>
      </c>
      <c r="C193" s="2">
        <v>45225.238888888889</v>
      </c>
      <c r="D193" t="s">
        <v>749</v>
      </c>
      <c r="E193">
        <v>16</v>
      </c>
      <c r="F193" t="s">
        <v>737</v>
      </c>
      <c r="G193" t="b">
        <f>LEFT(Logs_Reseau_Part[[#This Row],[Cell_ID]],1)="A"</f>
        <v>1</v>
      </c>
    </row>
    <row r="194" spans="1:7" x14ac:dyDescent="0.3">
      <c r="A194" t="s">
        <v>1384</v>
      </c>
      <c r="B194" s="1">
        <v>45225.220833333333</v>
      </c>
      <c r="C194" s="2">
        <v>45225.220833333333</v>
      </c>
      <c r="D194" t="s">
        <v>1399</v>
      </c>
      <c r="E194">
        <v>104</v>
      </c>
      <c r="F194" t="s">
        <v>737</v>
      </c>
      <c r="G194" t="b">
        <f>LEFT(Logs_Reseau_Part[[#This Row],[Cell_ID]],1)="A"</f>
        <v>1</v>
      </c>
    </row>
    <row r="195" spans="1:7" x14ac:dyDescent="0.3">
      <c r="A195" t="s">
        <v>941</v>
      </c>
      <c r="B195" s="1">
        <v>45225.215277777781</v>
      </c>
      <c r="C195" s="2">
        <v>45225.215277777781</v>
      </c>
      <c r="D195" t="s">
        <v>970</v>
      </c>
      <c r="E195">
        <v>41</v>
      </c>
      <c r="F195" t="s">
        <v>739</v>
      </c>
      <c r="G195" t="b">
        <f>LEFT(Logs_Reseau_Part[[#This Row],[Cell_ID]],1)="A"</f>
        <v>1</v>
      </c>
    </row>
    <row r="196" spans="1:7" x14ac:dyDescent="0.3">
      <c r="A196" t="s">
        <v>1363</v>
      </c>
      <c r="B196" s="1">
        <v>45225.213194444441</v>
      </c>
      <c r="C196" s="2">
        <v>45225.213194444441</v>
      </c>
      <c r="D196" t="s">
        <v>1369</v>
      </c>
      <c r="E196">
        <v>35</v>
      </c>
      <c r="F196" t="s">
        <v>739</v>
      </c>
      <c r="G196" t="b">
        <f>LEFT(Logs_Reseau_Part[[#This Row],[Cell_ID]],1)="A"</f>
        <v>1</v>
      </c>
    </row>
    <row r="197" spans="1:7" x14ac:dyDescent="0.3">
      <c r="A197" t="s">
        <v>1332</v>
      </c>
      <c r="B197" s="1">
        <v>45225.211111111108</v>
      </c>
      <c r="C197" s="2">
        <v>45225.211111111108</v>
      </c>
      <c r="D197" t="s">
        <v>1342</v>
      </c>
      <c r="E197">
        <v>33</v>
      </c>
      <c r="F197" t="s">
        <v>737</v>
      </c>
      <c r="G197" t="b">
        <f>LEFT(Logs_Reseau_Part[[#This Row],[Cell_ID]],1)="A"</f>
        <v>1</v>
      </c>
    </row>
    <row r="198" spans="1:7" x14ac:dyDescent="0.3">
      <c r="A198" t="s">
        <v>1088</v>
      </c>
      <c r="B198" s="1">
        <v>45225.177083333343</v>
      </c>
      <c r="C198" s="2">
        <v>45225.177083333343</v>
      </c>
      <c r="D198" t="s">
        <v>1093</v>
      </c>
      <c r="E198">
        <v>36</v>
      </c>
      <c r="F198" t="s">
        <v>739</v>
      </c>
      <c r="G198" t="b">
        <f>LEFT(Logs_Reseau_Part[[#This Row],[Cell_ID]],1)="A"</f>
        <v>1</v>
      </c>
    </row>
    <row r="199" spans="1:7" x14ac:dyDescent="0.3">
      <c r="A199" t="s">
        <v>1290</v>
      </c>
      <c r="B199" s="1">
        <v>45225.171527777777</v>
      </c>
      <c r="C199" s="2">
        <v>45225.171527777777</v>
      </c>
      <c r="D199" t="s">
        <v>1293</v>
      </c>
      <c r="E199">
        <v>104</v>
      </c>
      <c r="F199" t="s">
        <v>737</v>
      </c>
      <c r="G199" t="b">
        <f>LEFT(Logs_Reseau_Part[[#This Row],[Cell_ID]],1)="A"</f>
        <v>1</v>
      </c>
    </row>
    <row r="200" spans="1:7" x14ac:dyDescent="0.3">
      <c r="A200" t="s">
        <v>863</v>
      </c>
      <c r="B200" s="1">
        <v>45225.159722222219</v>
      </c>
      <c r="C200" s="2">
        <v>45225.159722222219</v>
      </c>
      <c r="D200" t="s">
        <v>896</v>
      </c>
      <c r="E200">
        <v>113</v>
      </c>
      <c r="F200" t="s">
        <v>734</v>
      </c>
      <c r="G200" t="b">
        <f>LEFT(Logs_Reseau_Part[[#This Row],[Cell_ID]],1)="A"</f>
        <v>1</v>
      </c>
    </row>
    <row r="201" spans="1:7" x14ac:dyDescent="0.3">
      <c r="A201" t="s">
        <v>1026</v>
      </c>
      <c r="B201" s="1">
        <v>45225.147222222222</v>
      </c>
      <c r="C201" s="2">
        <v>45225.147222222222</v>
      </c>
      <c r="D201" t="s">
        <v>1060</v>
      </c>
      <c r="E201">
        <v>44</v>
      </c>
      <c r="F201" t="s">
        <v>734</v>
      </c>
      <c r="G201" t="b">
        <f>LEFT(Logs_Reseau_Part[[#This Row],[Cell_ID]],1)="A"</f>
        <v>1</v>
      </c>
    </row>
    <row r="202" spans="1:7" x14ac:dyDescent="0.3">
      <c r="A202" t="s">
        <v>1243</v>
      </c>
      <c r="B202" s="1">
        <v>45225.129166666673</v>
      </c>
      <c r="C202" s="2">
        <v>45225.129166666673</v>
      </c>
      <c r="D202" t="s">
        <v>828</v>
      </c>
      <c r="E202">
        <v>36</v>
      </c>
      <c r="F202" t="s">
        <v>739</v>
      </c>
      <c r="G202" t="b">
        <f>LEFT(Logs_Reseau_Part[[#This Row],[Cell_ID]],1)="A"</f>
        <v>1</v>
      </c>
    </row>
    <row r="203" spans="1:7" x14ac:dyDescent="0.3">
      <c r="A203" t="s">
        <v>1347</v>
      </c>
      <c r="B203" s="1">
        <v>45225.088888888888</v>
      </c>
      <c r="C203" s="2">
        <v>45225.088888888888</v>
      </c>
      <c r="D203" t="s">
        <v>1358</v>
      </c>
      <c r="E203">
        <v>51</v>
      </c>
      <c r="F203" t="s">
        <v>734</v>
      </c>
      <c r="G203" t="b">
        <f>LEFT(Logs_Reseau_Part[[#This Row],[Cell_ID]],1)="A"</f>
        <v>1</v>
      </c>
    </row>
    <row r="204" spans="1:7" x14ac:dyDescent="0.3">
      <c r="A204" t="s">
        <v>1140</v>
      </c>
      <c r="B204" s="1">
        <v>45225.061805555553</v>
      </c>
      <c r="C204" s="2">
        <v>45225.061805555553</v>
      </c>
      <c r="D204" t="s">
        <v>1162</v>
      </c>
      <c r="E204">
        <v>15</v>
      </c>
      <c r="F204" t="s">
        <v>739</v>
      </c>
      <c r="G204" t="b">
        <f>LEFT(Logs_Reseau_Part[[#This Row],[Cell_ID]],1)="A"</f>
        <v>1</v>
      </c>
    </row>
    <row r="205" spans="1:7" x14ac:dyDescent="0.3">
      <c r="A205" t="s">
        <v>1310</v>
      </c>
      <c r="B205" s="1">
        <v>45225.054166666669</v>
      </c>
      <c r="C205" s="2">
        <v>45225.054166666669</v>
      </c>
      <c r="D205" t="s">
        <v>1323</v>
      </c>
      <c r="E205">
        <v>38</v>
      </c>
      <c r="F205" t="s">
        <v>739</v>
      </c>
      <c r="G205" t="b">
        <f>LEFT(Logs_Reseau_Part[[#This Row],[Cell_ID]],1)="A"</f>
        <v>1</v>
      </c>
    </row>
    <row r="206" spans="1:7" x14ac:dyDescent="0.3">
      <c r="A206" t="s">
        <v>1116</v>
      </c>
      <c r="B206" s="1">
        <v>45224.988194444442</v>
      </c>
      <c r="C206" s="2">
        <v>45224.988194444442</v>
      </c>
      <c r="D206" t="s">
        <v>788</v>
      </c>
      <c r="E206">
        <v>39</v>
      </c>
      <c r="F206" t="s">
        <v>734</v>
      </c>
      <c r="G206" t="b">
        <f>LEFT(Logs_Reseau_Part[[#This Row],[Cell_ID]],1)="A"</f>
        <v>1</v>
      </c>
    </row>
    <row r="207" spans="1:7" x14ac:dyDescent="0.3">
      <c r="A207" t="s">
        <v>1406</v>
      </c>
      <c r="B207" s="1">
        <v>45224.984027777777</v>
      </c>
      <c r="C207" s="2">
        <v>45224.984027777777</v>
      </c>
      <c r="D207" t="s">
        <v>1410</v>
      </c>
      <c r="E207">
        <v>49</v>
      </c>
      <c r="F207" t="s">
        <v>734</v>
      </c>
      <c r="G207" t="b">
        <f>LEFT(Logs_Reseau_Part[[#This Row],[Cell_ID]],1)="A"</f>
        <v>1</v>
      </c>
    </row>
    <row r="208" spans="1:7" x14ac:dyDescent="0.3">
      <c r="A208" t="s">
        <v>1363</v>
      </c>
      <c r="B208" s="1">
        <v>45224.98333333333</v>
      </c>
      <c r="C208" s="2">
        <v>45224.98333333333</v>
      </c>
      <c r="D208" t="s">
        <v>919</v>
      </c>
      <c r="E208">
        <v>107</v>
      </c>
      <c r="F208" t="s">
        <v>739</v>
      </c>
      <c r="G208" t="b">
        <f>LEFT(Logs_Reseau_Part[[#This Row],[Cell_ID]],1)="A"</f>
        <v>1</v>
      </c>
    </row>
    <row r="209" spans="1:7" x14ac:dyDescent="0.3">
      <c r="A209" t="s">
        <v>1195</v>
      </c>
      <c r="B209" s="1">
        <v>45224.963888888888</v>
      </c>
      <c r="C209" s="2">
        <v>45224.963888888888</v>
      </c>
      <c r="D209" t="s">
        <v>1196</v>
      </c>
      <c r="E209">
        <v>83</v>
      </c>
      <c r="F209" t="s">
        <v>737</v>
      </c>
      <c r="G209" t="b">
        <f>LEFT(Logs_Reseau_Part[[#This Row],[Cell_ID]],1)="A"</f>
        <v>1</v>
      </c>
    </row>
    <row r="210" spans="1:7" x14ac:dyDescent="0.3">
      <c r="A210" t="s">
        <v>1243</v>
      </c>
      <c r="B210" s="1">
        <v>45224.961805555547</v>
      </c>
      <c r="C210" s="2">
        <v>45224.961805555547</v>
      </c>
      <c r="D210" t="s">
        <v>1207</v>
      </c>
      <c r="E210">
        <v>83</v>
      </c>
      <c r="F210" t="s">
        <v>739</v>
      </c>
      <c r="G210" t="b">
        <f>LEFT(Logs_Reseau_Part[[#This Row],[Cell_ID]],1)="A"</f>
        <v>1</v>
      </c>
    </row>
    <row r="211" spans="1:7" x14ac:dyDescent="0.3">
      <c r="A211" t="s">
        <v>1310</v>
      </c>
      <c r="B211" s="1">
        <v>45224.884722222218</v>
      </c>
      <c r="C211" s="2">
        <v>45224.884722222218</v>
      </c>
      <c r="D211" t="s">
        <v>1321</v>
      </c>
      <c r="E211">
        <v>119</v>
      </c>
      <c r="F211" t="s">
        <v>737</v>
      </c>
      <c r="G211" t="b">
        <f>LEFT(Logs_Reseau_Part[[#This Row],[Cell_ID]],1)="A"</f>
        <v>1</v>
      </c>
    </row>
    <row r="212" spans="1:7" x14ac:dyDescent="0.3">
      <c r="A212" t="s">
        <v>1116</v>
      </c>
      <c r="B212" s="1">
        <v>45224.831944444442</v>
      </c>
      <c r="C212" s="2">
        <v>45224.831944444442</v>
      </c>
      <c r="D212" t="s">
        <v>1131</v>
      </c>
      <c r="E212">
        <v>100</v>
      </c>
      <c r="F212" t="s">
        <v>734</v>
      </c>
      <c r="G212" t="b">
        <f>LEFT(Logs_Reseau_Part[[#This Row],[Cell_ID]],1)="A"</f>
        <v>1</v>
      </c>
    </row>
    <row r="213" spans="1:7" x14ac:dyDescent="0.3">
      <c r="A213" t="s">
        <v>1195</v>
      </c>
      <c r="B213" s="1">
        <v>45224.818055555559</v>
      </c>
      <c r="C213" s="2">
        <v>45224.818055555559</v>
      </c>
      <c r="D213" t="s">
        <v>956</v>
      </c>
      <c r="E213">
        <v>5</v>
      </c>
      <c r="F213" t="s">
        <v>739</v>
      </c>
      <c r="G213" t="b">
        <f>LEFT(Logs_Reseau_Part[[#This Row],[Cell_ID]],1)="A"</f>
        <v>1</v>
      </c>
    </row>
    <row r="214" spans="1:7" x14ac:dyDescent="0.3">
      <c r="A214" t="s">
        <v>1116</v>
      </c>
      <c r="B214" s="1">
        <v>45224.775000000001</v>
      </c>
      <c r="C214" s="2">
        <v>45224.775000000001</v>
      </c>
      <c r="D214" t="s">
        <v>1126</v>
      </c>
      <c r="E214">
        <v>107</v>
      </c>
      <c r="F214" t="s">
        <v>739</v>
      </c>
      <c r="G214" t="b">
        <f>LEFT(Logs_Reseau_Part[[#This Row],[Cell_ID]],1)="A"</f>
        <v>1</v>
      </c>
    </row>
    <row r="215" spans="1:7" x14ac:dyDescent="0.3">
      <c r="A215" t="s">
        <v>1384</v>
      </c>
      <c r="B215" s="1">
        <v>45224.709722222222</v>
      </c>
      <c r="C215" s="2">
        <v>45224.709722222222</v>
      </c>
      <c r="D215" t="s">
        <v>1401</v>
      </c>
      <c r="E215">
        <v>62</v>
      </c>
      <c r="F215" t="s">
        <v>737</v>
      </c>
      <c r="G215" t="b">
        <f>LEFT(Logs_Reseau_Part[[#This Row],[Cell_ID]],1)="A"</f>
        <v>1</v>
      </c>
    </row>
    <row r="216" spans="1:7" x14ac:dyDescent="0.3">
      <c r="A216" t="s">
        <v>904</v>
      </c>
      <c r="B216" s="1">
        <v>45224.683333333327</v>
      </c>
      <c r="C216" s="2">
        <v>45224.683333333327</v>
      </c>
      <c r="D216" t="s">
        <v>915</v>
      </c>
      <c r="E216">
        <v>71</v>
      </c>
      <c r="F216" t="s">
        <v>734</v>
      </c>
      <c r="G216" t="b">
        <f>LEFT(Logs_Reseau_Part[[#This Row],[Cell_ID]],1)="A"</f>
        <v>1</v>
      </c>
    </row>
    <row r="217" spans="1:7" x14ac:dyDescent="0.3">
      <c r="A217" t="s">
        <v>1001</v>
      </c>
      <c r="B217" s="1">
        <v>45224.671527777777</v>
      </c>
      <c r="C217" s="2">
        <v>45224.671527777777</v>
      </c>
      <c r="D217" t="s">
        <v>889</v>
      </c>
      <c r="E217">
        <v>14</v>
      </c>
      <c r="F217" t="s">
        <v>739</v>
      </c>
      <c r="G217" t="b">
        <f>LEFT(Logs_Reseau_Part[[#This Row],[Cell_ID]],1)="A"</f>
        <v>1</v>
      </c>
    </row>
    <row r="218" spans="1:7" x14ac:dyDescent="0.3">
      <c r="A218" t="s">
        <v>1406</v>
      </c>
      <c r="B218" s="1">
        <v>45224.6</v>
      </c>
      <c r="C218" s="2">
        <v>45224.6</v>
      </c>
      <c r="D218" t="s">
        <v>1414</v>
      </c>
      <c r="E218">
        <v>70</v>
      </c>
      <c r="F218" t="s">
        <v>739</v>
      </c>
      <c r="G218" t="b">
        <f>LEFT(Logs_Reseau_Part[[#This Row],[Cell_ID]],1)="A"</f>
        <v>1</v>
      </c>
    </row>
    <row r="219" spans="1:7" x14ac:dyDescent="0.3">
      <c r="A219" t="s">
        <v>904</v>
      </c>
      <c r="B219" s="1">
        <v>45224.568055555559</v>
      </c>
      <c r="C219" s="2">
        <v>45224.568055555559</v>
      </c>
      <c r="D219" t="s">
        <v>913</v>
      </c>
      <c r="E219">
        <v>27</v>
      </c>
      <c r="F219" t="s">
        <v>734</v>
      </c>
      <c r="G219" t="b">
        <f>LEFT(Logs_Reseau_Part[[#This Row],[Cell_ID]],1)="A"</f>
        <v>1</v>
      </c>
    </row>
    <row r="220" spans="1:7" x14ac:dyDescent="0.3">
      <c r="A220" t="s">
        <v>863</v>
      </c>
      <c r="B220" s="1">
        <v>45224.552777777782</v>
      </c>
      <c r="C220" s="2">
        <v>45224.552777777782</v>
      </c>
      <c r="D220" t="s">
        <v>876</v>
      </c>
      <c r="E220">
        <v>60</v>
      </c>
      <c r="F220" t="s">
        <v>737</v>
      </c>
      <c r="G220" t="b">
        <f>LEFT(Logs_Reseau_Part[[#This Row],[Cell_ID]],1)="A"</f>
        <v>1</v>
      </c>
    </row>
    <row r="221" spans="1:7" x14ac:dyDescent="0.3">
      <c r="A221" t="s">
        <v>1384</v>
      </c>
      <c r="B221" s="1">
        <v>45224.482638888891</v>
      </c>
      <c r="C221" s="2">
        <v>45224.482638888891</v>
      </c>
      <c r="D221" t="s">
        <v>751</v>
      </c>
      <c r="E221">
        <v>95</v>
      </c>
      <c r="F221" t="s">
        <v>737</v>
      </c>
      <c r="G221" t="b">
        <f>LEFT(Logs_Reseau_Part[[#This Row],[Cell_ID]],1)="A"</f>
        <v>1</v>
      </c>
    </row>
    <row r="222" spans="1:7" x14ac:dyDescent="0.3">
      <c r="A222" t="s">
        <v>1167</v>
      </c>
      <c r="B222" s="1">
        <v>45224.456944444442</v>
      </c>
      <c r="C222" s="2">
        <v>45224.456944444442</v>
      </c>
      <c r="D222" t="s">
        <v>758</v>
      </c>
      <c r="E222">
        <v>32</v>
      </c>
      <c r="F222" t="s">
        <v>734</v>
      </c>
      <c r="G222" t="b">
        <f>LEFT(Logs_Reseau_Part[[#This Row],[Cell_ID]],1)="A"</f>
        <v>1</v>
      </c>
    </row>
    <row r="223" spans="1:7" x14ac:dyDescent="0.3">
      <c r="A223" t="s">
        <v>1332</v>
      </c>
      <c r="B223" s="1">
        <v>45224.428472222222</v>
      </c>
      <c r="C223" s="2">
        <v>45224.428472222222</v>
      </c>
      <c r="D223" t="s">
        <v>755</v>
      </c>
      <c r="E223">
        <v>65</v>
      </c>
      <c r="F223" t="s">
        <v>737</v>
      </c>
      <c r="G223" t="b">
        <f>LEFT(Logs_Reseau_Part[[#This Row],[Cell_ID]],1)="A"</f>
        <v>1</v>
      </c>
    </row>
    <row r="224" spans="1:7" x14ac:dyDescent="0.3">
      <c r="A224" t="s">
        <v>732</v>
      </c>
      <c r="B224" s="1">
        <v>45224.378472222219</v>
      </c>
      <c r="C224" s="2">
        <v>45224.378472222219</v>
      </c>
      <c r="D224" t="s">
        <v>736</v>
      </c>
      <c r="E224">
        <v>53</v>
      </c>
      <c r="F224" t="s">
        <v>739</v>
      </c>
      <c r="G224" t="b">
        <f>LEFT(Logs_Reseau_Part[[#This Row],[Cell_ID]],1)="A"</f>
        <v>1</v>
      </c>
    </row>
    <row r="225" spans="1:7" x14ac:dyDescent="0.3">
      <c r="A225" t="s">
        <v>1140</v>
      </c>
      <c r="B225" s="1">
        <v>45224.347916666673</v>
      </c>
      <c r="C225" s="2">
        <v>45224.347916666673</v>
      </c>
      <c r="D225" t="s">
        <v>1145</v>
      </c>
      <c r="E225">
        <v>14</v>
      </c>
      <c r="F225" t="s">
        <v>734</v>
      </c>
      <c r="G225" t="b">
        <f>LEFT(Logs_Reseau_Part[[#This Row],[Cell_ID]],1)="A"</f>
        <v>1</v>
      </c>
    </row>
    <row r="226" spans="1:7" x14ac:dyDescent="0.3">
      <c r="A226" t="s">
        <v>1243</v>
      </c>
      <c r="B226" s="1">
        <v>45224.310416666667</v>
      </c>
      <c r="C226" s="2">
        <v>45224.310416666667</v>
      </c>
      <c r="D226" t="s">
        <v>1163</v>
      </c>
      <c r="E226">
        <v>98</v>
      </c>
      <c r="F226" t="s">
        <v>737</v>
      </c>
      <c r="G226" t="b">
        <f>LEFT(Logs_Reseau_Part[[#This Row],[Cell_ID]],1)="A"</f>
        <v>1</v>
      </c>
    </row>
    <row r="227" spans="1:7" x14ac:dyDescent="0.3">
      <c r="A227" t="s">
        <v>1290</v>
      </c>
      <c r="B227" s="1">
        <v>45224.297222222223</v>
      </c>
      <c r="C227" s="2">
        <v>45224.297222222223</v>
      </c>
      <c r="D227" t="s">
        <v>1294</v>
      </c>
      <c r="E227">
        <v>12</v>
      </c>
      <c r="F227" t="s">
        <v>739</v>
      </c>
      <c r="G227" t="b">
        <f>LEFT(Logs_Reseau_Part[[#This Row],[Cell_ID]],1)="A"</f>
        <v>1</v>
      </c>
    </row>
    <row r="228" spans="1:7" x14ac:dyDescent="0.3">
      <c r="A228" t="s">
        <v>1406</v>
      </c>
      <c r="B228" s="1">
        <v>45224.288194444453</v>
      </c>
      <c r="C228" s="2">
        <v>45224.288194444453</v>
      </c>
      <c r="D228" t="s">
        <v>1072</v>
      </c>
      <c r="E228">
        <v>116</v>
      </c>
      <c r="F228" t="s">
        <v>739</v>
      </c>
      <c r="G228" t="b">
        <f>LEFT(Logs_Reseau_Part[[#This Row],[Cell_ID]],1)="A"</f>
        <v>1</v>
      </c>
    </row>
    <row r="229" spans="1:7" x14ac:dyDescent="0.3">
      <c r="A229" t="s">
        <v>1347</v>
      </c>
      <c r="B229" s="1">
        <v>45224.229861111111</v>
      </c>
      <c r="C229" s="2">
        <v>45224.229861111111</v>
      </c>
      <c r="D229" t="s">
        <v>1357</v>
      </c>
      <c r="E229">
        <v>20</v>
      </c>
      <c r="F229" t="s">
        <v>734</v>
      </c>
      <c r="G229" t="b">
        <f>LEFT(Logs_Reseau_Part[[#This Row],[Cell_ID]],1)="A"</f>
        <v>1</v>
      </c>
    </row>
    <row r="230" spans="1:7" x14ac:dyDescent="0.3">
      <c r="A230" t="s">
        <v>980</v>
      </c>
      <c r="B230" s="1">
        <v>45224.201388888891</v>
      </c>
      <c r="C230" s="2">
        <v>45224.201388888891</v>
      </c>
      <c r="D230" t="s">
        <v>888</v>
      </c>
      <c r="E230">
        <v>43</v>
      </c>
      <c r="F230" t="s">
        <v>739</v>
      </c>
      <c r="G230" t="b">
        <f>LEFT(Logs_Reseau_Part[[#This Row],[Cell_ID]],1)="A"</f>
        <v>1</v>
      </c>
    </row>
    <row r="231" spans="1:7" x14ac:dyDescent="0.3">
      <c r="A231" t="s">
        <v>1243</v>
      </c>
      <c r="B231" s="1">
        <v>45224.195138888892</v>
      </c>
      <c r="C231" s="2">
        <v>45224.195138888892</v>
      </c>
      <c r="D231" t="s">
        <v>1262</v>
      </c>
      <c r="E231">
        <v>81</v>
      </c>
      <c r="F231" t="s">
        <v>737</v>
      </c>
      <c r="G231" t="b">
        <f>LEFT(Logs_Reseau_Part[[#This Row],[Cell_ID]],1)="A"</f>
        <v>1</v>
      </c>
    </row>
    <row r="232" spans="1:7" x14ac:dyDescent="0.3">
      <c r="A232" t="s">
        <v>1263</v>
      </c>
      <c r="B232" s="1">
        <v>45224.164583333331</v>
      </c>
      <c r="C232" s="2">
        <v>45224.164583333331</v>
      </c>
      <c r="D232" t="s">
        <v>1278</v>
      </c>
      <c r="E232">
        <v>57</v>
      </c>
      <c r="F232" t="s">
        <v>737</v>
      </c>
      <c r="G232" t="b">
        <f>LEFT(Logs_Reseau_Part[[#This Row],[Cell_ID]],1)="A"</f>
        <v>1</v>
      </c>
    </row>
    <row r="233" spans="1:7" x14ac:dyDescent="0.3">
      <c r="A233" t="s">
        <v>1195</v>
      </c>
      <c r="B233" s="1">
        <v>45224.115277777782</v>
      </c>
      <c r="C233" s="2">
        <v>45224.115277777782</v>
      </c>
      <c r="D233" t="s">
        <v>1216</v>
      </c>
      <c r="E233">
        <v>45</v>
      </c>
      <c r="F233" t="s">
        <v>737</v>
      </c>
      <c r="G233" t="b">
        <f>LEFT(Logs_Reseau_Part[[#This Row],[Cell_ID]],1)="A"</f>
        <v>1</v>
      </c>
    </row>
    <row r="234" spans="1:7" x14ac:dyDescent="0.3">
      <c r="A234" t="s">
        <v>1347</v>
      </c>
      <c r="B234" s="1">
        <v>45224.104861111111</v>
      </c>
      <c r="C234" s="2">
        <v>45224.104861111111</v>
      </c>
      <c r="D234" t="s">
        <v>1355</v>
      </c>
      <c r="E234">
        <v>98</v>
      </c>
      <c r="F234" t="s">
        <v>739</v>
      </c>
      <c r="G234" t="b">
        <f>LEFT(Logs_Reseau_Part[[#This Row],[Cell_ID]],1)="A"</f>
        <v>1</v>
      </c>
    </row>
    <row r="235" spans="1:7" x14ac:dyDescent="0.3">
      <c r="A235" t="s">
        <v>781</v>
      </c>
      <c r="B235" s="1">
        <v>45224.083333333343</v>
      </c>
      <c r="C235" s="2">
        <v>45224.083333333343</v>
      </c>
      <c r="D235" t="s">
        <v>823</v>
      </c>
      <c r="E235">
        <v>31</v>
      </c>
      <c r="F235" t="s">
        <v>734</v>
      </c>
      <c r="G235" t="b">
        <f>LEFT(Logs_Reseau_Part[[#This Row],[Cell_ID]],1)="A"</f>
        <v>1</v>
      </c>
    </row>
    <row r="236" spans="1:7" x14ac:dyDescent="0.3">
      <c r="A236" t="s">
        <v>863</v>
      </c>
      <c r="B236" s="1">
        <v>45224.010416666657</v>
      </c>
      <c r="C236" s="2">
        <v>45224.010416666657</v>
      </c>
      <c r="D236" t="s">
        <v>811</v>
      </c>
      <c r="E236">
        <v>114</v>
      </c>
      <c r="F236" t="s">
        <v>739</v>
      </c>
      <c r="G236" t="b">
        <f>LEFT(Logs_Reseau_Part[[#This Row],[Cell_ID]],1)="A"</f>
        <v>1</v>
      </c>
    </row>
    <row r="237" spans="1:7" x14ac:dyDescent="0.3">
      <c r="A237" t="s">
        <v>825</v>
      </c>
      <c r="B237" s="1">
        <v>45223.990972222222</v>
      </c>
      <c r="C237" s="2">
        <v>45223.990972222222</v>
      </c>
      <c r="D237" t="s">
        <v>836</v>
      </c>
      <c r="E237">
        <v>23</v>
      </c>
      <c r="F237" t="s">
        <v>734</v>
      </c>
      <c r="G237" t="b">
        <f>LEFT(Logs_Reseau_Part[[#This Row],[Cell_ID]],1)="A"</f>
        <v>1</v>
      </c>
    </row>
    <row r="238" spans="1:7" x14ac:dyDescent="0.3">
      <c r="A238" t="s">
        <v>1406</v>
      </c>
      <c r="B238" s="1">
        <v>45223.794444444437</v>
      </c>
      <c r="C238" s="2">
        <v>45223.794444444437</v>
      </c>
      <c r="D238" t="s">
        <v>1409</v>
      </c>
      <c r="E238">
        <v>97</v>
      </c>
      <c r="F238" t="s">
        <v>734</v>
      </c>
      <c r="G238" t="b">
        <f>LEFT(Logs_Reseau_Part[[#This Row],[Cell_ID]],1)="A"</f>
        <v>1</v>
      </c>
    </row>
    <row r="239" spans="1:7" x14ac:dyDescent="0.3">
      <c r="A239" t="s">
        <v>1363</v>
      </c>
      <c r="B239" s="1">
        <v>45223.759722222218</v>
      </c>
      <c r="C239" s="2">
        <v>45223.759722222218</v>
      </c>
      <c r="D239" t="s">
        <v>1043</v>
      </c>
      <c r="E239">
        <v>78</v>
      </c>
      <c r="F239" t="s">
        <v>737</v>
      </c>
      <c r="G239" t="b">
        <f>LEFT(Logs_Reseau_Part[[#This Row],[Cell_ID]],1)="A"</f>
        <v>1</v>
      </c>
    </row>
    <row r="240" spans="1:7" x14ac:dyDescent="0.3">
      <c r="A240" t="s">
        <v>1384</v>
      </c>
      <c r="B240" s="1">
        <v>45223.736111111109</v>
      </c>
      <c r="C240" s="2">
        <v>45223.736111111109</v>
      </c>
      <c r="D240" t="s">
        <v>950</v>
      </c>
      <c r="E240">
        <v>116</v>
      </c>
      <c r="F240" t="s">
        <v>737</v>
      </c>
      <c r="G240" t="b">
        <f>LEFT(Logs_Reseau_Part[[#This Row],[Cell_ID]],1)="A"</f>
        <v>1</v>
      </c>
    </row>
    <row r="241" spans="1:7" x14ac:dyDescent="0.3">
      <c r="A241" t="s">
        <v>1310</v>
      </c>
      <c r="B241" s="1">
        <v>45223.719444444447</v>
      </c>
      <c r="C241" s="2">
        <v>45223.719444444447</v>
      </c>
      <c r="D241" t="s">
        <v>1035</v>
      </c>
      <c r="E241">
        <v>61</v>
      </c>
      <c r="F241" t="s">
        <v>737</v>
      </c>
      <c r="G241" t="b">
        <f>LEFT(Logs_Reseau_Part[[#This Row],[Cell_ID]],1)="A"</f>
        <v>1</v>
      </c>
    </row>
    <row r="242" spans="1:7" x14ac:dyDescent="0.3">
      <c r="A242" t="s">
        <v>781</v>
      </c>
      <c r="B242" s="1">
        <v>45223.710416666669</v>
      </c>
      <c r="C242" s="2">
        <v>45223.710416666669</v>
      </c>
      <c r="D242" t="s">
        <v>806</v>
      </c>
      <c r="E242">
        <v>43</v>
      </c>
      <c r="F242" t="s">
        <v>737</v>
      </c>
      <c r="G242" t="b">
        <f>LEFT(Logs_Reseau_Part[[#This Row],[Cell_ID]],1)="A"</f>
        <v>1</v>
      </c>
    </row>
    <row r="243" spans="1:7" x14ac:dyDescent="0.3">
      <c r="A243" t="s">
        <v>1347</v>
      </c>
      <c r="B243" s="1">
        <v>45223.693055555559</v>
      </c>
      <c r="C243" s="2">
        <v>45223.693055555559</v>
      </c>
      <c r="D243" t="s">
        <v>1340</v>
      </c>
      <c r="E243">
        <v>18</v>
      </c>
      <c r="F243" t="s">
        <v>737</v>
      </c>
      <c r="G243" t="b">
        <f>LEFT(Logs_Reseau_Part[[#This Row],[Cell_ID]],1)="A"</f>
        <v>1</v>
      </c>
    </row>
    <row r="244" spans="1:7" x14ac:dyDescent="0.3">
      <c r="A244" t="s">
        <v>1088</v>
      </c>
      <c r="B244" s="1">
        <v>45223.647916666669</v>
      </c>
      <c r="C244" s="2">
        <v>45223.647916666669</v>
      </c>
      <c r="D244" t="s">
        <v>1099</v>
      </c>
      <c r="E244">
        <v>14</v>
      </c>
      <c r="F244" t="s">
        <v>739</v>
      </c>
      <c r="G244" t="b">
        <f>LEFT(Logs_Reseau_Part[[#This Row],[Cell_ID]],1)="A"</f>
        <v>1</v>
      </c>
    </row>
    <row r="245" spans="1:7" x14ac:dyDescent="0.3">
      <c r="A245" t="s">
        <v>1243</v>
      </c>
      <c r="B245" s="1">
        <v>45223.611111111109</v>
      </c>
      <c r="C245" s="2">
        <v>45223.611111111109</v>
      </c>
      <c r="D245" t="s">
        <v>1194</v>
      </c>
      <c r="E245">
        <v>88</v>
      </c>
      <c r="F245" t="s">
        <v>734</v>
      </c>
      <c r="G245" t="b">
        <f>LEFT(Logs_Reseau_Part[[#This Row],[Cell_ID]],1)="A"</f>
        <v>1</v>
      </c>
    </row>
    <row r="246" spans="1:7" x14ac:dyDescent="0.3">
      <c r="A246" t="s">
        <v>1406</v>
      </c>
      <c r="B246" s="1">
        <v>45223.570138888892</v>
      </c>
      <c r="C246" s="2">
        <v>45223.570138888892</v>
      </c>
      <c r="D246" t="s">
        <v>919</v>
      </c>
      <c r="E246">
        <v>10</v>
      </c>
      <c r="F246" t="s">
        <v>737</v>
      </c>
      <c r="G246" t="b">
        <f>LEFT(Logs_Reseau_Part[[#This Row],[Cell_ID]],1)="A"</f>
        <v>1</v>
      </c>
    </row>
    <row r="247" spans="1:7" x14ac:dyDescent="0.3">
      <c r="A247" t="s">
        <v>1332</v>
      </c>
      <c r="B247" s="1">
        <v>45223.568055555559</v>
      </c>
      <c r="C247" s="2">
        <v>45223.568055555559</v>
      </c>
      <c r="D247" t="s">
        <v>1340</v>
      </c>
      <c r="E247">
        <v>21</v>
      </c>
      <c r="F247" t="s">
        <v>734</v>
      </c>
      <c r="G247" t="b">
        <f>LEFT(Logs_Reseau_Part[[#This Row],[Cell_ID]],1)="A"</f>
        <v>1</v>
      </c>
    </row>
    <row r="248" spans="1:7" x14ac:dyDescent="0.3">
      <c r="A248" t="s">
        <v>1167</v>
      </c>
      <c r="B248" s="1">
        <v>45223.554166666669</v>
      </c>
      <c r="C248" s="2">
        <v>45223.554166666669</v>
      </c>
      <c r="D248" t="s">
        <v>1190</v>
      </c>
      <c r="E248">
        <v>86</v>
      </c>
      <c r="F248" t="s">
        <v>737</v>
      </c>
      <c r="G248" t="b">
        <f>LEFT(Logs_Reseau_Part[[#This Row],[Cell_ID]],1)="A"</f>
        <v>1</v>
      </c>
    </row>
    <row r="249" spans="1:7" x14ac:dyDescent="0.3">
      <c r="A249" t="s">
        <v>1310</v>
      </c>
      <c r="B249" s="1">
        <v>45223.548611111109</v>
      </c>
      <c r="C249" s="2">
        <v>45223.548611111109</v>
      </c>
      <c r="D249" t="s">
        <v>1261</v>
      </c>
      <c r="E249">
        <v>19</v>
      </c>
      <c r="F249" t="s">
        <v>737</v>
      </c>
      <c r="G249" t="b">
        <f>LEFT(Logs_Reseau_Part[[#This Row],[Cell_ID]],1)="A"</f>
        <v>1</v>
      </c>
    </row>
    <row r="250" spans="1:7" x14ac:dyDescent="0.3">
      <c r="A250" t="s">
        <v>1195</v>
      </c>
      <c r="B250" s="1">
        <v>45223.513888888891</v>
      </c>
      <c r="C250" s="2">
        <v>45223.513888888891</v>
      </c>
      <c r="D250" t="s">
        <v>1079</v>
      </c>
      <c r="E250">
        <v>109</v>
      </c>
      <c r="F250" t="s">
        <v>737</v>
      </c>
      <c r="G250" t="b">
        <f>LEFT(Logs_Reseau_Part[[#This Row],[Cell_ID]],1)="A"</f>
        <v>1</v>
      </c>
    </row>
    <row r="251" spans="1:7" x14ac:dyDescent="0.3">
      <c r="A251" t="s">
        <v>781</v>
      </c>
      <c r="B251" s="1">
        <v>45223.45208333333</v>
      </c>
      <c r="C251" s="2">
        <v>45223.45208333333</v>
      </c>
      <c r="D251" t="s">
        <v>789</v>
      </c>
      <c r="E251">
        <v>117</v>
      </c>
      <c r="F251" t="s">
        <v>739</v>
      </c>
      <c r="G251" t="b">
        <f>LEFT(Logs_Reseau_Part[[#This Row],[Cell_ID]],1)="A"</f>
        <v>1</v>
      </c>
    </row>
    <row r="252" spans="1:7" x14ac:dyDescent="0.3">
      <c r="A252" t="s">
        <v>1001</v>
      </c>
      <c r="B252" s="1">
        <v>45223.450694444437</v>
      </c>
      <c r="C252" s="2">
        <v>45223.450694444437</v>
      </c>
      <c r="D252" t="s">
        <v>1017</v>
      </c>
      <c r="E252">
        <v>14</v>
      </c>
      <c r="F252" t="s">
        <v>739</v>
      </c>
      <c r="G252" t="b">
        <f>LEFT(Logs_Reseau_Part[[#This Row],[Cell_ID]],1)="A"</f>
        <v>1</v>
      </c>
    </row>
    <row r="253" spans="1:7" x14ac:dyDescent="0.3">
      <c r="A253" t="s">
        <v>1310</v>
      </c>
      <c r="B253" s="1">
        <v>45223.436111111107</v>
      </c>
      <c r="C253" s="2">
        <v>45223.436111111107</v>
      </c>
      <c r="D253" t="s">
        <v>924</v>
      </c>
      <c r="E253">
        <v>26</v>
      </c>
      <c r="F253" t="s">
        <v>734</v>
      </c>
      <c r="G253" t="b">
        <f>LEFT(Logs_Reseau_Part[[#This Row],[Cell_ID]],1)="A"</f>
        <v>1</v>
      </c>
    </row>
    <row r="254" spans="1:7" x14ac:dyDescent="0.3">
      <c r="A254" t="s">
        <v>781</v>
      </c>
      <c r="B254" s="1">
        <v>45223.418749999997</v>
      </c>
      <c r="C254" s="2">
        <v>45223.418749999997</v>
      </c>
      <c r="D254" t="s">
        <v>807</v>
      </c>
      <c r="E254">
        <v>89</v>
      </c>
      <c r="F254" t="s">
        <v>734</v>
      </c>
      <c r="G254" t="b">
        <f>LEFT(Logs_Reseau_Part[[#This Row],[Cell_ID]],1)="A"</f>
        <v>1</v>
      </c>
    </row>
    <row r="255" spans="1:7" x14ac:dyDescent="0.3">
      <c r="A255" t="s">
        <v>1116</v>
      </c>
      <c r="B255" s="1">
        <v>45223.400694444441</v>
      </c>
      <c r="C255" s="2">
        <v>45223.400694444441</v>
      </c>
      <c r="D255" t="s">
        <v>1048</v>
      </c>
      <c r="E255">
        <v>41</v>
      </c>
      <c r="F255" t="s">
        <v>739</v>
      </c>
      <c r="G255" t="b">
        <f>LEFT(Logs_Reseau_Part[[#This Row],[Cell_ID]],1)="A"</f>
        <v>1</v>
      </c>
    </row>
    <row r="256" spans="1:7" x14ac:dyDescent="0.3">
      <c r="A256" t="s">
        <v>1263</v>
      </c>
      <c r="B256" s="1">
        <v>45223.365277777782</v>
      </c>
      <c r="C256" s="2">
        <v>45223.365277777782</v>
      </c>
      <c r="D256" t="s">
        <v>1270</v>
      </c>
      <c r="E256">
        <v>104</v>
      </c>
      <c r="F256" t="s">
        <v>737</v>
      </c>
      <c r="G256" t="b">
        <f>LEFT(Logs_Reseau_Part[[#This Row],[Cell_ID]],1)="A"</f>
        <v>1</v>
      </c>
    </row>
    <row r="257" spans="1:7" x14ac:dyDescent="0.3">
      <c r="A257" t="s">
        <v>1363</v>
      </c>
      <c r="B257" s="1">
        <v>45223.3125</v>
      </c>
      <c r="C257" s="2">
        <v>45223.3125</v>
      </c>
      <c r="D257" t="s">
        <v>1382</v>
      </c>
      <c r="E257">
        <v>62</v>
      </c>
      <c r="F257" t="s">
        <v>734</v>
      </c>
      <c r="G257" t="b">
        <f>LEFT(Logs_Reseau_Part[[#This Row],[Cell_ID]],1)="A"</f>
        <v>1</v>
      </c>
    </row>
    <row r="258" spans="1:7" x14ac:dyDescent="0.3">
      <c r="A258" t="s">
        <v>1263</v>
      </c>
      <c r="B258" s="1">
        <v>45223.293749999997</v>
      </c>
      <c r="C258" s="2">
        <v>45223.293749999997</v>
      </c>
      <c r="D258" t="s">
        <v>1171</v>
      </c>
      <c r="E258">
        <v>42</v>
      </c>
      <c r="F258" t="s">
        <v>739</v>
      </c>
      <c r="G258" t="b">
        <f>LEFT(Logs_Reseau_Part[[#This Row],[Cell_ID]],1)="A"</f>
        <v>1</v>
      </c>
    </row>
    <row r="259" spans="1:7" x14ac:dyDescent="0.3">
      <c r="A259" t="s">
        <v>1167</v>
      </c>
      <c r="B259" s="1">
        <v>45223.252083333333</v>
      </c>
      <c r="C259" s="2">
        <v>45223.252083333333</v>
      </c>
      <c r="D259" t="s">
        <v>979</v>
      </c>
      <c r="E259">
        <v>12</v>
      </c>
      <c r="F259" t="s">
        <v>737</v>
      </c>
      <c r="G259" t="b">
        <f>LEFT(Logs_Reseau_Part[[#This Row],[Cell_ID]],1)="A"</f>
        <v>1</v>
      </c>
    </row>
    <row r="260" spans="1:7" x14ac:dyDescent="0.3">
      <c r="A260" t="s">
        <v>941</v>
      </c>
      <c r="B260" s="1">
        <v>45223.18472222222</v>
      </c>
      <c r="C260" s="2">
        <v>45223.18472222222</v>
      </c>
      <c r="D260" t="s">
        <v>951</v>
      </c>
      <c r="E260">
        <v>42</v>
      </c>
      <c r="F260" t="s">
        <v>737</v>
      </c>
      <c r="G260" t="b">
        <f>LEFT(Logs_Reseau_Part[[#This Row],[Cell_ID]],1)="A"</f>
        <v>1</v>
      </c>
    </row>
    <row r="261" spans="1:7" x14ac:dyDescent="0.3">
      <c r="A261" t="s">
        <v>941</v>
      </c>
      <c r="B261" s="1">
        <v>45223.102083333331</v>
      </c>
      <c r="C261" s="2">
        <v>45223.102083333331</v>
      </c>
      <c r="D261" t="s">
        <v>962</v>
      </c>
      <c r="E261">
        <v>104</v>
      </c>
      <c r="F261" t="s">
        <v>737</v>
      </c>
      <c r="G261" t="b">
        <f>LEFT(Logs_Reseau_Part[[#This Row],[Cell_ID]],1)="A"</f>
        <v>1</v>
      </c>
    </row>
    <row r="262" spans="1:7" x14ac:dyDescent="0.3">
      <c r="A262" t="s">
        <v>1310</v>
      </c>
      <c r="B262" s="1">
        <v>45223.030555555553</v>
      </c>
      <c r="C262" s="2">
        <v>45223.030555555553</v>
      </c>
      <c r="D262" t="s">
        <v>1312</v>
      </c>
      <c r="E262">
        <v>59</v>
      </c>
      <c r="F262" t="s">
        <v>734</v>
      </c>
      <c r="G262" t="b">
        <f>LEFT(Logs_Reseau_Part[[#This Row],[Cell_ID]],1)="A"</f>
        <v>1</v>
      </c>
    </row>
    <row r="263" spans="1:7" x14ac:dyDescent="0.3">
      <c r="A263" t="s">
        <v>1088</v>
      </c>
      <c r="B263" s="1">
        <v>45222.944444444453</v>
      </c>
      <c r="C263" s="2">
        <v>45222.944444444453</v>
      </c>
      <c r="D263" t="s">
        <v>948</v>
      </c>
      <c r="E263">
        <v>87</v>
      </c>
      <c r="F263" t="s">
        <v>737</v>
      </c>
      <c r="G263" t="b">
        <f>LEFT(Logs_Reseau_Part[[#This Row],[Cell_ID]],1)="A"</f>
        <v>1</v>
      </c>
    </row>
    <row r="264" spans="1:7" x14ac:dyDescent="0.3">
      <c r="A264" t="s">
        <v>1363</v>
      </c>
      <c r="B264" s="1">
        <v>45222.943749999999</v>
      </c>
      <c r="C264" s="2">
        <v>45222.943749999999</v>
      </c>
      <c r="D264" t="s">
        <v>1380</v>
      </c>
      <c r="E264">
        <v>114</v>
      </c>
      <c r="F264" t="s">
        <v>734</v>
      </c>
      <c r="G264" t="b">
        <f>LEFT(Logs_Reseau_Part[[#This Row],[Cell_ID]],1)="A"</f>
        <v>1</v>
      </c>
    </row>
    <row r="265" spans="1:7" x14ac:dyDescent="0.3">
      <c r="A265" t="s">
        <v>1116</v>
      </c>
      <c r="B265" s="1">
        <v>45222.938194444447</v>
      </c>
      <c r="C265" s="2">
        <v>45222.938194444447</v>
      </c>
      <c r="D265" t="s">
        <v>1139</v>
      </c>
      <c r="E265">
        <v>36</v>
      </c>
      <c r="F265" t="s">
        <v>734</v>
      </c>
      <c r="G265" t="b">
        <f>LEFT(Logs_Reseau_Part[[#This Row],[Cell_ID]],1)="A"</f>
        <v>1</v>
      </c>
    </row>
    <row r="266" spans="1:7" x14ac:dyDescent="0.3">
      <c r="A266" t="s">
        <v>1310</v>
      </c>
      <c r="B266" s="1">
        <v>45222.902777777781</v>
      </c>
      <c r="C266" s="2">
        <v>45222.902777777781</v>
      </c>
      <c r="D266" t="s">
        <v>969</v>
      </c>
      <c r="E266">
        <v>31</v>
      </c>
      <c r="F266" t="s">
        <v>739</v>
      </c>
      <c r="G266" t="b">
        <f>LEFT(Logs_Reseau_Part[[#This Row],[Cell_ID]],1)="A"</f>
        <v>1</v>
      </c>
    </row>
    <row r="267" spans="1:7" x14ac:dyDescent="0.3">
      <c r="A267" t="s">
        <v>1332</v>
      </c>
      <c r="B267" s="1">
        <v>45222.879166666673</v>
      </c>
      <c r="C267" s="2">
        <v>45222.879166666673</v>
      </c>
      <c r="D267" t="s">
        <v>806</v>
      </c>
      <c r="E267">
        <v>103</v>
      </c>
      <c r="F267" t="s">
        <v>739</v>
      </c>
      <c r="G267" t="b">
        <f>LEFT(Logs_Reseau_Part[[#This Row],[Cell_ID]],1)="A"</f>
        <v>1</v>
      </c>
    </row>
    <row r="268" spans="1:7" x14ac:dyDescent="0.3">
      <c r="A268" t="s">
        <v>1116</v>
      </c>
      <c r="B268" s="1">
        <v>45222.834027777782</v>
      </c>
      <c r="C268" s="2">
        <v>45222.834027777782</v>
      </c>
      <c r="D268" t="s">
        <v>797</v>
      </c>
      <c r="E268">
        <v>109</v>
      </c>
      <c r="F268" t="s">
        <v>737</v>
      </c>
      <c r="G268" t="b">
        <f>LEFT(Logs_Reseau_Part[[#This Row],[Cell_ID]],1)="A"</f>
        <v>1</v>
      </c>
    </row>
    <row r="269" spans="1:7" x14ac:dyDescent="0.3">
      <c r="A269" t="s">
        <v>1263</v>
      </c>
      <c r="B269" s="1">
        <v>45222.777777777781</v>
      </c>
      <c r="C269" s="2">
        <v>45222.777777777781</v>
      </c>
      <c r="D269" t="s">
        <v>1273</v>
      </c>
      <c r="E269">
        <v>102</v>
      </c>
      <c r="F269" t="s">
        <v>739</v>
      </c>
      <c r="G269" t="b">
        <f>LEFT(Logs_Reseau_Part[[#This Row],[Cell_ID]],1)="A"</f>
        <v>1</v>
      </c>
    </row>
    <row r="270" spans="1:7" x14ac:dyDescent="0.3">
      <c r="A270" t="s">
        <v>1140</v>
      </c>
      <c r="B270" s="1">
        <v>45222.771527777782</v>
      </c>
      <c r="C270" s="2">
        <v>45222.771527777782</v>
      </c>
      <c r="D270" t="s">
        <v>740</v>
      </c>
      <c r="E270">
        <v>53</v>
      </c>
      <c r="F270" t="s">
        <v>739</v>
      </c>
      <c r="G270" t="b">
        <f>LEFT(Logs_Reseau_Part[[#This Row],[Cell_ID]],1)="A"</f>
        <v>1</v>
      </c>
    </row>
    <row r="271" spans="1:7" x14ac:dyDescent="0.3">
      <c r="A271" t="s">
        <v>1116</v>
      </c>
      <c r="B271" s="1">
        <v>45222.763194444437</v>
      </c>
      <c r="C271" s="2">
        <v>45222.763194444437</v>
      </c>
      <c r="D271" t="s">
        <v>903</v>
      </c>
      <c r="E271">
        <v>91</v>
      </c>
      <c r="F271" t="s">
        <v>739</v>
      </c>
      <c r="G271" t="b">
        <f>LEFT(Logs_Reseau_Part[[#This Row],[Cell_ID]],1)="A"</f>
        <v>1</v>
      </c>
    </row>
    <row r="272" spans="1:7" x14ac:dyDescent="0.3">
      <c r="A272" t="s">
        <v>1140</v>
      </c>
      <c r="B272" s="1">
        <v>45222.748611111107</v>
      </c>
      <c r="C272" s="2">
        <v>45222.748611111107</v>
      </c>
      <c r="D272" t="s">
        <v>1151</v>
      </c>
      <c r="E272">
        <v>28</v>
      </c>
      <c r="F272" t="s">
        <v>737</v>
      </c>
      <c r="G272" t="b">
        <f>LEFT(Logs_Reseau_Part[[#This Row],[Cell_ID]],1)="A"</f>
        <v>1</v>
      </c>
    </row>
    <row r="273" spans="1:7" x14ac:dyDescent="0.3">
      <c r="A273" t="s">
        <v>941</v>
      </c>
      <c r="B273" s="1">
        <v>45222.663194444453</v>
      </c>
      <c r="C273" s="2">
        <v>45222.663194444453</v>
      </c>
      <c r="D273" t="s">
        <v>958</v>
      </c>
      <c r="E273">
        <v>6</v>
      </c>
      <c r="F273" t="s">
        <v>739</v>
      </c>
      <c r="G273" t="b">
        <f>LEFT(Logs_Reseau_Part[[#This Row],[Cell_ID]],1)="A"</f>
        <v>1</v>
      </c>
    </row>
    <row r="274" spans="1:7" x14ac:dyDescent="0.3">
      <c r="A274" t="s">
        <v>1061</v>
      </c>
      <c r="B274" s="1">
        <v>45222.652777777781</v>
      </c>
      <c r="C274" s="2">
        <v>45222.652777777781</v>
      </c>
      <c r="D274" t="s">
        <v>1080</v>
      </c>
      <c r="E274">
        <v>46</v>
      </c>
      <c r="F274" t="s">
        <v>739</v>
      </c>
      <c r="G274" t="b">
        <f>LEFT(Logs_Reseau_Part[[#This Row],[Cell_ID]],1)="A"</f>
        <v>1</v>
      </c>
    </row>
    <row r="275" spans="1:7" x14ac:dyDescent="0.3">
      <c r="A275" t="s">
        <v>781</v>
      </c>
      <c r="B275" s="1">
        <v>45222.631249999999</v>
      </c>
      <c r="C275" s="2">
        <v>45222.631249999999</v>
      </c>
      <c r="D275" t="s">
        <v>803</v>
      </c>
      <c r="E275">
        <v>90</v>
      </c>
      <c r="F275" t="s">
        <v>734</v>
      </c>
      <c r="G275" t="b">
        <f>LEFT(Logs_Reseau_Part[[#This Row],[Cell_ID]],1)="A"</f>
        <v>1</v>
      </c>
    </row>
    <row r="276" spans="1:7" x14ac:dyDescent="0.3">
      <c r="A276" t="s">
        <v>1026</v>
      </c>
      <c r="B276" s="1">
        <v>45222.602777777778</v>
      </c>
      <c r="C276" s="2">
        <v>45222.602777777778</v>
      </c>
      <c r="D276" t="s">
        <v>1038</v>
      </c>
      <c r="E276">
        <v>53</v>
      </c>
      <c r="F276" t="s">
        <v>737</v>
      </c>
      <c r="G276" t="b">
        <f>LEFT(Logs_Reseau_Part[[#This Row],[Cell_ID]],1)="A"</f>
        <v>1</v>
      </c>
    </row>
    <row r="277" spans="1:7" x14ac:dyDescent="0.3">
      <c r="A277" t="s">
        <v>1221</v>
      </c>
      <c r="B277" s="1">
        <v>45222.597222222219</v>
      </c>
      <c r="C277" s="2">
        <v>45222.597222222219</v>
      </c>
      <c r="D277" t="s">
        <v>929</v>
      </c>
      <c r="E277">
        <v>22</v>
      </c>
      <c r="F277" t="s">
        <v>737</v>
      </c>
      <c r="G277" t="b">
        <f>LEFT(Logs_Reseau_Part[[#This Row],[Cell_ID]],1)="A"</f>
        <v>1</v>
      </c>
    </row>
    <row r="278" spans="1:7" x14ac:dyDescent="0.3">
      <c r="A278" t="s">
        <v>1061</v>
      </c>
      <c r="B278" s="1">
        <v>45222.584722222222</v>
      </c>
      <c r="C278" s="2">
        <v>45222.584722222222</v>
      </c>
      <c r="D278" t="s">
        <v>1082</v>
      </c>
      <c r="E278">
        <v>15</v>
      </c>
      <c r="F278" t="s">
        <v>739</v>
      </c>
      <c r="G278" t="b">
        <f>LEFT(Logs_Reseau_Part[[#This Row],[Cell_ID]],1)="A"</f>
        <v>1</v>
      </c>
    </row>
    <row r="279" spans="1:7" x14ac:dyDescent="0.3">
      <c r="A279" t="s">
        <v>1167</v>
      </c>
      <c r="B279" s="1">
        <v>45222.55972222222</v>
      </c>
      <c r="C279" s="2">
        <v>45222.55972222222</v>
      </c>
      <c r="D279" t="s">
        <v>1170</v>
      </c>
      <c r="E279">
        <v>26</v>
      </c>
      <c r="F279" t="s">
        <v>739</v>
      </c>
      <c r="G279" t="b">
        <f>LEFT(Logs_Reseau_Part[[#This Row],[Cell_ID]],1)="A"</f>
        <v>1</v>
      </c>
    </row>
    <row r="280" spans="1:7" x14ac:dyDescent="0.3">
      <c r="A280" t="s">
        <v>941</v>
      </c>
      <c r="B280" s="1">
        <v>45222.52847222222</v>
      </c>
      <c r="C280" s="2">
        <v>45222.52847222222</v>
      </c>
      <c r="D280" t="s">
        <v>955</v>
      </c>
      <c r="E280">
        <v>111</v>
      </c>
      <c r="F280" t="s">
        <v>734</v>
      </c>
      <c r="G280" t="b">
        <f>LEFT(Logs_Reseau_Part[[#This Row],[Cell_ID]],1)="A"</f>
        <v>1</v>
      </c>
    </row>
    <row r="281" spans="1:7" x14ac:dyDescent="0.3">
      <c r="A281" t="s">
        <v>941</v>
      </c>
      <c r="B281" s="1">
        <v>45222.51666666667</v>
      </c>
      <c r="C281" s="2">
        <v>45222.51666666667</v>
      </c>
      <c r="D281" t="s">
        <v>946</v>
      </c>
      <c r="E281">
        <v>66</v>
      </c>
      <c r="F281" t="s">
        <v>734</v>
      </c>
      <c r="G281" t="b">
        <f>LEFT(Logs_Reseau_Part[[#This Row],[Cell_ID]],1)="A"</f>
        <v>1</v>
      </c>
    </row>
    <row r="282" spans="1:7" x14ac:dyDescent="0.3">
      <c r="A282" t="s">
        <v>904</v>
      </c>
      <c r="B282" s="1">
        <v>45222.511805555558</v>
      </c>
      <c r="C282" s="2">
        <v>45222.511805555558</v>
      </c>
      <c r="D282" t="s">
        <v>936</v>
      </c>
      <c r="E282">
        <v>56</v>
      </c>
      <c r="F282" t="s">
        <v>734</v>
      </c>
      <c r="G282" t="b">
        <f>LEFT(Logs_Reseau_Part[[#This Row],[Cell_ID]],1)="A"</f>
        <v>1</v>
      </c>
    </row>
    <row r="283" spans="1:7" x14ac:dyDescent="0.3">
      <c r="A283" t="s">
        <v>1332</v>
      </c>
      <c r="B283" s="1">
        <v>45222.501388888893</v>
      </c>
      <c r="C283" s="2">
        <v>45222.501388888893</v>
      </c>
      <c r="D283" t="s">
        <v>1335</v>
      </c>
      <c r="E283">
        <v>39</v>
      </c>
      <c r="F283" t="s">
        <v>734</v>
      </c>
      <c r="G283" t="b">
        <f>LEFT(Logs_Reseau_Part[[#This Row],[Cell_ID]],1)="A"</f>
        <v>1</v>
      </c>
    </row>
    <row r="284" spans="1:7" x14ac:dyDescent="0.3">
      <c r="A284" t="s">
        <v>1290</v>
      </c>
      <c r="B284" s="1">
        <v>45222.479166666657</v>
      </c>
      <c r="C284" s="2">
        <v>45222.479166666657</v>
      </c>
      <c r="D284" t="s">
        <v>1307</v>
      </c>
      <c r="E284">
        <v>112</v>
      </c>
      <c r="F284" t="s">
        <v>737</v>
      </c>
      <c r="G284" t="b">
        <f>LEFT(Logs_Reseau_Part[[#This Row],[Cell_ID]],1)="A"</f>
        <v>1</v>
      </c>
    </row>
    <row r="285" spans="1:7" x14ac:dyDescent="0.3">
      <c r="A285" t="s">
        <v>1243</v>
      </c>
      <c r="B285" s="1">
        <v>45222.478472222218</v>
      </c>
      <c r="C285" s="2">
        <v>45222.478472222218</v>
      </c>
      <c r="D285" t="s">
        <v>761</v>
      </c>
      <c r="E285">
        <v>72</v>
      </c>
      <c r="F285" t="s">
        <v>737</v>
      </c>
      <c r="G285" t="b">
        <f>LEFT(Logs_Reseau_Part[[#This Row],[Cell_ID]],1)="A"</f>
        <v>1</v>
      </c>
    </row>
    <row r="286" spans="1:7" x14ac:dyDescent="0.3">
      <c r="A286" t="s">
        <v>980</v>
      </c>
      <c r="B286" s="1">
        <v>45222.467361111107</v>
      </c>
      <c r="C286" s="2">
        <v>45222.467361111107</v>
      </c>
      <c r="D286" t="s">
        <v>987</v>
      </c>
      <c r="E286">
        <v>104</v>
      </c>
      <c r="F286" t="s">
        <v>739</v>
      </c>
      <c r="G286" t="b">
        <f>LEFT(Logs_Reseau_Part[[#This Row],[Cell_ID]],1)="A"</f>
        <v>1</v>
      </c>
    </row>
    <row r="287" spans="1:7" x14ac:dyDescent="0.3">
      <c r="A287" t="s">
        <v>781</v>
      </c>
      <c r="B287" s="1">
        <v>45222.427083333343</v>
      </c>
      <c r="C287" s="2">
        <v>45222.427083333343</v>
      </c>
      <c r="D287" t="s">
        <v>819</v>
      </c>
      <c r="E287">
        <v>82</v>
      </c>
      <c r="F287" t="s">
        <v>734</v>
      </c>
      <c r="G287" t="b">
        <f>LEFT(Logs_Reseau_Part[[#This Row],[Cell_ID]],1)="A"</f>
        <v>1</v>
      </c>
    </row>
    <row r="288" spans="1:7" x14ac:dyDescent="0.3">
      <c r="A288" t="s">
        <v>732</v>
      </c>
      <c r="B288" s="1">
        <v>45222.425694444442</v>
      </c>
      <c r="C288" s="2">
        <v>45222.425694444442</v>
      </c>
      <c r="D288" t="s">
        <v>777</v>
      </c>
      <c r="E288">
        <v>48</v>
      </c>
      <c r="F288" t="s">
        <v>734</v>
      </c>
      <c r="G288" t="b">
        <f>LEFT(Logs_Reseau_Part[[#This Row],[Cell_ID]],1)="A"</f>
        <v>1</v>
      </c>
    </row>
    <row r="289" spans="1:7" x14ac:dyDescent="0.3">
      <c r="A289" t="s">
        <v>1001</v>
      </c>
      <c r="B289" s="1">
        <v>45222.415277777778</v>
      </c>
      <c r="C289" s="2">
        <v>45222.415277777778</v>
      </c>
      <c r="D289" t="s">
        <v>1011</v>
      </c>
      <c r="E289">
        <v>73</v>
      </c>
      <c r="F289" t="s">
        <v>734</v>
      </c>
      <c r="G289" t="b">
        <f>LEFT(Logs_Reseau_Part[[#This Row],[Cell_ID]],1)="A"</f>
        <v>1</v>
      </c>
    </row>
    <row r="290" spans="1:7" x14ac:dyDescent="0.3">
      <c r="A290" t="s">
        <v>863</v>
      </c>
      <c r="B290" s="1">
        <v>45222.367361111108</v>
      </c>
      <c r="C290" s="2">
        <v>45222.367361111108</v>
      </c>
      <c r="D290" t="s">
        <v>884</v>
      </c>
      <c r="E290">
        <v>117</v>
      </c>
      <c r="F290" t="s">
        <v>737</v>
      </c>
      <c r="G290" t="b">
        <f>LEFT(Logs_Reseau_Part[[#This Row],[Cell_ID]],1)="A"</f>
        <v>1</v>
      </c>
    </row>
    <row r="291" spans="1:7" x14ac:dyDescent="0.3">
      <c r="A291" t="s">
        <v>941</v>
      </c>
      <c r="B291" s="1">
        <v>45222.353472222218</v>
      </c>
      <c r="C291" s="2">
        <v>45222.353472222218</v>
      </c>
      <c r="D291" t="s">
        <v>979</v>
      </c>
      <c r="E291">
        <v>101</v>
      </c>
      <c r="F291" t="s">
        <v>737</v>
      </c>
      <c r="G291" t="b">
        <f>LEFT(Logs_Reseau_Part[[#This Row],[Cell_ID]],1)="A"</f>
        <v>1</v>
      </c>
    </row>
    <row r="292" spans="1:7" x14ac:dyDescent="0.3">
      <c r="A292" t="s">
        <v>1221</v>
      </c>
      <c r="B292" s="1">
        <v>45222.188888888893</v>
      </c>
      <c r="C292" s="2">
        <v>45222.188888888893</v>
      </c>
      <c r="D292" t="s">
        <v>1043</v>
      </c>
      <c r="E292">
        <v>33</v>
      </c>
      <c r="F292" t="s">
        <v>734</v>
      </c>
      <c r="G292" t="b">
        <f>LEFT(Logs_Reseau_Part[[#This Row],[Cell_ID]],1)="A"</f>
        <v>1</v>
      </c>
    </row>
    <row r="293" spans="1:7" x14ac:dyDescent="0.3">
      <c r="A293" t="s">
        <v>1061</v>
      </c>
      <c r="B293" s="1">
        <v>45222.179166666669</v>
      </c>
      <c r="C293" s="2">
        <v>45222.179166666669</v>
      </c>
      <c r="D293" t="s">
        <v>1066</v>
      </c>
      <c r="E293">
        <v>28</v>
      </c>
      <c r="F293" t="s">
        <v>737</v>
      </c>
      <c r="G293" t="b">
        <f>LEFT(Logs_Reseau_Part[[#This Row],[Cell_ID]],1)="A"</f>
        <v>1</v>
      </c>
    </row>
    <row r="294" spans="1:7" x14ac:dyDescent="0.3">
      <c r="A294" t="s">
        <v>1221</v>
      </c>
      <c r="B294" s="1">
        <v>45222.10833333333</v>
      </c>
      <c r="C294" s="2">
        <v>45222.10833333333</v>
      </c>
      <c r="D294" t="s">
        <v>1235</v>
      </c>
      <c r="E294">
        <v>88</v>
      </c>
      <c r="F294" t="s">
        <v>739</v>
      </c>
      <c r="G294" t="b">
        <f>LEFT(Logs_Reseau_Part[[#This Row],[Cell_ID]],1)="A"</f>
        <v>1</v>
      </c>
    </row>
    <row r="295" spans="1:7" x14ac:dyDescent="0.3">
      <c r="A295" t="s">
        <v>1088</v>
      </c>
      <c r="B295" s="1">
        <v>45222.107638888891</v>
      </c>
      <c r="C295" s="2">
        <v>45222.107638888891</v>
      </c>
      <c r="D295" t="s">
        <v>847</v>
      </c>
      <c r="E295">
        <v>85</v>
      </c>
      <c r="F295" t="s">
        <v>734</v>
      </c>
      <c r="G295" t="b">
        <f>LEFT(Logs_Reseau_Part[[#This Row],[Cell_ID]],1)="A"</f>
        <v>1</v>
      </c>
    </row>
    <row r="296" spans="1:7" x14ac:dyDescent="0.3">
      <c r="A296" t="s">
        <v>732</v>
      </c>
      <c r="B296" s="1">
        <v>45221.997916666667</v>
      </c>
      <c r="C296" s="2">
        <v>45221.997916666667</v>
      </c>
      <c r="D296" t="s">
        <v>738</v>
      </c>
      <c r="E296">
        <v>79</v>
      </c>
      <c r="F296" t="s">
        <v>739</v>
      </c>
      <c r="G296" t="b">
        <f>LEFT(Logs_Reseau_Part[[#This Row],[Cell_ID]],1)="A"</f>
        <v>1</v>
      </c>
    </row>
    <row r="297" spans="1:7" x14ac:dyDescent="0.3">
      <c r="A297" t="s">
        <v>825</v>
      </c>
      <c r="B297" s="1">
        <v>45221.997916666667</v>
      </c>
      <c r="C297" s="2">
        <v>45221.997916666667</v>
      </c>
      <c r="D297" t="s">
        <v>847</v>
      </c>
      <c r="E297">
        <v>59</v>
      </c>
      <c r="F297" t="s">
        <v>734</v>
      </c>
      <c r="G297" t="b">
        <f>LEFT(Logs_Reseau_Part[[#This Row],[Cell_ID]],1)="A"</f>
        <v>1</v>
      </c>
    </row>
    <row r="298" spans="1:7" x14ac:dyDescent="0.3">
      <c r="A298" t="s">
        <v>980</v>
      </c>
      <c r="B298" s="1">
        <v>45221.988888888889</v>
      </c>
      <c r="C298" s="2">
        <v>45221.988888888889</v>
      </c>
      <c r="D298" t="s">
        <v>982</v>
      </c>
      <c r="E298">
        <v>72</v>
      </c>
      <c r="F298" t="s">
        <v>737</v>
      </c>
      <c r="G298" t="b">
        <f>LEFT(Logs_Reseau_Part[[#This Row],[Cell_ID]],1)="A"</f>
        <v>1</v>
      </c>
    </row>
    <row r="299" spans="1:7" x14ac:dyDescent="0.3">
      <c r="A299" t="s">
        <v>1263</v>
      </c>
      <c r="B299" s="1">
        <v>45221.96597222222</v>
      </c>
      <c r="C299" s="2">
        <v>45221.96597222222</v>
      </c>
      <c r="D299" t="s">
        <v>1267</v>
      </c>
      <c r="E299">
        <v>84</v>
      </c>
      <c r="F299" t="s">
        <v>739</v>
      </c>
      <c r="G299" t="b">
        <f>LEFT(Logs_Reseau_Part[[#This Row],[Cell_ID]],1)="A"</f>
        <v>1</v>
      </c>
    </row>
    <row r="300" spans="1:7" x14ac:dyDescent="0.3">
      <c r="A300" t="s">
        <v>1243</v>
      </c>
      <c r="B300" s="1">
        <v>45221.931944444441</v>
      </c>
      <c r="C300" s="2">
        <v>45221.931944444441</v>
      </c>
      <c r="D300" t="s">
        <v>1245</v>
      </c>
      <c r="E300">
        <v>26</v>
      </c>
      <c r="F300" t="s">
        <v>734</v>
      </c>
      <c r="G300" t="b">
        <f>LEFT(Logs_Reseau_Part[[#This Row],[Cell_ID]],1)="A"</f>
        <v>1</v>
      </c>
    </row>
    <row r="301" spans="1:7" x14ac:dyDescent="0.3">
      <c r="A301" t="s">
        <v>1001</v>
      </c>
      <c r="B301" s="1">
        <v>45221.928472222222</v>
      </c>
      <c r="C301" s="2">
        <v>45221.928472222222</v>
      </c>
      <c r="D301" t="s">
        <v>774</v>
      </c>
      <c r="E301">
        <v>21</v>
      </c>
      <c r="F301" t="s">
        <v>734</v>
      </c>
      <c r="G301" t="b">
        <f>LEFT(Logs_Reseau_Part[[#This Row],[Cell_ID]],1)="A"</f>
        <v>1</v>
      </c>
    </row>
    <row r="302" spans="1:7" x14ac:dyDescent="0.3">
      <c r="A302" t="s">
        <v>863</v>
      </c>
      <c r="B302" s="1">
        <v>45221.910416666673</v>
      </c>
      <c r="C302" s="2">
        <v>45221.910416666673</v>
      </c>
      <c r="D302" t="s">
        <v>865</v>
      </c>
      <c r="E302">
        <v>60</v>
      </c>
      <c r="F302" t="s">
        <v>737</v>
      </c>
      <c r="G302" t="b">
        <f>LEFT(Logs_Reseau_Part[[#This Row],[Cell_ID]],1)="A"</f>
        <v>1</v>
      </c>
    </row>
    <row r="303" spans="1:7" x14ac:dyDescent="0.3">
      <c r="A303" t="s">
        <v>781</v>
      </c>
      <c r="B303" s="1">
        <v>45221.861805555563</v>
      </c>
      <c r="C303" s="2">
        <v>45221.861805555563</v>
      </c>
      <c r="D303" t="s">
        <v>787</v>
      </c>
      <c r="E303">
        <v>21</v>
      </c>
      <c r="F303" t="s">
        <v>737</v>
      </c>
      <c r="G303" t="b">
        <f>LEFT(Logs_Reseau_Part[[#This Row],[Cell_ID]],1)="A"</f>
        <v>1</v>
      </c>
    </row>
    <row r="304" spans="1:7" x14ac:dyDescent="0.3">
      <c r="A304" t="s">
        <v>1290</v>
      </c>
      <c r="B304" s="1">
        <v>45221.861805555563</v>
      </c>
      <c r="C304" s="2">
        <v>45221.861805555563</v>
      </c>
      <c r="D304" t="s">
        <v>1296</v>
      </c>
      <c r="E304">
        <v>65</v>
      </c>
      <c r="F304" t="s">
        <v>734</v>
      </c>
      <c r="G304" t="b">
        <f>LEFT(Logs_Reseau_Part[[#This Row],[Cell_ID]],1)="A"</f>
        <v>1</v>
      </c>
    </row>
    <row r="305" spans="1:7" x14ac:dyDescent="0.3">
      <c r="A305" t="s">
        <v>1001</v>
      </c>
      <c r="B305" s="1">
        <v>45221.857638888891</v>
      </c>
      <c r="C305" s="2">
        <v>45221.857638888891</v>
      </c>
      <c r="D305" t="s">
        <v>1008</v>
      </c>
      <c r="E305">
        <v>60</v>
      </c>
      <c r="F305" t="s">
        <v>739</v>
      </c>
      <c r="G305" t="b">
        <f>LEFT(Logs_Reseau_Part[[#This Row],[Cell_ID]],1)="A"</f>
        <v>1</v>
      </c>
    </row>
    <row r="306" spans="1:7" x14ac:dyDescent="0.3">
      <c r="A306" t="s">
        <v>781</v>
      </c>
      <c r="B306" s="1">
        <v>45221.84652777778</v>
      </c>
      <c r="C306" s="2">
        <v>45221.84652777778</v>
      </c>
      <c r="D306" t="s">
        <v>821</v>
      </c>
      <c r="E306">
        <v>96</v>
      </c>
      <c r="F306" t="s">
        <v>739</v>
      </c>
      <c r="G306" t="b">
        <f>LEFT(Logs_Reseau_Part[[#This Row],[Cell_ID]],1)="A"</f>
        <v>1</v>
      </c>
    </row>
    <row r="307" spans="1:7" x14ac:dyDescent="0.3">
      <c r="A307" t="s">
        <v>941</v>
      </c>
      <c r="B307" s="1">
        <v>45221.839583333327</v>
      </c>
      <c r="C307" s="2">
        <v>45221.839583333327</v>
      </c>
      <c r="D307" t="s">
        <v>947</v>
      </c>
      <c r="E307">
        <v>18</v>
      </c>
      <c r="F307" t="s">
        <v>734</v>
      </c>
      <c r="G307" t="b">
        <f>LEFT(Logs_Reseau_Part[[#This Row],[Cell_ID]],1)="A"</f>
        <v>1</v>
      </c>
    </row>
    <row r="308" spans="1:7" x14ac:dyDescent="0.3">
      <c r="A308" t="s">
        <v>732</v>
      </c>
      <c r="B308" s="1">
        <v>45221.836111111108</v>
      </c>
      <c r="C308" s="2">
        <v>45221.836111111108</v>
      </c>
      <c r="D308" t="s">
        <v>767</v>
      </c>
      <c r="E308">
        <v>6</v>
      </c>
      <c r="F308" t="s">
        <v>739</v>
      </c>
      <c r="G308" t="b">
        <f>LEFT(Logs_Reseau_Part[[#This Row],[Cell_ID]],1)="A"</f>
        <v>1</v>
      </c>
    </row>
    <row r="309" spans="1:7" x14ac:dyDescent="0.3">
      <c r="A309" t="s">
        <v>1221</v>
      </c>
      <c r="B309" s="1">
        <v>45221.780555555553</v>
      </c>
      <c r="C309" s="2">
        <v>45221.780555555553</v>
      </c>
      <c r="D309" t="s">
        <v>1145</v>
      </c>
      <c r="E309">
        <v>67</v>
      </c>
      <c r="F309" t="s">
        <v>734</v>
      </c>
      <c r="G309" t="b">
        <f>LEFT(Logs_Reseau_Part[[#This Row],[Cell_ID]],1)="A"</f>
        <v>1</v>
      </c>
    </row>
    <row r="310" spans="1:7" x14ac:dyDescent="0.3">
      <c r="A310" t="s">
        <v>781</v>
      </c>
      <c r="B310" s="1">
        <v>45221.775000000001</v>
      </c>
      <c r="C310" s="2">
        <v>45221.775000000001</v>
      </c>
      <c r="D310" t="s">
        <v>816</v>
      </c>
      <c r="E310">
        <v>24</v>
      </c>
      <c r="F310" t="s">
        <v>734</v>
      </c>
      <c r="G310" t="b">
        <f>LEFT(Logs_Reseau_Part[[#This Row],[Cell_ID]],1)="A"</f>
        <v>1</v>
      </c>
    </row>
    <row r="311" spans="1:7" x14ac:dyDescent="0.3">
      <c r="A311" t="s">
        <v>1384</v>
      </c>
      <c r="B311" s="1">
        <v>45221.772222222222</v>
      </c>
      <c r="C311" s="2">
        <v>45221.772222222222</v>
      </c>
      <c r="D311" t="s">
        <v>911</v>
      </c>
      <c r="E311">
        <v>107</v>
      </c>
      <c r="F311" t="s">
        <v>734</v>
      </c>
      <c r="G311" t="b">
        <f>LEFT(Logs_Reseau_Part[[#This Row],[Cell_ID]],1)="A"</f>
        <v>1</v>
      </c>
    </row>
    <row r="312" spans="1:7" x14ac:dyDescent="0.3">
      <c r="A312" t="s">
        <v>941</v>
      </c>
      <c r="B312" s="1">
        <v>45221.724999999999</v>
      </c>
      <c r="C312" s="2">
        <v>45221.724999999999</v>
      </c>
      <c r="D312" t="s">
        <v>957</v>
      </c>
      <c r="E312">
        <v>55</v>
      </c>
      <c r="F312" t="s">
        <v>737</v>
      </c>
      <c r="G312" t="b">
        <f>LEFT(Logs_Reseau_Part[[#This Row],[Cell_ID]],1)="A"</f>
        <v>1</v>
      </c>
    </row>
    <row r="313" spans="1:7" x14ac:dyDescent="0.3">
      <c r="A313" t="s">
        <v>1167</v>
      </c>
      <c r="B313" s="1">
        <v>45221.717361111107</v>
      </c>
      <c r="C313" s="2">
        <v>45221.717361111107</v>
      </c>
      <c r="D313" t="s">
        <v>764</v>
      </c>
      <c r="E313">
        <v>14</v>
      </c>
      <c r="F313" t="s">
        <v>734</v>
      </c>
      <c r="G313" t="b">
        <f>LEFT(Logs_Reseau_Part[[#This Row],[Cell_ID]],1)="A"</f>
        <v>1</v>
      </c>
    </row>
    <row r="314" spans="1:7" x14ac:dyDescent="0.3">
      <c r="A314" t="s">
        <v>1221</v>
      </c>
      <c r="B314" s="1">
        <v>45221.647916666669</v>
      </c>
      <c r="C314" s="2">
        <v>45221.647916666669</v>
      </c>
      <c r="D314" t="s">
        <v>1238</v>
      </c>
      <c r="E314">
        <v>67</v>
      </c>
      <c r="F314" t="s">
        <v>734</v>
      </c>
      <c r="G314" t="b">
        <f>LEFT(Logs_Reseau_Part[[#This Row],[Cell_ID]],1)="A"</f>
        <v>1</v>
      </c>
    </row>
    <row r="315" spans="1:7" x14ac:dyDescent="0.3">
      <c r="A315" t="s">
        <v>1243</v>
      </c>
      <c r="B315" s="1">
        <v>45221.583333333343</v>
      </c>
      <c r="C315" s="2">
        <v>45221.583333333343</v>
      </c>
      <c r="D315" t="s">
        <v>1258</v>
      </c>
      <c r="E315">
        <v>106</v>
      </c>
      <c r="F315" t="s">
        <v>739</v>
      </c>
      <c r="G315" t="b">
        <f>LEFT(Logs_Reseau_Part[[#This Row],[Cell_ID]],1)="A"</f>
        <v>1</v>
      </c>
    </row>
    <row r="316" spans="1:7" x14ac:dyDescent="0.3">
      <c r="A316" t="s">
        <v>1406</v>
      </c>
      <c r="B316" s="1">
        <v>45221.578472222223</v>
      </c>
      <c r="C316" s="2">
        <v>45221.578472222223</v>
      </c>
      <c r="D316" t="s">
        <v>939</v>
      </c>
      <c r="E316">
        <v>76</v>
      </c>
      <c r="F316" t="s">
        <v>739</v>
      </c>
      <c r="G316" t="b">
        <f>LEFT(Logs_Reseau_Part[[#This Row],[Cell_ID]],1)="A"</f>
        <v>1</v>
      </c>
    </row>
    <row r="317" spans="1:7" x14ac:dyDescent="0.3">
      <c r="A317" t="s">
        <v>1167</v>
      </c>
      <c r="B317" s="1">
        <v>45221.565972222219</v>
      </c>
      <c r="C317" s="2">
        <v>45221.565972222219</v>
      </c>
      <c r="D317" t="s">
        <v>1168</v>
      </c>
      <c r="E317">
        <v>87</v>
      </c>
      <c r="F317" t="s">
        <v>737</v>
      </c>
      <c r="G317" t="b">
        <f>LEFT(Logs_Reseau_Part[[#This Row],[Cell_ID]],1)="A"</f>
        <v>1</v>
      </c>
    </row>
    <row r="318" spans="1:7" x14ac:dyDescent="0.3">
      <c r="A318" t="s">
        <v>1221</v>
      </c>
      <c r="B318" s="1">
        <v>45221.559027777781</v>
      </c>
      <c r="C318" s="2">
        <v>45221.559027777781</v>
      </c>
      <c r="D318" t="s">
        <v>1234</v>
      </c>
      <c r="E318">
        <v>22</v>
      </c>
      <c r="F318" t="s">
        <v>734</v>
      </c>
      <c r="G318" t="b">
        <f>LEFT(Logs_Reseau_Part[[#This Row],[Cell_ID]],1)="A"</f>
        <v>1</v>
      </c>
    </row>
    <row r="319" spans="1:7" x14ac:dyDescent="0.3">
      <c r="A319" t="s">
        <v>825</v>
      </c>
      <c r="B319" s="1">
        <v>45221.555555555547</v>
      </c>
      <c r="C319" s="2">
        <v>45221.555555555547</v>
      </c>
      <c r="D319" t="s">
        <v>843</v>
      </c>
      <c r="E319">
        <v>103</v>
      </c>
      <c r="F319" t="s">
        <v>737</v>
      </c>
      <c r="G319" t="b">
        <f>LEFT(Logs_Reseau_Part[[#This Row],[Cell_ID]],1)="A"</f>
        <v>1</v>
      </c>
    </row>
    <row r="320" spans="1:7" x14ac:dyDescent="0.3">
      <c r="A320" t="s">
        <v>1290</v>
      </c>
      <c r="B320" s="1">
        <v>45221.549305555563</v>
      </c>
      <c r="C320" s="2">
        <v>45221.549305555563</v>
      </c>
      <c r="D320" t="s">
        <v>1301</v>
      </c>
      <c r="E320">
        <v>39</v>
      </c>
      <c r="F320" t="s">
        <v>737</v>
      </c>
      <c r="G320" t="b">
        <f>LEFT(Logs_Reseau_Part[[#This Row],[Cell_ID]],1)="A"</f>
        <v>1</v>
      </c>
    </row>
    <row r="321" spans="1:7" x14ac:dyDescent="0.3">
      <c r="A321" t="s">
        <v>863</v>
      </c>
      <c r="B321" s="1">
        <v>45221.517361111109</v>
      </c>
      <c r="C321" s="2">
        <v>45221.517361111109</v>
      </c>
      <c r="D321" t="s">
        <v>890</v>
      </c>
      <c r="E321">
        <v>83</v>
      </c>
      <c r="F321" t="s">
        <v>739</v>
      </c>
      <c r="G321" t="b">
        <f>LEFT(Logs_Reseau_Part[[#This Row],[Cell_ID]],1)="A"</f>
        <v>1</v>
      </c>
    </row>
    <row r="322" spans="1:7" x14ac:dyDescent="0.3">
      <c r="A322" t="s">
        <v>1026</v>
      </c>
      <c r="B322" s="1">
        <v>45221.505555555559</v>
      </c>
      <c r="C322" s="2">
        <v>45221.505555555559</v>
      </c>
      <c r="D322" t="s">
        <v>1048</v>
      </c>
      <c r="E322">
        <v>51</v>
      </c>
      <c r="F322" t="s">
        <v>734</v>
      </c>
      <c r="G322" t="b">
        <f>LEFT(Logs_Reseau_Part[[#This Row],[Cell_ID]],1)="A"</f>
        <v>1</v>
      </c>
    </row>
    <row r="323" spans="1:7" x14ac:dyDescent="0.3">
      <c r="A323" t="s">
        <v>1001</v>
      </c>
      <c r="B323" s="1">
        <v>45221.50277777778</v>
      </c>
      <c r="C323" s="2">
        <v>45221.50277777778</v>
      </c>
      <c r="D323" t="s">
        <v>1013</v>
      </c>
      <c r="E323">
        <v>69</v>
      </c>
      <c r="F323" t="s">
        <v>734</v>
      </c>
      <c r="G323" t="b">
        <f>LEFT(Logs_Reseau_Part[[#This Row],[Cell_ID]],1)="A"</f>
        <v>1</v>
      </c>
    </row>
    <row r="324" spans="1:7" x14ac:dyDescent="0.3">
      <c r="A324" t="s">
        <v>1384</v>
      </c>
      <c r="B324" s="1">
        <v>45221.498611111107</v>
      </c>
      <c r="C324" s="2">
        <v>45221.498611111107</v>
      </c>
      <c r="D324" t="s">
        <v>1395</v>
      </c>
      <c r="E324">
        <v>116</v>
      </c>
      <c r="F324" t="s">
        <v>737</v>
      </c>
      <c r="G324" t="b">
        <f>LEFT(Logs_Reseau_Part[[#This Row],[Cell_ID]],1)="A"</f>
        <v>1</v>
      </c>
    </row>
    <row r="325" spans="1:7" x14ac:dyDescent="0.3">
      <c r="A325" t="s">
        <v>980</v>
      </c>
      <c r="B325" s="1">
        <v>45221.481944444437</v>
      </c>
      <c r="C325" s="2">
        <v>45221.481944444437</v>
      </c>
      <c r="D325" t="s">
        <v>989</v>
      </c>
      <c r="E325">
        <v>80</v>
      </c>
      <c r="F325" t="s">
        <v>739</v>
      </c>
      <c r="G325" t="b">
        <f>LEFT(Logs_Reseau_Part[[#This Row],[Cell_ID]],1)="A"</f>
        <v>1</v>
      </c>
    </row>
    <row r="326" spans="1:7" x14ac:dyDescent="0.3">
      <c r="A326" t="s">
        <v>1310</v>
      </c>
      <c r="B326" s="1">
        <v>45221.388194444437</v>
      </c>
      <c r="C326" s="2">
        <v>45221.388194444437</v>
      </c>
      <c r="D326" t="s">
        <v>1329</v>
      </c>
      <c r="E326">
        <v>64</v>
      </c>
      <c r="F326" t="s">
        <v>737</v>
      </c>
      <c r="G326" t="b">
        <f>LEFT(Logs_Reseau_Part[[#This Row],[Cell_ID]],1)="A"</f>
        <v>1</v>
      </c>
    </row>
    <row r="327" spans="1:7" x14ac:dyDescent="0.3">
      <c r="A327" t="s">
        <v>941</v>
      </c>
      <c r="B327" s="1">
        <v>45221.384722222218</v>
      </c>
      <c r="C327" s="2">
        <v>45221.384722222218</v>
      </c>
      <c r="D327" t="s">
        <v>961</v>
      </c>
      <c r="E327">
        <v>92</v>
      </c>
      <c r="F327" t="s">
        <v>737</v>
      </c>
      <c r="G327" t="b">
        <f>LEFT(Logs_Reseau_Part[[#This Row],[Cell_ID]],1)="A"</f>
        <v>1</v>
      </c>
    </row>
    <row r="328" spans="1:7" x14ac:dyDescent="0.3">
      <c r="A328" t="s">
        <v>1001</v>
      </c>
      <c r="B328" s="1">
        <v>45221.376388888893</v>
      </c>
      <c r="C328" s="2">
        <v>45221.376388888893</v>
      </c>
      <c r="D328" t="s">
        <v>1024</v>
      </c>
      <c r="E328">
        <v>59</v>
      </c>
      <c r="F328" t="s">
        <v>739</v>
      </c>
      <c r="G328" t="b">
        <f>LEFT(Logs_Reseau_Part[[#This Row],[Cell_ID]],1)="A"</f>
        <v>1</v>
      </c>
    </row>
    <row r="329" spans="1:7" x14ac:dyDescent="0.3">
      <c r="A329" t="s">
        <v>1384</v>
      </c>
      <c r="B329" s="1">
        <v>45221.339583333327</v>
      </c>
      <c r="C329" s="2">
        <v>45221.339583333327</v>
      </c>
      <c r="D329" t="s">
        <v>1252</v>
      </c>
      <c r="E329">
        <v>97</v>
      </c>
      <c r="F329" t="s">
        <v>737</v>
      </c>
      <c r="G329" t="b">
        <f>LEFT(Logs_Reseau_Part[[#This Row],[Cell_ID]],1)="A"</f>
        <v>1</v>
      </c>
    </row>
    <row r="330" spans="1:7" x14ac:dyDescent="0.3">
      <c r="A330" t="s">
        <v>941</v>
      </c>
      <c r="B330" s="1">
        <v>45221.313194444447</v>
      </c>
      <c r="C330" s="2">
        <v>45221.313194444447</v>
      </c>
      <c r="D330" t="s">
        <v>972</v>
      </c>
      <c r="E330">
        <v>34</v>
      </c>
      <c r="F330" t="s">
        <v>737</v>
      </c>
      <c r="G330" t="b">
        <f>LEFT(Logs_Reseau_Part[[#This Row],[Cell_ID]],1)="A"</f>
        <v>1</v>
      </c>
    </row>
    <row r="331" spans="1:7" x14ac:dyDescent="0.3">
      <c r="A331" t="s">
        <v>1140</v>
      </c>
      <c r="B331" s="1">
        <v>45221.283333333333</v>
      </c>
      <c r="C331" s="2">
        <v>45221.283333333333</v>
      </c>
      <c r="D331" t="s">
        <v>1153</v>
      </c>
      <c r="E331">
        <v>22</v>
      </c>
      <c r="F331" t="s">
        <v>734</v>
      </c>
      <c r="G331" t="b">
        <f>LEFT(Logs_Reseau_Part[[#This Row],[Cell_ID]],1)="A"</f>
        <v>1</v>
      </c>
    </row>
    <row r="332" spans="1:7" x14ac:dyDescent="0.3">
      <c r="A332" t="s">
        <v>980</v>
      </c>
      <c r="B332" s="1">
        <v>45221.27847222222</v>
      </c>
      <c r="C332" s="2">
        <v>45221.27847222222</v>
      </c>
      <c r="D332" t="s">
        <v>993</v>
      </c>
      <c r="E332">
        <v>83</v>
      </c>
      <c r="F332" t="s">
        <v>739</v>
      </c>
      <c r="G332" t="b">
        <f>LEFT(Logs_Reseau_Part[[#This Row],[Cell_ID]],1)="A"</f>
        <v>1</v>
      </c>
    </row>
    <row r="333" spans="1:7" x14ac:dyDescent="0.3">
      <c r="A333" t="s">
        <v>904</v>
      </c>
      <c r="B333" s="1">
        <v>45221.268750000003</v>
      </c>
      <c r="C333" s="2">
        <v>45221.268750000003</v>
      </c>
      <c r="D333" t="s">
        <v>929</v>
      </c>
      <c r="E333">
        <v>18</v>
      </c>
      <c r="F333" t="s">
        <v>737</v>
      </c>
      <c r="G333" t="b">
        <f>LEFT(Logs_Reseau_Part[[#This Row],[Cell_ID]],1)="A"</f>
        <v>1</v>
      </c>
    </row>
    <row r="334" spans="1:7" x14ac:dyDescent="0.3">
      <c r="A334" t="s">
        <v>825</v>
      </c>
      <c r="B334" s="1">
        <v>45221.265972222223</v>
      </c>
      <c r="C334" s="2">
        <v>45221.265972222223</v>
      </c>
      <c r="D334" t="s">
        <v>837</v>
      </c>
      <c r="E334">
        <v>88</v>
      </c>
      <c r="F334" t="s">
        <v>737</v>
      </c>
      <c r="G334" t="b">
        <f>LEFT(Logs_Reseau_Part[[#This Row],[Cell_ID]],1)="A"</f>
        <v>1</v>
      </c>
    </row>
    <row r="335" spans="1:7" x14ac:dyDescent="0.3">
      <c r="A335" t="s">
        <v>1384</v>
      </c>
      <c r="B335" s="1">
        <v>45221.197916666657</v>
      </c>
      <c r="C335" s="2">
        <v>45221.197916666657</v>
      </c>
      <c r="D335" t="s">
        <v>996</v>
      </c>
      <c r="E335">
        <v>61</v>
      </c>
      <c r="F335" t="s">
        <v>739</v>
      </c>
      <c r="G335" t="b">
        <f>LEFT(Logs_Reseau_Part[[#This Row],[Cell_ID]],1)="A"</f>
        <v>1</v>
      </c>
    </row>
    <row r="336" spans="1:7" x14ac:dyDescent="0.3">
      <c r="A336" t="s">
        <v>1221</v>
      </c>
      <c r="B336" s="1">
        <v>45221.180555555547</v>
      </c>
      <c r="C336" s="2">
        <v>45221.180555555547</v>
      </c>
      <c r="D336" t="s">
        <v>742</v>
      </c>
      <c r="E336">
        <v>8</v>
      </c>
      <c r="F336" t="s">
        <v>734</v>
      </c>
      <c r="G336" t="b">
        <f>LEFT(Logs_Reseau_Part[[#This Row],[Cell_ID]],1)="A"</f>
        <v>1</v>
      </c>
    </row>
    <row r="337" spans="1:7" x14ac:dyDescent="0.3">
      <c r="A337" t="s">
        <v>1406</v>
      </c>
      <c r="B337" s="1">
        <v>45221.167361111111</v>
      </c>
      <c r="C337" s="2">
        <v>45221.167361111111</v>
      </c>
      <c r="D337" t="s">
        <v>849</v>
      </c>
      <c r="E337">
        <v>78</v>
      </c>
      <c r="F337" t="s">
        <v>737</v>
      </c>
      <c r="G337" t="b">
        <f>LEFT(Logs_Reseau_Part[[#This Row],[Cell_ID]],1)="A"</f>
        <v>1</v>
      </c>
    </row>
    <row r="338" spans="1:7" x14ac:dyDescent="0.3">
      <c r="A338" t="s">
        <v>1001</v>
      </c>
      <c r="B338" s="1">
        <v>45221.143055555563</v>
      </c>
      <c r="C338" s="2">
        <v>45221.143055555563</v>
      </c>
      <c r="D338" t="s">
        <v>940</v>
      </c>
      <c r="E338">
        <v>43</v>
      </c>
      <c r="F338" t="s">
        <v>734</v>
      </c>
      <c r="G338" t="b">
        <f>LEFT(Logs_Reseau_Part[[#This Row],[Cell_ID]],1)="A"</f>
        <v>1</v>
      </c>
    </row>
    <row r="339" spans="1:7" x14ac:dyDescent="0.3">
      <c r="A339" t="s">
        <v>1061</v>
      </c>
      <c r="B339" s="1">
        <v>45221.106249999997</v>
      </c>
      <c r="C339" s="2">
        <v>45221.106249999997</v>
      </c>
      <c r="D339" t="s">
        <v>754</v>
      </c>
      <c r="E339">
        <v>52</v>
      </c>
      <c r="F339" t="s">
        <v>739</v>
      </c>
      <c r="G339" t="b">
        <f>LEFT(Logs_Reseau_Part[[#This Row],[Cell_ID]],1)="A"</f>
        <v>1</v>
      </c>
    </row>
    <row r="340" spans="1:7" x14ac:dyDescent="0.3">
      <c r="A340" t="s">
        <v>825</v>
      </c>
      <c r="B340" s="1">
        <v>45221.095833333333</v>
      </c>
      <c r="C340" s="2">
        <v>45221.095833333333</v>
      </c>
      <c r="D340" t="s">
        <v>855</v>
      </c>
      <c r="E340">
        <v>113</v>
      </c>
      <c r="F340" t="s">
        <v>739</v>
      </c>
      <c r="G340" t="b">
        <f>LEFT(Logs_Reseau_Part[[#This Row],[Cell_ID]],1)="A"</f>
        <v>1</v>
      </c>
    </row>
    <row r="341" spans="1:7" x14ac:dyDescent="0.3">
      <c r="A341" t="s">
        <v>1263</v>
      </c>
      <c r="B341" s="1">
        <v>45221.049305555563</v>
      </c>
      <c r="C341" s="2">
        <v>45221.049305555563</v>
      </c>
      <c r="D341" t="s">
        <v>1068</v>
      </c>
      <c r="E341">
        <v>53</v>
      </c>
      <c r="F341" t="s">
        <v>737</v>
      </c>
      <c r="G341" t="b">
        <f>LEFT(Logs_Reseau_Part[[#This Row],[Cell_ID]],1)="A"</f>
        <v>1</v>
      </c>
    </row>
    <row r="342" spans="1:7" x14ac:dyDescent="0.3">
      <c r="A342" t="s">
        <v>941</v>
      </c>
      <c r="B342" s="1">
        <v>45221.039583333331</v>
      </c>
      <c r="C342" s="2">
        <v>45221.039583333331</v>
      </c>
      <c r="D342" t="s">
        <v>975</v>
      </c>
      <c r="E342">
        <v>33</v>
      </c>
      <c r="F342" t="s">
        <v>737</v>
      </c>
      <c r="G342" t="b">
        <f>LEFT(Logs_Reseau_Part[[#This Row],[Cell_ID]],1)="A"</f>
        <v>1</v>
      </c>
    </row>
    <row r="343" spans="1:7" x14ac:dyDescent="0.3">
      <c r="A343" t="s">
        <v>1347</v>
      </c>
      <c r="B343" s="1">
        <v>45220.96875</v>
      </c>
      <c r="C343" s="2">
        <v>45220.96875</v>
      </c>
      <c r="D343" t="s">
        <v>838</v>
      </c>
      <c r="E343">
        <v>103</v>
      </c>
      <c r="F343" t="s">
        <v>734</v>
      </c>
      <c r="G343" t="b">
        <f>LEFT(Logs_Reseau_Part[[#This Row],[Cell_ID]],1)="A"</f>
        <v>1</v>
      </c>
    </row>
    <row r="344" spans="1:7" x14ac:dyDescent="0.3">
      <c r="A344" t="s">
        <v>732</v>
      </c>
      <c r="B344" s="1">
        <v>45220.94027777778</v>
      </c>
      <c r="C344" s="2">
        <v>45220.94027777778</v>
      </c>
      <c r="D344" t="s">
        <v>745</v>
      </c>
      <c r="E344">
        <v>33</v>
      </c>
      <c r="F344" t="s">
        <v>739</v>
      </c>
      <c r="G344" t="b">
        <f>LEFT(Logs_Reseau_Part[[#This Row],[Cell_ID]],1)="A"</f>
        <v>1</v>
      </c>
    </row>
    <row r="345" spans="1:7" x14ac:dyDescent="0.3">
      <c r="A345" t="s">
        <v>1116</v>
      </c>
      <c r="B345" s="1">
        <v>45220.927777777782</v>
      </c>
      <c r="C345" s="2">
        <v>45220.927777777782</v>
      </c>
      <c r="D345" t="s">
        <v>1037</v>
      </c>
      <c r="E345">
        <v>22</v>
      </c>
      <c r="F345" t="s">
        <v>737</v>
      </c>
      <c r="G345" t="b">
        <f>LEFT(Logs_Reseau_Part[[#This Row],[Cell_ID]],1)="A"</f>
        <v>1</v>
      </c>
    </row>
    <row r="346" spans="1:7" x14ac:dyDescent="0.3">
      <c r="A346" t="s">
        <v>1026</v>
      </c>
      <c r="B346" s="1">
        <v>45220.893750000003</v>
      </c>
      <c r="C346" s="2">
        <v>45220.893750000003</v>
      </c>
      <c r="D346" t="s">
        <v>1055</v>
      </c>
      <c r="E346">
        <v>101</v>
      </c>
      <c r="F346" t="s">
        <v>739</v>
      </c>
      <c r="G346" t="b">
        <f>LEFT(Logs_Reseau_Part[[#This Row],[Cell_ID]],1)="A"</f>
        <v>1</v>
      </c>
    </row>
    <row r="347" spans="1:7" x14ac:dyDescent="0.3">
      <c r="A347" t="s">
        <v>904</v>
      </c>
      <c r="B347" s="1">
        <v>45220.877083333333</v>
      </c>
      <c r="C347" s="2">
        <v>45220.877083333333</v>
      </c>
      <c r="D347" t="s">
        <v>909</v>
      </c>
      <c r="E347">
        <v>78</v>
      </c>
      <c r="F347" t="s">
        <v>734</v>
      </c>
      <c r="G347" t="b">
        <f>LEFT(Logs_Reseau_Part[[#This Row],[Cell_ID]],1)="A"</f>
        <v>1</v>
      </c>
    </row>
    <row r="348" spans="1:7" x14ac:dyDescent="0.3">
      <c r="A348" t="s">
        <v>1026</v>
      </c>
      <c r="B348" s="1">
        <v>45220.847916666673</v>
      </c>
      <c r="C348" s="2">
        <v>45220.847916666673</v>
      </c>
      <c r="D348" t="s">
        <v>1005</v>
      </c>
      <c r="E348">
        <v>103</v>
      </c>
      <c r="F348" t="s">
        <v>734</v>
      </c>
      <c r="G348" t="b">
        <f>LEFT(Logs_Reseau_Part[[#This Row],[Cell_ID]],1)="A"</f>
        <v>1</v>
      </c>
    </row>
    <row r="349" spans="1:7" x14ac:dyDescent="0.3">
      <c r="A349" t="s">
        <v>732</v>
      </c>
      <c r="B349" s="1">
        <v>45220.830555555563</v>
      </c>
      <c r="C349" s="2">
        <v>45220.830555555563</v>
      </c>
      <c r="D349" t="s">
        <v>758</v>
      </c>
      <c r="E349">
        <v>59</v>
      </c>
      <c r="F349" t="s">
        <v>739</v>
      </c>
      <c r="G349" t="b">
        <f>LEFT(Logs_Reseau_Part[[#This Row],[Cell_ID]],1)="A"</f>
        <v>1</v>
      </c>
    </row>
    <row r="350" spans="1:7" x14ac:dyDescent="0.3">
      <c r="A350" t="s">
        <v>1061</v>
      </c>
      <c r="B350" s="1">
        <v>45220.811805555553</v>
      </c>
      <c r="C350" s="2">
        <v>45220.811805555553</v>
      </c>
      <c r="D350" t="s">
        <v>1063</v>
      </c>
      <c r="E350">
        <v>100</v>
      </c>
      <c r="F350" t="s">
        <v>739</v>
      </c>
      <c r="G350" t="b">
        <f>LEFT(Logs_Reseau_Part[[#This Row],[Cell_ID]],1)="A"</f>
        <v>1</v>
      </c>
    </row>
    <row r="351" spans="1:7" x14ac:dyDescent="0.3">
      <c r="A351" t="s">
        <v>980</v>
      </c>
      <c r="B351" s="1">
        <v>45220.792361111111</v>
      </c>
      <c r="C351" s="2">
        <v>45220.792361111111</v>
      </c>
      <c r="D351" t="s">
        <v>840</v>
      </c>
      <c r="E351">
        <v>10</v>
      </c>
      <c r="F351" t="s">
        <v>739</v>
      </c>
      <c r="G351" t="b">
        <f>LEFT(Logs_Reseau_Part[[#This Row],[Cell_ID]],1)="A"</f>
        <v>1</v>
      </c>
    </row>
    <row r="352" spans="1:7" x14ac:dyDescent="0.3">
      <c r="A352" t="s">
        <v>1310</v>
      </c>
      <c r="B352" s="1">
        <v>45220.754166666673</v>
      </c>
      <c r="C352" s="2">
        <v>45220.754166666673</v>
      </c>
      <c r="D352" t="s">
        <v>874</v>
      </c>
      <c r="E352">
        <v>85</v>
      </c>
      <c r="F352" t="s">
        <v>734</v>
      </c>
      <c r="G352" t="b">
        <f>LEFT(Logs_Reseau_Part[[#This Row],[Cell_ID]],1)="A"</f>
        <v>1</v>
      </c>
    </row>
    <row r="353" spans="1:7" x14ac:dyDescent="0.3">
      <c r="A353" t="s">
        <v>1290</v>
      </c>
      <c r="B353" s="1">
        <v>45220.743055555547</v>
      </c>
      <c r="C353" s="2">
        <v>45220.743055555547</v>
      </c>
      <c r="D353" t="s">
        <v>1121</v>
      </c>
      <c r="E353">
        <v>54</v>
      </c>
      <c r="F353" t="s">
        <v>737</v>
      </c>
      <c r="G353" t="b">
        <f>LEFT(Logs_Reseau_Part[[#This Row],[Cell_ID]],1)="A"</f>
        <v>1</v>
      </c>
    </row>
    <row r="354" spans="1:7" x14ac:dyDescent="0.3">
      <c r="A354" t="s">
        <v>1384</v>
      </c>
      <c r="B354" s="1">
        <v>45220.724999999999</v>
      </c>
      <c r="C354" s="2">
        <v>45220.724999999999</v>
      </c>
      <c r="D354" t="s">
        <v>854</v>
      </c>
      <c r="E354">
        <v>28</v>
      </c>
      <c r="F354" t="s">
        <v>739</v>
      </c>
      <c r="G354" t="b">
        <f>LEFT(Logs_Reseau_Part[[#This Row],[Cell_ID]],1)="A"</f>
        <v>1</v>
      </c>
    </row>
    <row r="355" spans="1:7" x14ac:dyDescent="0.3">
      <c r="A355" t="s">
        <v>1290</v>
      </c>
      <c r="B355" s="1">
        <v>45220.677083333343</v>
      </c>
      <c r="C355" s="2">
        <v>45220.677083333343</v>
      </c>
      <c r="D355" t="s">
        <v>1305</v>
      </c>
      <c r="E355">
        <v>107</v>
      </c>
      <c r="F355" t="s">
        <v>739</v>
      </c>
      <c r="G355" t="b">
        <f>LEFT(Logs_Reseau_Part[[#This Row],[Cell_ID]],1)="A"</f>
        <v>1</v>
      </c>
    </row>
    <row r="356" spans="1:7" x14ac:dyDescent="0.3">
      <c r="A356" t="s">
        <v>1195</v>
      </c>
      <c r="B356" s="1">
        <v>45220.651388888888</v>
      </c>
      <c r="C356" s="2">
        <v>45220.651388888888</v>
      </c>
      <c r="D356" t="s">
        <v>905</v>
      </c>
      <c r="E356">
        <v>36</v>
      </c>
      <c r="F356" t="s">
        <v>734</v>
      </c>
      <c r="G356" t="b">
        <f>LEFT(Logs_Reseau_Part[[#This Row],[Cell_ID]],1)="A"</f>
        <v>1</v>
      </c>
    </row>
    <row r="357" spans="1:7" x14ac:dyDescent="0.3">
      <c r="A357" t="s">
        <v>732</v>
      </c>
      <c r="B357" s="1">
        <v>45220.642361111109</v>
      </c>
      <c r="C357" s="2">
        <v>45220.642361111109</v>
      </c>
      <c r="D357" t="s">
        <v>778</v>
      </c>
      <c r="E357">
        <v>19</v>
      </c>
      <c r="F357" t="s">
        <v>734</v>
      </c>
      <c r="G357" t="b">
        <f>LEFT(Logs_Reseau_Part[[#This Row],[Cell_ID]],1)="A"</f>
        <v>1</v>
      </c>
    </row>
    <row r="358" spans="1:7" x14ac:dyDescent="0.3">
      <c r="A358" t="s">
        <v>1290</v>
      </c>
      <c r="B358" s="1">
        <v>45220.618750000001</v>
      </c>
      <c r="C358" s="2">
        <v>45220.618750000001</v>
      </c>
      <c r="D358" t="s">
        <v>1285</v>
      </c>
      <c r="E358">
        <v>79</v>
      </c>
      <c r="F358" t="s">
        <v>734</v>
      </c>
      <c r="G358" t="b">
        <f>LEFT(Logs_Reseau_Part[[#This Row],[Cell_ID]],1)="A"</f>
        <v>1</v>
      </c>
    </row>
    <row r="359" spans="1:7" x14ac:dyDescent="0.3">
      <c r="A359" t="s">
        <v>1243</v>
      </c>
      <c r="B359" s="1">
        <v>45220.584027777782</v>
      </c>
      <c r="C359" s="2">
        <v>45220.584027777782</v>
      </c>
      <c r="D359" t="s">
        <v>1251</v>
      </c>
      <c r="E359">
        <v>92</v>
      </c>
      <c r="F359" t="s">
        <v>739</v>
      </c>
      <c r="G359" t="b">
        <f>LEFT(Logs_Reseau_Part[[#This Row],[Cell_ID]],1)="A"</f>
        <v>1</v>
      </c>
    </row>
    <row r="360" spans="1:7" x14ac:dyDescent="0.3">
      <c r="A360" t="s">
        <v>1263</v>
      </c>
      <c r="B360" s="1">
        <v>45220.551388888889</v>
      </c>
      <c r="C360" s="2">
        <v>45220.551388888889</v>
      </c>
      <c r="D360" t="s">
        <v>1284</v>
      </c>
      <c r="E360">
        <v>6</v>
      </c>
      <c r="F360" t="s">
        <v>734</v>
      </c>
      <c r="G360" t="b">
        <f>LEFT(Logs_Reseau_Part[[#This Row],[Cell_ID]],1)="A"</f>
        <v>1</v>
      </c>
    </row>
    <row r="361" spans="1:7" x14ac:dyDescent="0.3">
      <c r="A361" t="s">
        <v>1061</v>
      </c>
      <c r="B361" s="1">
        <v>45220.515972222223</v>
      </c>
      <c r="C361" s="2">
        <v>45220.515972222223</v>
      </c>
      <c r="D361" t="s">
        <v>1072</v>
      </c>
      <c r="E361">
        <v>15</v>
      </c>
      <c r="F361" t="s">
        <v>739</v>
      </c>
      <c r="G361" t="b">
        <f>LEFT(Logs_Reseau_Part[[#This Row],[Cell_ID]],1)="A"</f>
        <v>1</v>
      </c>
    </row>
    <row r="362" spans="1:7" x14ac:dyDescent="0.3">
      <c r="A362" t="s">
        <v>1363</v>
      </c>
      <c r="B362" s="1">
        <v>45220.506249999999</v>
      </c>
      <c r="C362" s="2">
        <v>45220.506249999999</v>
      </c>
      <c r="D362" t="s">
        <v>1182</v>
      </c>
      <c r="E362">
        <v>20</v>
      </c>
      <c r="F362" t="s">
        <v>734</v>
      </c>
      <c r="G362" t="b">
        <f>LEFT(Logs_Reseau_Part[[#This Row],[Cell_ID]],1)="A"</f>
        <v>1</v>
      </c>
    </row>
    <row r="363" spans="1:7" x14ac:dyDescent="0.3">
      <c r="A363" t="s">
        <v>1140</v>
      </c>
      <c r="B363" s="1">
        <v>45220.488888888889</v>
      </c>
      <c r="C363" s="2">
        <v>45220.488888888889</v>
      </c>
      <c r="D363" t="s">
        <v>822</v>
      </c>
      <c r="E363">
        <v>49</v>
      </c>
      <c r="F363" t="s">
        <v>739</v>
      </c>
      <c r="G363" t="b">
        <f>LEFT(Logs_Reseau_Part[[#This Row],[Cell_ID]],1)="A"</f>
        <v>1</v>
      </c>
    </row>
    <row r="364" spans="1:7" x14ac:dyDescent="0.3">
      <c r="A364" t="s">
        <v>1243</v>
      </c>
      <c r="B364" s="1">
        <v>45220.469444444447</v>
      </c>
      <c r="C364" s="2">
        <v>45220.469444444447</v>
      </c>
      <c r="D364" t="s">
        <v>999</v>
      </c>
      <c r="E364">
        <v>17</v>
      </c>
      <c r="F364" t="s">
        <v>737</v>
      </c>
      <c r="G364" t="b">
        <f>LEFT(Logs_Reseau_Part[[#This Row],[Cell_ID]],1)="A"</f>
        <v>1</v>
      </c>
    </row>
    <row r="365" spans="1:7" x14ac:dyDescent="0.3">
      <c r="A365" t="s">
        <v>1026</v>
      </c>
      <c r="B365" s="1">
        <v>45220.452777777777</v>
      </c>
      <c r="C365" s="2">
        <v>45220.452777777777</v>
      </c>
      <c r="D365" t="s">
        <v>1051</v>
      </c>
      <c r="E365">
        <v>35</v>
      </c>
      <c r="F365" t="s">
        <v>737</v>
      </c>
      <c r="G365" t="b">
        <f>LEFT(Logs_Reseau_Part[[#This Row],[Cell_ID]],1)="A"</f>
        <v>1</v>
      </c>
    </row>
    <row r="366" spans="1:7" x14ac:dyDescent="0.3">
      <c r="A366" t="s">
        <v>825</v>
      </c>
      <c r="B366" s="1">
        <v>45220.436805555553</v>
      </c>
      <c r="C366" s="2">
        <v>45220.436805555553</v>
      </c>
      <c r="D366" t="s">
        <v>794</v>
      </c>
      <c r="E366">
        <v>64</v>
      </c>
      <c r="F366" t="s">
        <v>737</v>
      </c>
      <c r="G366" t="b">
        <f>LEFT(Logs_Reseau_Part[[#This Row],[Cell_ID]],1)="A"</f>
        <v>1</v>
      </c>
    </row>
    <row r="367" spans="1:7" x14ac:dyDescent="0.3">
      <c r="A367" t="s">
        <v>1061</v>
      </c>
      <c r="B367" s="1">
        <v>45220.428472222222</v>
      </c>
      <c r="C367" s="2">
        <v>45220.428472222222</v>
      </c>
      <c r="D367" t="s">
        <v>761</v>
      </c>
      <c r="E367">
        <v>26</v>
      </c>
      <c r="F367" t="s">
        <v>739</v>
      </c>
      <c r="G367" t="b">
        <f>LEFT(Logs_Reseau_Part[[#This Row],[Cell_ID]],1)="A"</f>
        <v>1</v>
      </c>
    </row>
    <row r="368" spans="1:7" x14ac:dyDescent="0.3">
      <c r="A368" t="s">
        <v>863</v>
      </c>
      <c r="B368" s="1">
        <v>45220.416666666657</v>
      </c>
      <c r="C368" s="2">
        <v>45220.416666666657</v>
      </c>
      <c r="D368" t="s">
        <v>899</v>
      </c>
      <c r="E368">
        <v>32</v>
      </c>
      <c r="F368" t="s">
        <v>737</v>
      </c>
      <c r="G368" t="b">
        <f>LEFT(Logs_Reseau_Part[[#This Row],[Cell_ID]],1)="A"</f>
        <v>1</v>
      </c>
    </row>
    <row r="369" spans="1:7" x14ac:dyDescent="0.3">
      <c r="A369" t="s">
        <v>1140</v>
      </c>
      <c r="B369" s="1">
        <v>45220.390972222223</v>
      </c>
      <c r="C369" s="2">
        <v>45220.390972222223</v>
      </c>
      <c r="D369" t="s">
        <v>1111</v>
      </c>
      <c r="E369">
        <v>13</v>
      </c>
      <c r="F369" t="s">
        <v>737</v>
      </c>
      <c r="G369" t="b">
        <f>LEFT(Logs_Reseau_Part[[#This Row],[Cell_ID]],1)="A"</f>
        <v>1</v>
      </c>
    </row>
    <row r="370" spans="1:7" x14ac:dyDescent="0.3">
      <c r="A370" t="s">
        <v>1195</v>
      </c>
      <c r="B370" s="1">
        <v>45220.368055555547</v>
      </c>
      <c r="C370" s="2">
        <v>45220.368055555547</v>
      </c>
      <c r="D370" t="s">
        <v>1201</v>
      </c>
      <c r="E370">
        <v>47</v>
      </c>
      <c r="F370" t="s">
        <v>739</v>
      </c>
      <c r="G370" t="b">
        <f>LEFT(Logs_Reseau_Part[[#This Row],[Cell_ID]],1)="A"</f>
        <v>1</v>
      </c>
    </row>
    <row r="371" spans="1:7" x14ac:dyDescent="0.3">
      <c r="A371" t="s">
        <v>1061</v>
      </c>
      <c r="B371" s="1">
        <v>45220.262499999997</v>
      </c>
      <c r="C371" s="2">
        <v>45220.262499999997</v>
      </c>
      <c r="D371" t="s">
        <v>1085</v>
      </c>
      <c r="E371">
        <v>96</v>
      </c>
      <c r="F371" t="s">
        <v>734</v>
      </c>
      <c r="G371" t="b">
        <f>LEFT(Logs_Reseau_Part[[#This Row],[Cell_ID]],1)="A"</f>
        <v>1</v>
      </c>
    </row>
    <row r="372" spans="1:7" x14ac:dyDescent="0.3">
      <c r="A372" t="s">
        <v>1384</v>
      </c>
      <c r="B372" s="1">
        <v>45220.230555555558</v>
      </c>
      <c r="C372" s="2">
        <v>45220.230555555558</v>
      </c>
      <c r="D372" t="s">
        <v>790</v>
      </c>
      <c r="E372">
        <v>111</v>
      </c>
      <c r="F372" t="s">
        <v>739</v>
      </c>
      <c r="G372" t="b">
        <f>LEFT(Logs_Reseau_Part[[#This Row],[Cell_ID]],1)="A"</f>
        <v>1</v>
      </c>
    </row>
    <row r="373" spans="1:7" x14ac:dyDescent="0.3">
      <c r="A373" t="s">
        <v>1363</v>
      </c>
      <c r="B373" s="1">
        <v>45220.222916666673</v>
      </c>
      <c r="C373" s="2">
        <v>45220.222916666673</v>
      </c>
      <c r="D373" t="s">
        <v>1273</v>
      </c>
      <c r="E373">
        <v>65</v>
      </c>
      <c r="F373" t="s">
        <v>739</v>
      </c>
      <c r="G373" t="b">
        <f>LEFT(Logs_Reseau_Part[[#This Row],[Cell_ID]],1)="A"</f>
        <v>1</v>
      </c>
    </row>
    <row r="374" spans="1:7" x14ac:dyDescent="0.3">
      <c r="A374" t="s">
        <v>904</v>
      </c>
      <c r="B374" s="1">
        <v>45220.206944444442</v>
      </c>
      <c r="C374" s="2">
        <v>45220.206944444442</v>
      </c>
      <c r="D374" t="s">
        <v>931</v>
      </c>
      <c r="E374">
        <v>25</v>
      </c>
      <c r="F374" t="s">
        <v>734</v>
      </c>
      <c r="G374" t="b">
        <f>LEFT(Logs_Reseau_Part[[#This Row],[Cell_ID]],1)="A"</f>
        <v>1</v>
      </c>
    </row>
    <row r="375" spans="1:7" x14ac:dyDescent="0.3">
      <c r="A375" t="s">
        <v>1061</v>
      </c>
      <c r="B375" s="1">
        <v>45220.15902777778</v>
      </c>
      <c r="C375" s="2">
        <v>45220.15902777778</v>
      </c>
      <c r="D375" t="s">
        <v>1075</v>
      </c>
      <c r="E375">
        <v>60</v>
      </c>
      <c r="F375" t="s">
        <v>739</v>
      </c>
      <c r="G375" t="b">
        <f>LEFT(Logs_Reseau_Part[[#This Row],[Cell_ID]],1)="A"</f>
        <v>1</v>
      </c>
    </row>
    <row r="376" spans="1:7" x14ac:dyDescent="0.3">
      <c r="A376" t="s">
        <v>1332</v>
      </c>
      <c r="B376" s="1">
        <v>45220.154861111107</v>
      </c>
      <c r="C376" s="2">
        <v>45220.154861111107</v>
      </c>
      <c r="D376" t="s">
        <v>1135</v>
      </c>
      <c r="E376">
        <v>53</v>
      </c>
      <c r="F376" t="s">
        <v>734</v>
      </c>
      <c r="G376" t="b">
        <f>LEFT(Logs_Reseau_Part[[#This Row],[Cell_ID]],1)="A"</f>
        <v>1</v>
      </c>
    </row>
    <row r="377" spans="1:7" x14ac:dyDescent="0.3">
      <c r="A377" t="s">
        <v>863</v>
      </c>
      <c r="B377" s="1">
        <v>45220.117361111108</v>
      </c>
      <c r="C377" s="2">
        <v>45220.117361111108</v>
      </c>
      <c r="D377" t="s">
        <v>879</v>
      </c>
      <c r="E377">
        <v>39</v>
      </c>
      <c r="F377" t="s">
        <v>734</v>
      </c>
      <c r="G377" t="b">
        <f>LEFT(Logs_Reseau_Part[[#This Row],[Cell_ID]],1)="A"</f>
        <v>1</v>
      </c>
    </row>
    <row r="378" spans="1:7" x14ac:dyDescent="0.3">
      <c r="A378" t="s">
        <v>1243</v>
      </c>
      <c r="B378" s="1">
        <v>45220.114583333343</v>
      </c>
      <c r="C378" s="2">
        <v>45220.114583333343</v>
      </c>
      <c r="D378" t="s">
        <v>778</v>
      </c>
      <c r="E378">
        <v>54</v>
      </c>
      <c r="F378" t="s">
        <v>737</v>
      </c>
      <c r="G378" t="b">
        <f>LEFT(Logs_Reseau_Part[[#This Row],[Cell_ID]],1)="A"</f>
        <v>1</v>
      </c>
    </row>
    <row r="379" spans="1:7" x14ac:dyDescent="0.3">
      <c r="A379" t="s">
        <v>1026</v>
      </c>
      <c r="B379" s="1">
        <v>45220.11041666667</v>
      </c>
      <c r="C379" s="2">
        <v>45220.11041666667</v>
      </c>
      <c r="D379" t="s">
        <v>1029</v>
      </c>
      <c r="E379">
        <v>111</v>
      </c>
      <c r="F379" t="s">
        <v>739</v>
      </c>
      <c r="G379" t="b">
        <f>LEFT(Logs_Reseau_Part[[#This Row],[Cell_ID]],1)="A"</f>
        <v>1</v>
      </c>
    </row>
    <row r="380" spans="1:7" x14ac:dyDescent="0.3">
      <c r="A380" t="s">
        <v>1347</v>
      </c>
      <c r="B380" s="1">
        <v>45220.093055555553</v>
      </c>
      <c r="C380" s="2">
        <v>45220.093055555553</v>
      </c>
      <c r="D380" t="s">
        <v>1308</v>
      </c>
      <c r="E380">
        <v>48</v>
      </c>
      <c r="F380" t="s">
        <v>734</v>
      </c>
      <c r="G380" t="b">
        <f>LEFT(Logs_Reseau_Part[[#This Row],[Cell_ID]],1)="A"</f>
        <v>1</v>
      </c>
    </row>
    <row r="381" spans="1:7" x14ac:dyDescent="0.3">
      <c r="A381" t="s">
        <v>1332</v>
      </c>
      <c r="B381" s="1">
        <v>45220.091666666667</v>
      </c>
      <c r="C381" s="2">
        <v>45220.091666666667</v>
      </c>
      <c r="D381" t="s">
        <v>752</v>
      </c>
      <c r="E381">
        <v>87</v>
      </c>
      <c r="F381" t="s">
        <v>737</v>
      </c>
      <c r="G381" t="b">
        <f>LEFT(Logs_Reseau_Part[[#This Row],[Cell_ID]],1)="A"</f>
        <v>1</v>
      </c>
    </row>
    <row r="382" spans="1:7" x14ac:dyDescent="0.3">
      <c r="A382" t="s">
        <v>1088</v>
      </c>
      <c r="B382" s="1">
        <v>45219.997916666667</v>
      </c>
      <c r="C382" s="2">
        <v>45219.997916666667</v>
      </c>
      <c r="D382" t="s">
        <v>809</v>
      </c>
      <c r="E382">
        <v>102</v>
      </c>
      <c r="F382" t="s">
        <v>737</v>
      </c>
      <c r="G382" t="b">
        <f>LEFT(Logs_Reseau_Part[[#This Row],[Cell_ID]],1)="A"</f>
        <v>1</v>
      </c>
    </row>
    <row r="383" spans="1:7" x14ac:dyDescent="0.3">
      <c r="A383" t="s">
        <v>863</v>
      </c>
      <c r="B383" s="1">
        <v>45219.989583333343</v>
      </c>
      <c r="C383" s="2">
        <v>45219.989583333343</v>
      </c>
      <c r="D383" t="s">
        <v>886</v>
      </c>
      <c r="E383">
        <v>36</v>
      </c>
      <c r="F383" t="s">
        <v>734</v>
      </c>
      <c r="G383" t="b">
        <f>LEFT(Logs_Reseau_Part[[#This Row],[Cell_ID]],1)="A"</f>
        <v>1</v>
      </c>
    </row>
    <row r="384" spans="1:7" x14ac:dyDescent="0.3">
      <c r="A384" t="s">
        <v>1384</v>
      </c>
      <c r="B384" s="1">
        <v>45219.95</v>
      </c>
      <c r="C384" s="2">
        <v>45219.95</v>
      </c>
      <c r="D384" t="s">
        <v>789</v>
      </c>
      <c r="E384">
        <v>45</v>
      </c>
      <c r="F384" t="s">
        <v>739</v>
      </c>
      <c r="G384" t="b">
        <f>LEFT(Logs_Reseau_Part[[#This Row],[Cell_ID]],1)="A"</f>
        <v>1</v>
      </c>
    </row>
    <row r="385" spans="1:7" x14ac:dyDescent="0.3">
      <c r="A385" t="s">
        <v>1384</v>
      </c>
      <c r="B385" s="1">
        <v>45219.929166666669</v>
      </c>
      <c r="C385" s="2">
        <v>45219.929166666669</v>
      </c>
      <c r="D385" t="s">
        <v>1394</v>
      </c>
      <c r="E385">
        <v>115</v>
      </c>
      <c r="F385" t="s">
        <v>734</v>
      </c>
      <c r="G385" t="b">
        <f>LEFT(Logs_Reseau_Part[[#This Row],[Cell_ID]],1)="A"</f>
        <v>1</v>
      </c>
    </row>
    <row r="386" spans="1:7" x14ac:dyDescent="0.3">
      <c r="A386" t="s">
        <v>1167</v>
      </c>
      <c r="B386" s="1">
        <v>45219.925694444442</v>
      </c>
      <c r="C386" s="2">
        <v>45219.925694444442</v>
      </c>
      <c r="D386" t="s">
        <v>1183</v>
      </c>
      <c r="E386">
        <v>22</v>
      </c>
      <c r="F386" t="s">
        <v>734</v>
      </c>
      <c r="G386" t="b">
        <f>LEFT(Logs_Reseau_Part[[#This Row],[Cell_ID]],1)="A"</f>
        <v>1</v>
      </c>
    </row>
    <row r="387" spans="1:7" x14ac:dyDescent="0.3">
      <c r="A387" t="s">
        <v>1026</v>
      </c>
      <c r="B387" s="1">
        <v>45219.920138888891</v>
      </c>
      <c r="C387" s="2">
        <v>45219.920138888891</v>
      </c>
      <c r="D387" t="s">
        <v>1049</v>
      </c>
      <c r="E387">
        <v>91</v>
      </c>
      <c r="F387" t="s">
        <v>739</v>
      </c>
      <c r="G387" t="b">
        <f>LEFT(Logs_Reseau_Part[[#This Row],[Cell_ID]],1)="A"</f>
        <v>1</v>
      </c>
    </row>
    <row r="388" spans="1:7" x14ac:dyDescent="0.3">
      <c r="A388" t="s">
        <v>1384</v>
      </c>
      <c r="B388" s="1">
        <v>45219.907638888893</v>
      </c>
      <c r="C388" s="2">
        <v>45219.907638888893</v>
      </c>
      <c r="D388" t="s">
        <v>1403</v>
      </c>
      <c r="E388">
        <v>92</v>
      </c>
      <c r="F388" t="s">
        <v>737</v>
      </c>
      <c r="G388" t="b">
        <f>LEFT(Logs_Reseau_Part[[#This Row],[Cell_ID]],1)="A"</f>
        <v>1</v>
      </c>
    </row>
    <row r="389" spans="1:7" x14ac:dyDescent="0.3">
      <c r="A389" t="s">
        <v>732</v>
      </c>
      <c r="B389" s="1">
        <v>45219.840277777781</v>
      </c>
      <c r="C389" s="2">
        <v>45219.840277777781</v>
      </c>
      <c r="D389" t="s">
        <v>768</v>
      </c>
      <c r="E389">
        <v>92</v>
      </c>
      <c r="F389" t="s">
        <v>734</v>
      </c>
      <c r="G389" t="b">
        <f>LEFT(Logs_Reseau_Part[[#This Row],[Cell_ID]],1)="A"</f>
        <v>1</v>
      </c>
    </row>
    <row r="390" spans="1:7" x14ac:dyDescent="0.3">
      <c r="A390" t="s">
        <v>1088</v>
      </c>
      <c r="B390" s="1">
        <v>45219.834027777782</v>
      </c>
      <c r="C390" s="2">
        <v>45219.834027777782</v>
      </c>
      <c r="D390" t="s">
        <v>1115</v>
      </c>
      <c r="E390">
        <v>64</v>
      </c>
      <c r="F390" t="s">
        <v>739</v>
      </c>
      <c r="G390" t="b">
        <f>LEFT(Logs_Reseau_Part[[#This Row],[Cell_ID]],1)="A"</f>
        <v>1</v>
      </c>
    </row>
    <row r="391" spans="1:7" x14ac:dyDescent="0.3">
      <c r="A391" t="s">
        <v>1195</v>
      </c>
      <c r="B391" s="1">
        <v>45219.826388888891</v>
      </c>
      <c r="C391" s="2">
        <v>45219.826388888891</v>
      </c>
      <c r="D391" t="s">
        <v>774</v>
      </c>
      <c r="E391">
        <v>93</v>
      </c>
      <c r="F391" t="s">
        <v>739</v>
      </c>
      <c r="G391" t="b">
        <f>LEFT(Logs_Reseau_Part[[#This Row],[Cell_ID]],1)="A"</f>
        <v>1</v>
      </c>
    </row>
    <row r="392" spans="1:7" x14ac:dyDescent="0.3">
      <c r="A392" t="s">
        <v>1332</v>
      </c>
      <c r="B392" s="1">
        <v>45219.821527777778</v>
      </c>
      <c r="C392" s="2">
        <v>45219.821527777778</v>
      </c>
      <c r="D392" t="s">
        <v>1237</v>
      </c>
      <c r="E392">
        <v>31</v>
      </c>
      <c r="F392" t="s">
        <v>737</v>
      </c>
      <c r="G392" t="b">
        <f>LEFT(Logs_Reseau_Part[[#This Row],[Cell_ID]],1)="A"</f>
        <v>1</v>
      </c>
    </row>
    <row r="393" spans="1:7" x14ac:dyDescent="0.3">
      <c r="A393" t="s">
        <v>1290</v>
      </c>
      <c r="B393" s="1">
        <v>45219.818749999999</v>
      </c>
      <c r="C393" s="2">
        <v>45219.818749999999</v>
      </c>
      <c r="D393" t="s">
        <v>916</v>
      </c>
      <c r="E393">
        <v>99</v>
      </c>
      <c r="F393" t="s">
        <v>739</v>
      </c>
      <c r="G393" t="b">
        <f>LEFT(Logs_Reseau_Part[[#This Row],[Cell_ID]],1)="A"</f>
        <v>1</v>
      </c>
    </row>
    <row r="394" spans="1:7" x14ac:dyDescent="0.3">
      <c r="A394" t="s">
        <v>904</v>
      </c>
      <c r="B394" s="1">
        <v>45219.801388888889</v>
      </c>
      <c r="C394" s="2">
        <v>45219.801388888889</v>
      </c>
      <c r="D394" t="s">
        <v>914</v>
      </c>
      <c r="E394">
        <v>65</v>
      </c>
      <c r="F394" t="s">
        <v>737</v>
      </c>
      <c r="G394" t="b">
        <f>LEFT(Logs_Reseau_Part[[#This Row],[Cell_ID]],1)="A"</f>
        <v>1</v>
      </c>
    </row>
    <row r="395" spans="1:7" x14ac:dyDescent="0.3">
      <c r="A395" t="s">
        <v>1263</v>
      </c>
      <c r="B395" s="1">
        <v>45219.793749999997</v>
      </c>
      <c r="C395" s="2">
        <v>45219.793749999997</v>
      </c>
      <c r="D395" t="s">
        <v>1265</v>
      </c>
      <c r="E395">
        <v>43</v>
      </c>
      <c r="F395" t="s">
        <v>737</v>
      </c>
      <c r="G395" t="b">
        <f>LEFT(Logs_Reseau_Part[[#This Row],[Cell_ID]],1)="A"</f>
        <v>1</v>
      </c>
    </row>
    <row r="396" spans="1:7" x14ac:dyDescent="0.3">
      <c r="A396" t="s">
        <v>1167</v>
      </c>
      <c r="B396" s="1">
        <v>45219.793055555558</v>
      </c>
      <c r="C396" s="2">
        <v>45219.793055555558</v>
      </c>
      <c r="D396" t="s">
        <v>959</v>
      </c>
      <c r="E396">
        <v>9</v>
      </c>
      <c r="F396" t="s">
        <v>737</v>
      </c>
      <c r="G396" t="b">
        <f>LEFT(Logs_Reseau_Part[[#This Row],[Cell_ID]],1)="A"</f>
        <v>1</v>
      </c>
    </row>
    <row r="397" spans="1:7" x14ac:dyDescent="0.3">
      <c r="A397" t="s">
        <v>1221</v>
      </c>
      <c r="B397" s="1">
        <v>45219.753472222219</v>
      </c>
      <c r="C397" s="2">
        <v>45219.753472222219</v>
      </c>
      <c r="D397" t="s">
        <v>847</v>
      </c>
      <c r="E397">
        <v>77</v>
      </c>
      <c r="F397" t="s">
        <v>734</v>
      </c>
      <c r="G397" t="b">
        <f>LEFT(Logs_Reseau_Part[[#This Row],[Cell_ID]],1)="A"</f>
        <v>1</v>
      </c>
    </row>
    <row r="398" spans="1:7" x14ac:dyDescent="0.3">
      <c r="A398" t="s">
        <v>1026</v>
      </c>
      <c r="B398" s="1">
        <v>45219.683333333327</v>
      </c>
      <c r="C398" s="2">
        <v>45219.683333333327</v>
      </c>
      <c r="D398" t="s">
        <v>1030</v>
      </c>
      <c r="E398">
        <v>99</v>
      </c>
      <c r="F398" t="s">
        <v>737</v>
      </c>
      <c r="G398" t="b">
        <f>LEFT(Logs_Reseau_Part[[#This Row],[Cell_ID]],1)="A"</f>
        <v>1</v>
      </c>
    </row>
    <row r="399" spans="1:7" x14ac:dyDescent="0.3">
      <c r="A399" t="s">
        <v>1310</v>
      </c>
      <c r="B399" s="1">
        <v>45219.65625</v>
      </c>
      <c r="C399" s="2">
        <v>45219.65625</v>
      </c>
      <c r="D399" t="s">
        <v>1019</v>
      </c>
      <c r="E399">
        <v>118</v>
      </c>
      <c r="F399" t="s">
        <v>737</v>
      </c>
      <c r="G399" t="b">
        <f>LEFT(Logs_Reseau_Part[[#This Row],[Cell_ID]],1)="A"</f>
        <v>1</v>
      </c>
    </row>
    <row r="400" spans="1:7" x14ac:dyDescent="0.3">
      <c r="A400" t="s">
        <v>1116</v>
      </c>
      <c r="B400" s="1">
        <v>45219.636111111111</v>
      </c>
      <c r="C400" s="2">
        <v>45219.636111111111</v>
      </c>
      <c r="D400" t="s">
        <v>946</v>
      </c>
      <c r="E400">
        <v>49</v>
      </c>
      <c r="F400" t="s">
        <v>734</v>
      </c>
      <c r="G400" t="b">
        <f>LEFT(Logs_Reseau_Part[[#This Row],[Cell_ID]],1)="A"</f>
        <v>1</v>
      </c>
    </row>
    <row r="401" spans="1:7" x14ac:dyDescent="0.3">
      <c r="A401" t="s">
        <v>1116</v>
      </c>
      <c r="B401" s="1">
        <v>45219.633333333331</v>
      </c>
      <c r="C401" s="2">
        <v>45219.633333333331</v>
      </c>
      <c r="D401" t="s">
        <v>1134</v>
      </c>
      <c r="E401">
        <v>18</v>
      </c>
      <c r="F401" t="s">
        <v>739</v>
      </c>
      <c r="G401" t="b">
        <f>LEFT(Logs_Reseau_Part[[#This Row],[Cell_ID]],1)="A"</f>
        <v>1</v>
      </c>
    </row>
    <row r="402" spans="1:7" x14ac:dyDescent="0.3">
      <c r="A402" t="s">
        <v>1347</v>
      </c>
      <c r="B402" s="1">
        <v>45219.569444444453</v>
      </c>
      <c r="C402" s="2">
        <v>45219.569444444453</v>
      </c>
      <c r="D402" t="s">
        <v>1287</v>
      </c>
      <c r="E402">
        <v>96</v>
      </c>
      <c r="F402" t="s">
        <v>734</v>
      </c>
      <c r="G402" t="b">
        <f>LEFT(Logs_Reseau_Part[[#This Row],[Cell_ID]],1)="A"</f>
        <v>1</v>
      </c>
    </row>
    <row r="403" spans="1:7" x14ac:dyDescent="0.3">
      <c r="A403" t="s">
        <v>1221</v>
      </c>
      <c r="B403" s="1">
        <v>45219.527083333327</v>
      </c>
      <c r="C403" s="2">
        <v>45219.527083333327</v>
      </c>
      <c r="D403" t="s">
        <v>1141</v>
      </c>
      <c r="E403">
        <v>95</v>
      </c>
      <c r="F403" t="s">
        <v>734</v>
      </c>
      <c r="G403" t="b">
        <f>LEFT(Logs_Reseau_Part[[#This Row],[Cell_ID]],1)="A"</f>
        <v>1</v>
      </c>
    </row>
    <row r="404" spans="1:7" x14ac:dyDescent="0.3">
      <c r="A404" t="s">
        <v>1116</v>
      </c>
      <c r="B404" s="1">
        <v>45219.506249999999</v>
      </c>
      <c r="C404" s="2">
        <v>45219.506249999999</v>
      </c>
      <c r="D404" t="s">
        <v>877</v>
      </c>
      <c r="E404">
        <v>41</v>
      </c>
      <c r="F404" t="s">
        <v>737</v>
      </c>
      <c r="G404" t="b">
        <f>LEFT(Logs_Reseau_Part[[#This Row],[Cell_ID]],1)="A"</f>
        <v>1</v>
      </c>
    </row>
    <row r="405" spans="1:7" x14ac:dyDescent="0.3">
      <c r="A405" t="s">
        <v>1140</v>
      </c>
      <c r="B405" s="1">
        <v>45219.476388888892</v>
      </c>
      <c r="C405" s="2">
        <v>45219.476388888892</v>
      </c>
      <c r="D405" t="s">
        <v>741</v>
      </c>
      <c r="E405">
        <v>57</v>
      </c>
      <c r="F405" t="s">
        <v>734</v>
      </c>
      <c r="G405" t="b">
        <f>LEFT(Logs_Reseau_Part[[#This Row],[Cell_ID]],1)="A"</f>
        <v>1</v>
      </c>
    </row>
    <row r="406" spans="1:7" x14ac:dyDescent="0.3">
      <c r="A406" t="s">
        <v>1088</v>
      </c>
      <c r="B406" s="1">
        <v>45219.453472222223</v>
      </c>
      <c r="C406" s="2">
        <v>45219.453472222223</v>
      </c>
      <c r="D406" t="s">
        <v>1112</v>
      </c>
      <c r="E406">
        <v>52</v>
      </c>
      <c r="F406" t="s">
        <v>737</v>
      </c>
      <c r="G406" t="b">
        <f>LEFT(Logs_Reseau_Part[[#This Row],[Cell_ID]],1)="A"</f>
        <v>1</v>
      </c>
    </row>
    <row r="407" spans="1:7" x14ac:dyDescent="0.3">
      <c r="A407" t="s">
        <v>1384</v>
      </c>
      <c r="B407" s="1">
        <v>45219.438888888893</v>
      </c>
      <c r="C407" s="2">
        <v>45219.438888888893</v>
      </c>
      <c r="D407" t="s">
        <v>1390</v>
      </c>
      <c r="E407">
        <v>105</v>
      </c>
      <c r="F407" t="s">
        <v>737</v>
      </c>
      <c r="G407" t="b">
        <f>LEFT(Logs_Reseau_Part[[#This Row],[Cell_ID]],1)="A"</f>
        <v>1</v>
      </c>
    </row>
    <row r="408" spans="1:7" x14ac:dyDescent="0.3">
      <c r="A408" t="s">
        <v>825</v>
      </c>
      <c r="B408" s="1">
        <v>45219.420138888891</v>
      </c>
      <c r="C408" s="2">
        <v>45219.420138888891</v>
      </c>
      <c r="D408" t="s">
        <v>857</v>
      </c>
      <c r="E408">
        <v>63</v>
      </c>
      <c r="F408" t="s">
        <v>739</v>
      </c>
      <c r="G408" t="b">
        <f>LEFT(Logs_Reseau_Part[[#This Row],[Cell_ID]],1)="A"</f>
        <v>1</v>
      </c>
    </row>
    <row r="409" spans="1:7" x14ac:dyDescent="0.3">
      <c r="A409" t="s">
        <v>1140</v>
      </c>
      <c r="B409" s="1">
        <v>45219.301388888889</v>
      </c>
      <c r="C409" s="2">
        <v>45219.301388888889</v>
      </c>
      <c r="D409" t="s">
        <v>752</v>
      </c>
      <c r="E409">
        <v>65</v>
      </c>
      <c r="F409" t="s">
        <v>734</v>
      </c>
      <c r="G409" t="b">
        <f>LEFT(Logs_Reseau_Part[[#This Row],[Cell_ID]],1)="A"</f>
        <v>1</v>
      </c>
    </row>
    <row r="410" spans="1:7" x14ac:dyDescent="0.3">
      <c r="A410" t="s">
        <v>1026</v>
      </c>
      <c r="B410" s="1">
        <v>45219.181250000001</v>
      </c>
      <c r="C410" s="2">
        <v>45219.181250000001</v>
      </c>
      <c r="D410" t="s">
        <v>997</v>
      </c>
      <c r="E410">
        <v>97</v>
      </c>
      <c r="F410" t="s">
        <v>737</v>
      </c>
      <c r="G410" t="b">
        <f>LEFT(Logs_Reseau_Part[[#This Row],[Cell_ID]],1)="A"</f>
        <v>1</v>
      </c>
    </row>
    <row r="411" spans="1:7" x14ac:dyDescent="0.3">
      <c r="A411" t="s">
        <v>781</v>
      </c>
      <c r="B411" s="1">
        <v>45219.113194444442</v>
      </c>
      <c r="C411" s="2">
        <v>45219.113194444442</v>
      </c>
      <c r="D411" t="s">
        <v>811</v>
      </c>
      <c r="E411">
        <v>19</v>
      </c>
      <c r="F411" t="s">
        <v>734</v>
      </c>
      <c r="G411" t="b">
        <f>LEFT(Logs_Reseau_Part[[#This Row],[Cell_ID]],1)="A"</f>
        <v>1</v>
      </c>
    </row>
    <row r="412" spans="1:7" x14ac:dyDescent="0.3">
      <c r="A412" t="s">
        <v>1140</v>
      </c>
      <c r="B412" s="1">
        <v>45219.106249999997</v>
      </c>
      <c r="C412" s="2">
        <v>45219.106249999997</v>
      </c>
      <c r="D412" t="s">
        <v>1155</v>
      </c>
      <c r="E412">
        <v>87</v>
      </c>
      <c r="F412" t="s">
        <v>737</v>
      </c>
      <c r="G412" t="b">
        <f>LEFT(Logs_Reseau_Part[[#This Row],[Cell_ID]],1)="A"</f>
        <v>1</v>
      </c>
    </row>
    <row r="413" spans="1:7" x14ac:dyDescent="0.3">
      <c r="A413" t="s">
        <v>825</v>
      </c>
      <c r="B413" s="1">
        <v>45219.103472222218</v>
      </c>
      <c r="C413" s="2">
        <v>45219.103472222218</v>
      </c>
      <c r="D413" t="s">
        <v>862</v>
      </c>
      <c r="E413">
        <v>72</v>
      </c>
      <c r="F413" t="s">
        <v>737</v>
      </c>
      <c r="G413" t="b">
        <f>LEFT(Logs_Reseau_Part[[#This Row],[Cell_ID]],1)="A"</f>
        <v>1</v>
      </c>
    </row>
    <row r="414" spans="1:7" x14ac:dyDescent="0.3">
      <c r="A414" t="s">
        <v>781</v>
      </c>
      <c r="B414" s="1">
        <v>45219.101388888892</v>
      </c>
      <c r="C414" s="2">
        <v>45219.101388888892</v>
      </c>
      <c r="D414" t="s">
        <v>815</v>
      </c>
      <c r="E414">
        <v>75</v>
      </c>
      <c r="F414" t="s">
        <v>734</v>
      </c>
      <c r="G414" t="b">
        <f>LEFT(Logs_Reseau_Part[[#This Row],[Cell_ID]],1)="A"</f>
        <v>1</v>
      </c>
    </row>
    <row r="415" spans="1:7" x14ac:dyDescent="0.3">
      <c r="A415" t="s">
        <v>1406</v>
      </c>
      <c r="B415" s="1">
        <v>45219.095833333333</v>
      </c>
      <c r="C415" s="2">
        <v>45219.095833333333</v>
      </c>
      <c r="D415" t="s">
        <v>903</v>
      </c>
      <c r="E415">
        <v>113</v>
      </c>
      <c r="F415" t="s">
        <v>739</v>
      </c>
      <c r="G415" t="b">
        <f>LEFT(Logs_Reseau_Part[[#This Row],[Cell_ID]],1)="A"</f>
        <v>1</v>
      </c>
    </row>
    <row r="416" spans="1:7" x14ac:dyDescent="0.3">
      <c r="A416" t="s">
        <v>1026</v>
      </c>
      <c r="B416" s="1">
        <v>45219.076388888891</v>
      </c>
      <c r="C416" s="2">
        <v>45219.076388888891</v>
      </c>
      <c r="D416" t="s">
        <v>1042</v>
      </c>
      <c r="E416">
        <v>93</v>
      </c>
      <c r="F416" t="s">
        <v>739</v>
      </c>
      <c r="G416" t="b">
        <f>LEFT(Logs_Reseau_Part[[#This Row],[Cell_ID]],1)="A"</f>
        <v>1</v>
      </c>
    </row>
    <row r="417" spans="1:7" x14ac:dyDescent="0.3">
      <c r="A417" t="s">
        <v>1363</v>
      </c>
      <c r="B417" s="1">
        <v>45219.041666666657</v>
      </c>
      <c r="C417" s="2">
        <v>45219.041666666657</v>
      </c>
      <c r="D417" t="s">
        <v>897</v>
      </c>
      <c r="E417">
        <v>100</v>
      </c>
      <c r="F417" t="s">
        <v>739</v>
      </c>
      <c r="G417" t="b">
        <f>LEFT(Logs_Reseau_Part[[#This Row],[Cell_ID]],1)="A"</f>
        <v>1</v>
      </c>
    </row>
    <row r="418" spans="1:7" x14ac:dyDescent="0.3">
      <c r="A418" t="s">
        <v>1061</v>
      </c>
      <c r="B418" s="1">
        <v>45218.991666666669</v>
      </c>
      <c r="C418" s="2">
        <v>45218.991666666669</v>
      </c>
      <c r="D418" t="s">
        <v>1007</v>
      </c>
      <c r="E418">
        <v>82</v>
      </c>
      <c r="F418" t="s">
        <v>734</v>
      </c>
      <c r="G418" t="b">
        <f>LEFT(Logs_Reseau_Part[[#This Row],[Cell_ID]],1)="A"</f>
        <v>1</v>
      </c>
    </row>
    <row r="419" spans="1:7" x14ac:dyDescent="0.3">
      <c r="A419" t="s">
        <v>980</v>
      </c>
      <c r="B419" s="1">
        <v>45218.990277777782</v>
      </c>
      <c r="C419" s="2">
        <v>45218.990277777782</v>
      </c>
      <c r="D419" t="s">
        <v>983</v>
      </c>
      <c r="E419">
        <v>100</v>
      </c>
      <c r="F419" t="s">
        <v>734</v>
      </c>
      <c r="G419" t="b">
        <f>LEFT(Logs_Reseau_Part[[#This Row],[Cell_ID]],1)="A"</f>
        <v>1</v>
      </c>
    </row>
    <row r="420" spans="1:7" x14ac:dyDescent="0.3">
      <c r="A420" t="s">
        <v>1263</v>
      </c>
      <c r="B420" s="1">
        <v>45218.906944444447</v>
      </c>
      <c r="C420" s="2">
        <v>45218.906944444447</v>
      </c>
      <c r="D420" t="s">
        <v>962</v>
      </c>
      <c r="E420">
        <v>8</v>
      </c>
      <c r="F420" t="s">
        <v>739</v>
      </c>
      <c r="G420" t="b">
        <f>LEFT(Logs_Reseau_Part[[#This Row],[Cell_ID]],1)="A"</f>
        <v>1</v>
      </c>
    </row>
    <row r="421" spans="1:7" x14ac:dyDescent="0.3">
      <c r="A421" t="s">
        <v>1195</v>
      </c>
      <c r="B421" s="1">
        <v>45218.89166666667</v>
      </c>
      <c r="C421" s="2">
        <v>45218.89166666667</v>
      </c>
      <c r="D421" t="s">
        <v>814</v>
      </c>
      <c r="E421">
        <v>107</v>
      </c>
      <c r="F421" t="s">
        <v>737</v>
      </c>
      <c r="G421" t="b">
        <f>LEFT(Logs_Reseau_Part[[#This Row],[Cell_ID]],1)="A"</f>
        <v>1</v>
      </c>
    </row>
    <row r="422" spans="1:7" x14ac:dyDescent="0.3">
      <c r="A422" t="s">
        <v>863</v>
      </c>
      <c r="B422" s="1">
        <v>45218.875694444447</v>
      </c>
      <c r="C422" s="2">
        <v>45218.875694444447</v>
      </c>
      <c r="D422" t="s">
        <v>869</v>
      </c>
      <c r="E422">
        <v>39</v>
      </c>
      <c r="F422" t="s">
        <v>734</v>
      </c>
      <c r="G422" t="b">
        <f>LEFT(Logs_Reseau_Part[[#This Row],[Cell_ID]],1)="A"</f>
        <v>1</v>
      </c>
    </row>
    <row r="423" spans="1:7" x14ac:dyDescent="0.3">
      <c r="A423" t="s">
        <v>1347</v>
      </c>
      <c r="B423" s="1">
        <v>45218.794444444437</v>
      </c>
      <c r="C423" s="2">
        <v>45218.794444444437</v>
      </c>
      <c r="D423" t="s">
        <v>1351</v>
      </c>
      <c r="E423">
        <v>108</v>
      </c>
      <c r="F423" t="s">
        <v>734</v>
      </c>
      <c r="G423" t="b">
        <f>LEFT(Logs_Reseau_Part[[#This Row],[Cell_ID]],1)="A"</f>
        <v>1</v>
      </c>
    </row>
    <row r="424" spans="1:7" x14ac:dyDescent="0.3">
      <c r="A424" t="s">
        <v>781</v>
      </c>
      <c r="B424" s="1">
        <v>45218.793055555558</v>
      </c>
      <c r="C424" s="2">
        <v>45218.793055555558</v>
      </c>
      <c r="D424" t="s">
        <v>814</v>
      </c>
      <c r="E424">
        <v>100</v>
      </c>
      <c r="F424" t="s">
        <v>739</v>
      </c>
      <c r="G424" t="b">
        <f>LEFT(Logs_Reseau_Part[[#This Row],[Cell_ID]],1)="A"</f>
        <v>1</v>
      </c>
    </row>
    <row r="425" spans="1:7" x14ac:dyDescent="0.3">
      <c r="A425" t="s">
        <v>1001</v>
      </c>
      <c r="B425" s="1">
        <v>45218.675694444442</v>
      </c>
      <c r="C425" s="2">
        <v>45218.675694444442</v>
      </c>
      <c r="D425" t="s">
        <v>890</v>
      </c>
      <c r="E425">
        <v>37</v>
      </c>
      <c r="F425" t="s">
        <v>739</v>
      </c>
      <c r="G425" t="b">
        <f>LEFT(Logs_Reseau_Part[[#This Row],[Cell_ID]],1)="A"</f>
        <v>1</v>
      </c>
    </row>
    <row r="426" spans="1:7" x14ac:dyDescent="0.3">
      <c r="A426" t="s">
        <v>1384</v>
      </c>
      <c r="B426" s="1">
        <v>45218.665972222218</v>
      </c>
      <c r="C426" s="2">
        <v>45218.665972222218</v>
      </c>
      <c r="D426" t="s">
        <v>1389</v>
      </c>
      <c r="E426">
        <v>90</v>
      </c>
      <c r="F426" t="s">
        <v>739</v>
      </c>
      <c r="G426" t="b">
        <f>LEFT(Logs_Reseau_Part[[#This Row],[Cell_ID]],1)="A"</f>
        <v>1</v>
      </c>
    </row>
    <row r="427" spans="1:7" x14ac:dyDescent="0.3">
      <c r="A427" t="s">
        <v>1243</v>
      </c>
      <c r="B427" s="1">
        <v>45218.659722222219</v>
      </c>
      <c r="C427" s="2">
        <v>45218.659722222219</v>
      </c>
      <c r="D427" t="s">
        <v>1250</v>
      </c>
      <c r="E427">
        <v>24</v>
      </c>
      <c r="F427" t="s">
        <v>734</v>
      </c>
      <c r="G427" t="b">
        <f>LEFT(Logs_Reseau_Part[[#This Row],[Cell_ID]],1)="A"</f>
        <v>1</v>
      </c>
    </row>
    <row r="428" spans="1:7" x14ac:dyDescent="0.3">
      <c r="A428" t="s">
        <v>1001</v>
      </c>
      <c r="B428" s="1">
        <v>45218.647916666669</v>
      </c>
      <c r="C428" s="2">
        <v>45218.647916666669</v>
      </c>
      <c r="D428" t="s">
        <v>1023</v>
      </c>
      <c r="E428">
        <v>78</v>
      </c>
      <c r="F428" t="s">
        <v>734</v>
      </c>
      <c r="G428" t="b">
        <f>LEFT(Logs_Reseau_Part[[#This Row],[Cell_ID]],1)="A"</f>
        <v>1</v>
      </c>
    </row>
    <row r="429" spans="1:7" x14ac:dyDescent="0.3">
      <c r="A429" t="s">
        <v>781</v>
      </c>
      <c r="B429" s="1">
        <v>45218.635416666657</v>
      </c>
      <c r="C429" s="2">
        <v>45218.635416666657</v>
      </c>
      <c r="D429" t="s">
        <v>782</v>
      </c>
      <c r="E429">
        <v>17</v>
      </c>
      <c r="F429" t="s">
        <v>739</v>
      </c>
      <c r="G429" t="b">
        <f>LEFT(Logs_Reseau_Part[[#This Row],[Cell_ID]],1)="A"</f>
        <v>1</v>
      </c>
    </row>
    <row r="430" spans="1:7" x14ac:dyDescent="0.3">
      <c r="A430" t="s">
        <v>1116</v>
      </c>
      <c r="B430" s="1">
        <v>45218.631944444453</v>
      </c>
      <c r="C430" s="2">
        <v>45218.631944444453</v>
      </c>
      <c r="D430" t="s">
        <v>771</v>
      </c>
      <c r="E430">
        <v>42</v>
      </c>
      <c r="F430" t="s">
        <v>737</v>
      </c>
      <c r="G430" t="b">
        <f>LEFT(Logs_Reseau_Part[[#This Row],[Cell_ID]],1)="A"</f>
        <v>1</v>
      </c>
    </row>
    <row r="431" spans="1:7" x14ac:dyDescent="0.3">
      <c r="A431" t="s">
        <v>1347</v>
      </c>
      <c r="B431" s="1">
        <v>45218.589583333327</v>
      </c>
      <c r="C431" s="2">
        <v>45218.589583333327</v>
      </c>
      <c r="D431" t="s">
        <v>1248</v>
      </c>
      <c r="E431">
        <v>21</v>
      </c>
      <c r="F431" t="s">
        <v>734</v>
      </c>
      <c r="G431" t="b">
        <f>LEFT(Logs_Reseau_Part[[#This Row],[Cell_ID]],1)="A"</f>
        <v>1</v>
      </c>
    </row>
    <row r="432" spans="1:7" x14ac:dyDescent="0.3">
      <c r="A432" t="s">
        <v>1221</v>
      </c>
      <c r="B432" s="1">
        <v>45218.558333333327</v>
      </c>
      <c r="C432" s="2">
        <v>45218.558333333327</v>
      </c>
      <c r="D432" t="s">
        <v>926</v>
      </c>
      <c r="E432">
        <v>54</v>
      </c>
      <c r="F432" t="s">
        <v>739</v>
      </c>
      <c r="G432" t="b">
        <f>LEFT(Logs_Reseau_Part[[#This Row],[Cell_ID]],1)="A"</f>
        <v>1</v>
      </c>
    </row>
    <row r="433" spans="1:7" x14ac:dyDescent="0.3">
      <c r="A433" t="s">
        <v>1347</v>
      </c>
      <c r="B433" s="1">
        <v>45218.381944444453</v>
      </c>
      <c r="C433" s="2">
        <v>45218.381944444453</v>
      </c>
      <c r="D433" t="s">
        <v>741</v>
      </c>
      <c r="E433">
        <v>81</v>
      </c>
      <c r="F433" t="s">
        <v>737</v>
      </c>
      <c r="G433" t="b">
        <f>LEFT(Logs_Reseau_Part[[#This Row],[Cell_ID]],1)="A"</f>
        <v>1</v>
      </c>
    </row>
    <row r="434" spans="1:7" x14ac:dyDescent="0.3">
      <c r="A434" t="s">
        <v>904</v>
      </c>
      <c r="B434" s="1">
        <v>45218.378472222219</v>
      </c>
      <c r="C434" s="2">
        <v>45218.378472222219</v>
      </c>
      <c r="D434" t="s">
        <v>911</v>
      </c>
      <c r="E434">
        <v>102</v>
      </c>
      <c r="F434" t="s">
        <v>734</v>
      </c>
      <c r="G434" t="b">
        <f>LEFT(Logs_Reseau_Part[[#This Row],[Cell_ID]],1)="A"</f>
        <v>1</v>
      </c>
    </row>
    <row r="435" spans="1:7" x14ac:dyDescent="0.3">
      <c r="A435" t="s">
        <v>732</v>
      </c>
      <c r="B435" s="1">
        <v>45218.368750000001</v>
      </c>
      <c r="C435" s="2">
        <v>45218.368750000001</v>
      </c>
      <c r="D435" t="s">
        <v>747</v>
      </c>
      <c r="E435">
        <v>70</v>
      </c>
      <c r="F435" t="s">
        <v>734</v>
      </c>
      <c r="G435" t="b">
        <f>LEFT(Logs_Reseau_Part[[#This Row],[Cell_ID]],1)="A"</f>
        <v>1</v>
      </c>
    </row>
    <row r="436" spans="1:7" x14ac:dyDescent="0.3">
      <c r="A436" t="s">
        <v>1088</v>
      </c>
      <c r="B436" s="1">
        <v>45218.361805555563</v>
      </c>
      <c r="C436" s="2">
        <v>45218.361805555563</v>
      </c>
      <c r="D436" t="s">
        <v>778</v>
      </c>
      <c r="E436">
        <v>45</v>
      </c>
      <c r="F436" t="s">
        <v>739</v>
      </c>
      <c r="G436" t="b">
        <f>LEFT(Logs_Reseau_Part[[#This Row],[Cell_ID]],1)="A"</f>
        <v>1</v>
      </c>
    </row>
    <row r="437" spans="1:7" x14ac:dyDescent="0.3">
      <c r="A437" t="s">
        <v>825</v>
      </c>
      <c r="B437" s="1">
        <v>45218.334722222222</v>
      </c>
      <c r="C437" s="2">
        <v>45218.334722222222</v>
      </c>
      <c r="D437" t="s">
        <v>828</v>
      </c>
      <c r="E437">
        <v>85</v>
      </c>
      <c r="F437" t="s">
        <v>739</v>
      </c>
      <c r="G437" t="b">
        <f>LEFT(Logs_Reseau_Part[[#This Row],[Cell_ID]],1)="A"</f>
        <v>1</v>
      </c>
    </row>
    <row r="438" spans="1:7" x14ac:dyDescent="0.3">
      <c r="A438" t="s">
        <v>1406</v>
      </c>
      <c r="B438" s="1">
        <v>45218.331944444442</v>
      </c>
      <c r="C438" s="2">
        <v>45218.331944444442</v>
      </c>
      <c r="D438" t="s">
        <v>929</v>
      </c>
      <c r="E438">
        <v>15</v>
      </c>
      <c r="F438" t="s">
        <v>739</v>
      </c>
      <c r="G438" t="b">
        <f>LEFT(Logs_Reseau_Part[[#This Row],[Cell_ID]],1)="A"</f>
        <v>1</v>
      </c>
    </row>
    <row r="439" spans="1:7" x14ac:dyDescent="0.3">
      <c r="A439" t="s">
        <v>1243</v>
      </c>
      <c r="B439" s="1">
        <v>45218.314583333333</v>
      </c>
      <c r="C439" s="2">
        <v>45218.314583333333</v>
      </c>
      <c r="D439" t="s">
        <v>1257</v>
      </c>
      <c r="E439">
        <v>45</v>
      </c>
      <c r="F439" t="s">
        <v>734</v>
      </c>
      <c r="G439" t="b">
        <f>LEFT(Logs_Reseau_Part[[#This Row],[Cell_ID]],1)="A"</f>
        <v>1</v>
      </c>
    </row>
    <row r="440" spans="1:7" x14ac:dyDescent="0.3">
      <c r="A440" t="s">
        <v>1332</v>
      </c>
      <c r="B440" s="1">
        <v>45218.287499999999</v>
      </c>
      <c r="C440" s="2">
        <v>45218.287499999999</v>
      </c>
      <c r="D440" t="s">
        <v>1346</v>
      </c>
      <c r="E440">
        <v>71</v>
      </c>
      <c r="F440" t="s">
        <v>739</v>
      </c>
      <c r="G440" t="b">
        <f>LEFT(Logs_Reseau_Part[[#This Row],[Cell_ID]],1)="A"</f>
        <v>1</v>
      </c>
    </row>
    <row r="441" spans="1:7" x14ac:dyDescent="0.3">
      <c r="A441" t="s">
        <v>980</v>
      </c>
      <c r="B441" s="1">
        <v>45218.286111111112</v>
      </c>
      <c r="C441" s="2">
        <v>45218.286111111112</v>
      </c>
      <c r="D441" t="s">
        <v>996</v>
      </c>
      <c r="E441">
        <v>89</v>
      </c>
      <c r="F441" t="s">
        <v>734</v>
      </c>
      <c r="G441" t="b">
        <f>LEFT(Logs_Reseau_Part[[#This Row],[Cell_ID]],1)="A"</f>
        <v>1</v>
      </c>
    </row>
    <row r="442" spans="1:7" x14ac:dyDescent="0.3">
      <c r="A442" t="s">
        <v>863</v>
      </c>
      <c r="B442" s="1">
        <v>45218.270138888889</v>
      </c>
      <c r="C442" s="2">
        <v>45218.270138888889</v>
      </c>
      <c r="D442" t="s">
        <v>883</v>
      </c>
      <c r="E442">
        <v>40</v>
      </c>
      <c r="F442" t="s">
        <v>737</v>
      </c>
      <c r="G442" t="b">
        <f>LEFT(Logs_Reseau_Part[[#This Row],[Cell_ID]],1)="A"</f>
        <v>1</v>
      </c>
    </row>
    <row r="443" spans="1:7" x14ac:dyDescent="0.3">
      <c r="A443" t="s">
        <v>1088</v>
      </c>
      <c r="B443" s="1">
        <v>45218.242361111108</v>
      </c>
      <c r="C443" s="2">
        <v>45218.242361111108</v>
      </c>
      <c r="D443" t="s">
        <v>942</v>
      </c>
      <c r="E443">
        <v>64</v>
      </c>
      <c r="F443" t="s">
        <v>734</v>
      </c>
      <c r="G443" t="b">
        <f>LEFT(Logs_Reseau_Part[[#This Row],[Cell_ID]],1)="A"</f>
        <v>1</v>
      </c>
    </row>
    <row r="444" spans="1:7" x14ac:dyDescent="0.3">
      <c r="A444" t="s">
        <v>1384</v>
      </c>
      <c r="B444" s="1">
        <v>45218.240277777782</v>
      </c>
      <c r="C444" s="2">
        <v>45218.240277777782</v>
      </c>
      <c r="D444" t="s">
        <v>869</v>
      </c>
      <c r="E444">
        <v>53</v>
      </c>
      <c r="F444" t="s">
        <v>739</v>
      </c>
      <c r="G444" t="b">
        <f>LEFT(Logs_Reseau_Part[[#This Row],[Cell_ID]],1)="A"</f>
        <v>1</v>
      </c>
    </row>
    <row r="445" spans="1:7" x14ac:dyDescent="0.3">
      <c r="A445" t="s">
        <v>1140</v>
      </c>
      <c r="B445" s="1">
        <v>45218.127083333333</v>
      </c>
      <c r="C445" s="2">
        <v>45218.127083333333</v>
      </c>
      <c r="D445" t="s">
        <v>1009</v>
      </c>
      <c r="E445">
        <v>58</v>
      </c>
      <c r="F445" t="s">
        <v>737</v>
      </c>
      <c r="G445" t="b">
        <f>LEFT(Logs_Reseau_Part[[#This Row],[Cell_ID]],1)="A"</f>
        <v>1</v>
      </c>
    </row>
    <row r="446" spans="1:7" x14ac:dyDescent="0.3">
      <c r="A446" t="s">
        <v>1088</v>
      </c>
      <c r="B446" s="1">
        <v>45218.088888888888</v>
      </c>
      <c r="C446" s="2">
        <v>45218.088888888888</v>
      </c>
      <c r="D446" t="s">
        <v>1078</v>
      </c>
      <c r="E446">
        <v>12</v>
      </c>
      <c r="F446" t="s">
        <v>739</v>
      </c>
      <c r="G446" t="b">
        <f>LEFT(Logs_Reseau_Part[[#This Row],[Cell_ID]],1)="A"</f>
        <v>1</v>
      </c>
    </row>
    <row r="447" spans="1:7" x14ac:dyDescent="0.3">
      <c r="A447" t="s">
        <v>863</v>
      </c>
      <c r="B447" s="1">
        <v>45218.056944444441</v>
      </c>
      <c r="C447" s="2">
        <v>45218.056944444441</v>
      </c>
      <c r="D447" t="s">
        <v>897</v>
      </c>
      <c r="E447">
        <v>46</v>
      </c>
      <c r="F447" t="s">
        <v>739</v>
      </c>
      <c r="G447" t="b">
        <f>LEFT(Logs_Reseau_Part[[#This Row],[Cell_ID]],1)="A"</f>
        <v>1</v>
      </c>
    </row>
    <row r="448" spans="1:7" x14ac:dyDescent="0.3">
      <c r="A448" t="s">
        <v>1243</v>
      </c>
      <c r="B448" s="1">
        <v>45218.038194444453</v>
      </c>
      <c r="C448" s="2">
        <v>45218.038194444453</v>
      </c>
      <c r="D448" t="s">
        <v>811</v>
      </c>
      <c r="E448">
        <v>6</v>
      </c>
      <c r="F448" t="s">
        <v>734</v>
      </c>
      <c r="G448" t="b">
        <f>LEFT(Logs_Reseau_Part[[#This Row],[Cell_ID]],1)="A"</f>
        <v>1</v>
      </c>
    </row>
    <row r="449" spans="1:7" x14ac:dyDescent="0.3">
      <c r="A449" t="s">
        <v>1140</v>
      </c>
      <c r="B449" s="1">
        <v>45218.011111111111</v>
      </c>
      <c r="C449" s="2">
        <v>45218.011111111111</v>
      </c>
      <c r="D449" t="s">
        <v>1146</v>
      </c>
      <c r="E449">
        <v>59</v>
      </c>
      <c r="F449" t="s">
        <v>734</v>
      </c>
      <c r="G449" t="b">
        <f>LEFT(Logs_Reseau_Part[[#This Row],[Cell_ID]],1)="A"</f>
        <v>1</v>
      </c>
    </row>
    <row r="450" spans="1:7" x14ac:dyDescent="0.3">
      <c r="A450" t="s">
        <v>1332</v>
      </c>
      <c r="B450" s="1">
        <v>45218.007638888892</v>
      </c>
      <c r="C450" s="2">
        <v>45218.007638888892</v>
      </c>
      <c r="D450" t="s">
        <v>845</v>
      </c>
      <c r="E450">
        <v>44</v>
      </c>
      <c r="F450" t="s">
        <v>737</v>
      </c>
      <c r="G450" t="b">
        <f>LEFT(Logs_Reseau_Part[[#This Row],[Cell_ID]],1)="A"</f>
        <v>1</v>
      </c>
    </row>
    <row r="451" spans="1:7" x14ac:dyDescent="0.3">
      <c r="A451" t="s">
        <v>1310</v>
      </c>
      <c r="B451" s="1">
        <v>45217.999305555553</v>
      </c>
      <c r="C451" s="2">
        <v>45217.999305555553</v>
      </c>
      <c r="D451" t="s">
        <v>1040</v>
      </c>
      <c r="E451">
        <v>38</v>
      </c>
      <c r="F451" t="s">
        <v>737</v>
      </c>
      <c r="G451" t="b">
        <f>LEFT(Logs_Reseau_Part[[#This Row],[Cell_ID]],1)="A"</f>
        <v>1</v>
      </c>
    </row>
    <row r="452" spans="1:7" x14ac:dyDescent="0.3">
      <c r="A452" t="s">
        <v>732</v>
      </c>
      <c r="B452" s="1">
        <v>45217.96875</v>
      </c>
      <c r="C452" s="2">
        <v>45217.96875</v>
      </c>
      <c r="D452" t="s">
        <v>769</v>
      </c>
      <c r="E452">
        <v>97</v>
      </c>
      <c r="F452" t="s">
        <v>737</v>
      </c>
      <c r="G452" t="b">
        <f>LEFT(Logs_Reseau_Part[[#This Row],[Cell_ID]],1)="A"</f>
        <v>1</v>
      </c>
    </row>
    <row r="453" spans="1:7" x14ac:dyDescent="0.3">
      <c r="A453" t="s">
        <v>1384</v>
      </c>
      <c r="B453" s="1">
        <v>45217.944444444453</v>
      </c>
      <c r="C453" s="2">
        <v>45217.944444444453</v>
      </c>
      <c r="D453" t="s">
        <v>1396</v>
      </c>
      <c r="E453">
        <v>33</v>
      </c>
      <c r="F453" t="s">
        <v>734</v>
      </c>
      <c r="G453" t="b">
        <f>LEFT(Logs_Reseau_Part[[#This Row],[Cell_ID]],1)="A"</f>
        <v>1</v>
      </c>
    </row>
    <row r="454" spans="1:7" x14ac:dyDescent="0.3">
      <c r="A454" t="s">
        <v>1026</v>
      </c>
      <c r="B454" s="1">
        <v>45217.89166666667</v>
      </c>
      <c r="C454" s="2">
        <v>45217.89166666667</v>
      </c>
      <c r="D454" t="s">
        <v>1043</v>
      </c>
      <c r="E454">
        <v>108</v>
      </c>
      <c r="F454" t="s">
        <v>739</v>
      </c>
      <c r="G454" t="b">
        <f>LEFT(Logs_Reseau_Part[[#This Row],[Cell_ID]],1)="A"</f>
        <v>1</v>
      </c>
    </row>
    <row r="455" spans="1:7" x14ac:dyDescent="0.3">
      <c r="A455" t="s">
        <v>1167</v>
      </c>
      <c r="B455" s="1">
        <v>45217.863194444442</v>
      </c>
      <c r="C455" s="2">
        <v>45217.863194444442</v>
      </c>
      <c r="D455" t="s">
        <v>1193</v>
      </c>
      <c r="E455">
        <v>89</v>
      </c>
      <c r="F455" t="s">
        <v>734</v>
      </c>
      <c r="G455" t="b">
        <f>LEFT(Logs_Reseau_Part[[#This Row],[Cell_ID]],1)="A"</f>
        <v>1</v>
      </c>
    </row>
    <row r="456" spans="1:7" x14ac:dyDescent="0.3">
      <c r="A456" t="s">
        <v>1001</v>
      </c>
      <c r="B456" s="1">
        <v>45217.818749999999</v>
      </c>
      <c r="C456" s="2">
        <v>45217.818749999999</v>
      </c>
      <c r="D456" t="s">
        <v>872</v>
      </c>
      <c r="E456">
        <v>100</v>
      </c>
      <c r="F456" t="s">
        <v>734</v>
      </c>
      <c r="G456" t="b">
        <f>LEFT(Logs_Reseau_Part[[#This Row],[Cell_ID]],1)="A"</f>
        <v>1</v>
      </c>
    </row>
    <row r="457" spans="1:7" x14ac:dyDescent="0.3">
      <c r="A457" t="s">
        <v>1167</v>
      </c>
      <c r="B457" s="1">
        <v>45217.775694444441</v>
      </c>
      <c r="C457" s="2">
        <v>45217.775694444441</v>
      </c>
      <c r="D457" t="s">
        <v>892</v>
      </c>
      <c r="E457">
        <v>84</v>
      </c>
      <c r="F457" t="s">
        <v>734</v>
      </c>
      <c r="G457" t="b">
        <f>LEFT(Logs_Reseau_Part[[#This Row],[Cell_ID]],1)="A"</f>
        <v>1</v>
      </c>
    </row>
    <row r="458" spans="1:7" x14ac:dyDescent="0.3">
      <c r="A458" t="s">
        <v>1243</v>
      </c>
      <c r="B458" s="1">
        <v>45217.755555555559</v>
      </c>
      <c r="C458" s="2">
        <v>45217.755555555559</v>
      </c>
      <c r="D458" t="s">
        <v>1249</v>
      </c>
      <c r="E458">
        <v>100</v>
      </c>
      <c r="F458" t="s">
        <v>734</v>
      </c>
      <c r="G458" t="b">
        <f>LEFT(Logs_Reseau_Part[[#This Row],[Cell_ID]],1)="A"</f>
        <v>1</v>
      </c>
    </row>
    <row r="459" spans="1:7" x14ac:dyDescent="0.3">
      <c r="A459" t="s">
        <v>1061</v>
      </c>
      <c r="B459" s="1">
        <v>45217.701388888891</v>
      </c>
      <c r="C459" s="2">
        <v>45217.701388888891</v>
      </c>
      <c r="D459" t="s">
        <v>872</v>
      </c>
      <c r="E459">
        <v>71</v>
      </c>
      <c r="F459" t="s">
        <v>737</v>
      </c>
      <c r="G459" t="b">
        <f>LEFT(Logs_Reseau_Part[[#This Row],[Cell_ID]],1)="A"</f>
        <v>1</v>
      </c>
    </row>
    <row r="460" spans="1:7" x14ac:dyDescent="0.3">
      <c r="A460" t="s">
        <v>1195</v>
      </c>
      <c r="B460" s="1">
        <v>45217.68472222222</v>
      </c>
      <c r="C460" s="2">
        <v>45217.68472222222</v>
      </c>
      <c r="D460" t="s">
        <v>933</v>
      </c>
      <c r="E460">
        <v>43</v>
      </c>
      <c r="F460" t="s">
        <v>734</v>
      </c>
      <c r="G460" t="b">
        <f>LEFT(Logs_Reseau_Part[[#This Row],[Cell_ID]],1)="A"</f>
        <v>1</v>
      </c>
    </row>
    <row r="461" spans="1:7" x14ac:dyDescent="0.3">
      <c r="A461" t="s">
        <v>1290</v>
      </c>
      <c r="B461" s="1">
        <v>45217.640277777777</v>
      </c>
      <c r="C461" s="2">
        <v>45217.640277777777</v>
      </c>
      <c r="D461" t="s">
        <v>1308</v>
      </c>
      <c r="E461">
        <v>113</v>
      </c>
      <c r="F461" t="s">
        <v>739</v>
      </c>
      <c r="G461" t="b">
        <f>LEFT(Logs_Reseau_Part[[#This Row],[Cell_ID]],1)="A"</f>
        <v>1</v>
      </c>
    </row>
    <row r="462" spans="1:7" x14ac:dyDescent="0.3">
      <c r="A462" t="s">
        <v>1290</v>
      </c>
      <c r="B462" s="1">
        <v>45217.627083333333</v>
      </c>
      <c r="C462" s="2">
        <v>45217.627083333333</v>
      </c>
      <c r="D462" t="s">
        <v>883</v>
      </c>
      <c r="E462">
        <v>33</v>
      </c>
      <c r="F462" t="s">
        <v>734</v>
      </c>
      <c r="G462" t="b">
        <f>LEFT(Logs_Reseau_Part[[#This Row],[Cell_ID]],1)="A"</f>
        <v>1</v>
      </c>
    </row>
    <row r="463" spans="1:7" x14ac:dyDescent="0.3">
      <c r="A463" t="s">
        <v>1384</v>
      </c>
      <c r="B463" s="1">
        <v>45217.578472222223</v>
      </c>
      <c r="C463" s="2">
        <v>45217.578472222223</v>
      </c>
      <c r="D463" t="s">
        <v>1388</v>
      </c>
      <c r="E463">
        <v>93</v>
      </c>
      <c r="F463" t="s">
        <v>737</v>
      </c>
      <c r="G463" t="b">
        <f>LEFT(Logs_Reseau_Part[[#This Row],[Cell_ID]],1)="A"</f>
        <v>1</v>
      </c>
    </row>
    <row r="464" spans="1:7" x14ac:dyDescent="0.3">
      <c r="A464" t="s">
        <v>863</v>
      </c>
      <c r="B464" s="1">
        <v>45217.570833333331</v>
      </c>
      <c r="C464" s="2">
        <v>45217.570833333331</v>
      </c>
      <c r="D464" t="s">
        <v>898</v>
      </c>
      <c r="E464">
        <v>28</v>
      </c>
      <c r="F464" t="s">
        <v>734</v>
      </c>
      <c r="G464" t="b">
        <f>LEFT(Logs_Reseau_Part[[#This Row],[Cell_ID]],1)="A"</f>
        <v>1</v>
      </c>
    </row>
    <row r="465" spans="1:7" x14ac:dyDescent="0.3">
      <c r="A465" t="s">
        <v>1243</v>
      </c>
      <c r="B465" s="1">
        <v>45217.509027777778</v>
      </c>
      <c r="C465" s="2">
        <v>45217.509027777778</v>
      </c>
      <c r="D465" t="s">
        <v>740</v>
      </c>
      <c r="E465">
        <v>49</v>
      </c>
      <c r="F465" t="s">
        <v>734</v>
      </c>
      <c r="G465" t="b">
        <f>LEFT(Logs_Reseau_Part[[#This Row],[Cell_ID]],1)="A"</f>
        <v>1</v>
      </c>
    </row>
    <row r="466" spans="1:7" x14ac:dyDescent="0.3">
      <c r="A466" t="s">
        <v>1310</v>
      </c>
      <c r="B466" s="1">
        <v>45217.504166666673</v>
      </c>
      <c r="C466" s="2">
        <v>45217.504166666673</v>
      </c>
      <c r="D466" t="s">
        <v>1042</v>
      </c>
      <c r="E466">
        <v>55</v>
      </c>
      <c r="F466" t="s">
        <v>739</v>
      </c>
      <c r="G466" t="b">
        <f>LEFT(Logs_Reseau_Part[[#This Row],[Cell_ID]],1)="A"</f>
        <v>1</v>
      </c>
    </row>
    <row r="467" spans="1:7" x14ac:dyDescent="0.3">
      <c r="A467" t="s">
        <v>1116</v>
      </c>
      <c r="B467" s="1">
        <v>45217.488194444442</v>
      </c>
      <c r="C467" s="2">
        <v>45217.488194444442</v>
      </c>
      <c r="D467" t="s">
        <v>1133</v>
      </c>
      <c r="E467">
        <v>94</v>
      </c>
      <c r="F467" t="s">
        <v>734</v>
      </c>
      <c r="G467" t="b">
        <f>LEFT(Logs_Reseau_Part[[#This Row],[Cell_ID]],1)="A"</f>
        <v>1</v>
      </c>
    </row>
    <row r="468" spans="1:7" x14ac:dyDescent="0.3">
      <c r="A468" t="s">
        <v>1332</v>
      </c>
      <c r="B468" s="1">
        <v>45217.473611111112</v>
      </c>
      <c r="C468" s="2">
        <v>45217.473611111112</v>
      </c>
      <c r="D468" t="s">
        <v>871</v>
      </c>
      <c r="E468">
        <v>37</v>
      </c>
      <c r="F468" t="s">
        <v>739</v>
      </c>
      <c r="G468" t="b">
        <f>LEFT(Logs_Reseau_Part[[#This Row],[Cell_ID]],1)="A"</f>
        <v>1</v>
      </c>
    </row>
    <row r="469" spans="1:7" x14ac:dyDescent="0.3">
      <c r="A469" t="s">
        <v>1088</v>
      </c>
      <c r="B469" s="1">
        <v>45217.414583333331</v>
      </c>
      <c r="C469" s="2">
        <v>45217.414583333331</v>
      </c>
      <c r="D469" t="s">
        <v>850</v>
      </c>
      <c r="E469">
        <v>74</v>
      </c>
      <c r="F469" t="s">
        <v>739</v>
      </c>
      <c r="G469" t="b">
        <f>LEFT(Logs_Reseau_Part[[#This Row],[Cell_ID]],1)="A"</f>
        <v>1</v>
      </c>
    </row>
    <row r="470" spans="1:7" x14ac:dyDescent="0.3">
      <c r="A470" t="s">
        <v>732</v>
      </c>
      <c r="B470" s="1">
        <v>45217.411805555559</v>
      </c>
      <c r="C470" s="2">
        <v>45217.411805555559</v>
      </c>
      <c r="D470" t="s">
        <v>757</v>
      </c>
      <c r="E470">
        <v>92</v>
      </c>
      <c r="F470" t="s">
        <v>739</v>
      </c>
      <c r="G470" t="b">
        <f>LEFT(Logs_Reseau_Part[[#This Row],[Cell_ID]],1)="A"</f>
        <v>1</v>
      </c>
    </row>
    <row r="471" spans="1:7" x14ac:dyDescent="0.3">
      <c r="A471" t="s">
        <v>1116</v>
      </c>
      <c r="B471" s="1">
        <v>45217.384722222218</v>
      </c>
      <c r="C471" s="2">
        <v>45217.384722222218</v>
      </c>
      <c r="D471" t="s">
        <v>1136</v>
      </c>
      <c r="E471">
        <v>99</v>
      </c>
      <c r="F471" t="s">
        <v>737</v>
      </c>
      <c r="G471" t="b">
        <f>LEFT(Logs_Reseau_Part[[#This Row],[Cell_ID]],1)="A"</f>
        <v>1</v>
      </c>
    </row>
    <row r="472" spans="1:7" x14ac:dyDescent="0.3">
      <c r="A472" t="s">
        <v>980</v>
      </c>
      <c r="B472" s="1">
        <v>45217.368750000001</v>
      </c>
      <c r="C472" s="2">
        <v>45217.368750000001</v>
      </c>
      <c r="D472" t="s">
        <v>997</v>
      </c>
      <c r="E472">
        <v>8</v>
      </c>
      <c r="F472" t="s">
        <v>734</v>
      </c>
      <c r="G472" t="b">
        <f>LEFT(Logs_Reseau_Part[[#This Row],[Cell_ID]],1)="A"</f>
        <v>1</v>
      </c>
    </row>
    <row r="473" spans="1:7" x14ac:dyDescent="0.3">
      <c r="A473" t="s">
        <v>1384</v>
      </c>
      <c r="B473" s="1">
        <v>45217.324305555558</v>
      </c>
      <c r="C473" s="2">
        <v>45217.324305555558</v>
      </c>
      <c r="D473" t="s">
        <v>1404</v>
      </c>
      <c r="E473">
        <v>14</v>
      </c>
      <c r="F473" t="s">
        <v>737</v>
      </c>
      <c r="G473" t="b">
        <f>LEFT(Logs_Reseau_Part[[#This Row],[Cell_ID]],1)="A"</f>
        <v>1</v>
      </c>
    </row>
    <row r="474" spans="1:7" x14ac:dyDescent="0.3">
      <c r="A474" t="s">
        <v>732</v>
      </c>
      <c r="B474" s="1">
        <v>45217.321527777778</v>
      </c>
      <c r="C474" s="2">
        <v>45217.321527777778</v>
      </c>
      <c r="D474" t="s">
        <v>772</v>
      </c>
      <c r="E474">
        <v>118</v>
      </c>
      <c r="F474" t="s">
        <v>737</v>
      </c>
      <c r="G474" t="b">
        <f>LEFT(Logs_Reseau_Part[[#This Row],[Cell_ID]],1)="A"</f>
        <v>1</v>
      </c>
    </row>
    <row r="475" spans="1:7" x14ac:dyDescent="0.3">
      <c r="A475" t="s">
        <v>1290</v>
      </c>
      <c r="B475" s="1">
        <v>45217.29583333333</v>
      </c>
      <c r="C475" s="2">
        <v>45217.29583333333</v>
      </c>
      <c r="D475" t="s">
        <v>1292</v>
      </c>
      <c r="E475">
        <v>119</v>
      </c>
      <c r="F475" t="s">
        <v>734</v>
      </c>
      <c r="G475" t="b">
        <f>LEFT(Logs_Reseau_Part[[#This Row],[Cell_ID]],1)="A"</f>
        <v>1</v>
      </c>
    </row>
    <row r="476" spans="1:7" x14ac:dyDescent="0.3">
      <c r="A476" t="s">
        <v>732</v>
      </c>
      <c r="B476" s="1">
        <v>45217.28125</v>
      </c>
      <c r="C476" s="2">
        <v>45217.28125</v>
      </c>
      <c r="D476" t="s">
        <v>744</v>
      </c>
      <c r="E476">
        <v>51</v>
      </c>
      <c r="F476" t="s">
        <v>737</v>
      </c>
      <c r="G476" t="b">
        <f>LEFT(Logs_Reseau_Part[[#This Row],[Cell_ID]],1)="A"</f>
        <v>1</v>
      </c>
    </row>
    <row r="477" spans="1:7" x14ac:dyDescent="0.3">
      <c r="A477" t="s">
        <v>1088</v>
      </c>
      <c r="B477" s="1">
        <v>45217.193749999999</v>
      </c>
      <c r="C477" s="2">
        <v>45217.193749999999</v>
      </c>
      <c r="D477" t="s">
        <v>1042</v>
      </c>
      <c r="E477">
        <v>56</v>
      </c>
      <c r="F477" t="s">
        <v>734</v>
      </c>
      <c r="G477" t="b">
        <f>LEFT(Logs_Reseau_Part[[#This Row],[Cell_ID]],1)="A"</f>
        <v>1</v>
      </c>
    </row>
    <row r="478" spans="1:7" x14ac:dyDescent="0.3">
      <c r="A478" t="s">
        <v>825</v>
      </c>
      <c r="B478" s="1">
        <v>45217.175000000003</v>
      </c>
      <c r="C478" s="2">
        <v>45217.175000000003</v>
      </c>
      <c r="D478" t="s">
        <v>845</v>
      </c>
      <c r="E478">
        <v>18</v>
      </c>
      <c r="F478" t="s">
        <v>739</v>
      </c>
      <c r="G478" t="b">
        <f>LEFT(Logs_Reseau_Part[[#This Row],[Cell_ID]],1)="A"</f>
        <v>1</v>
      </c>
    </row>
    <row r="479" spans="1:7" x14ac:dyDescent="0.3">
      <c r="A479" t="s">
        <v>1140</v>
      </c>
      <c r="B479" s="1">
        <v>45217.173611111109</v>
      </c>
      <c r="C479" s="2">
        <v>45217.173611111109</v>
      </c>
      <c r="D479" t="s">
        <v>868</v>
      </c>
      <c r="E479">
        <v>53</v>
      </c>
      <c r="F479" t="s">
        <v>737</v>
      </c>
      <c r="G479" t="b">
        <f>LEFT(Logs_Reseau_Part[[#This Row],[Cell_ID]],1)="A"</f>
        <v>1</v>
      </c>
    </row>
    <row r="480" spans="1:7" x14ac:dyDescent="0.3">
      <c r="A480" t="s">
        <v>732</v>
      </c>
      <c r="B480" s="1">
        <v>45217.109027777777</v>
      </c>
      <c r="C480" s="2">
        <v>45217.109027777777</v>
      </c>
      <c r="D480" t="s">
        <v>740</v>
      </c>
      <c r="E480">
        <v>59</v>
      </c>
      <c r="F480" t="s">
        <v>734</v>
      </c>
      <c r="G480" t="b">
        <f>LEFT(Logs_Reseau_Part[[#This Row],[Cell_ID]],1)="A"</f>
        <v>1</v>
      </c>
    </row>
    <row r="481" spans="1:7" x14ac:dyDescent="0.3">
      <c r="A481" t="s">
        <v>941</v>
      </c>
      <c r="B481" s="1">
        <v>45217.068749999999</v>
      </c>
      <c r="C481" s="2">
        <v>45217.068749999999</v>
      </c>
      <c r="D481" t="s">
        <v>959</v>
      </c>
      <c r="E481">
        <v>77</v>
      </c>
      <c r="F481" t="s">
        <v>739</v>
      </c>
      <c r="G481" t="b">
        <f>LEFT(Logs_Reseau_Part[[#This Row],[Cell_ID]],1)="A"</f>
        <v>1</v>
      </c>
    </row>
    <row r="482" spans="1:7" x14ac:dyDescent="0.3">
      <c r="A482" t="s">
        <v>1406</v>
      </c>
      <c r="B482" s="1">
        <v>45217.02847222222</v>
      </c>
      <c r="C482" s="2">
        <v>45217.02847222222</v>
      </c>
      <c r="D482" t="s">
        <v>1047</v>
      </c>
      <c r="E482">
        <v>120</v>
      </c>
      <c r="F482" t="s">
        <v>739</v>
      </c>
      <c r="G482" t="b">
        <f>LEFT(Logs_Reseau_Part[[#This Row],[Cell_ID]],1)="A"</f>
        <v>1</v>
      </c>
    </row>
    <row r="483" spans="1:7" x14ac:dyDescent="0.3">
      <c r="A483" t="s">
        <v>1061</v>
      </c>
      <c r="B483" s="1">
        <v>45217.027777777781</v>
      </c>
      <c r="C483" s="2">
        <v>45217.027777777781</v>
      </c>
      <c r="D483" t="s">
        <v>915</v>
      </c>
      <c r="E483">
        <v>54</v>
      </c>
      <c r="F483" t="s">
        <v>737</v>
      </c>
      <c r="G483" t="b">
        <f>LEFT(Logs_Reseau_Part[[#This Row],[Cell_ID]],1)="A"</f>
        <v>1</v>
      </c>
    </row>
    <row r="484" spans="1:7" x14ac:dyDescent="0.3">
      <c r="A484" t="s">
        <v>1243</v>
      </c>
      <c r="B484" s="1">
        <v>45216.970138888893</v>
      </c>
      <c r="C484" s="2">
        <v>45216.970138888893</v>
      </c>
      <c r="D484" t="s">
        <v>1059</v>
      </c>
      <c r="E484">
        <v>13</v>
      </c>
      <c r="F484" t="s">
        <v>739</v>
      </c>
      <c r="G484" t="b">
        <f>LEFT(Logs_Reseau_Part[[#This Row],[Cell_ID]],1)="A"</f>
        <v>1</v>
      </c>
    </row>
    <row r="485" spans="1:7" x14ac:dyDescent="0.3">
      <c r="A485" t="s">
        <v>1384</v>
      </c>
      <c r="B485" s="1">
        <v>45216.960416666669</v>
      </c>
      <c r="C485" s="2">
        <v>45216.960416666669</v>
      </c>
      <c r="D485" t="s">
        <v>1387</v>
      </c>
      <c r="E485">
        <v>41</v>
      </c>
      <c r="F485" t="s">
        <v>737</v>
      </c>
      <c r="G485" t="b">
        <f>LEFT(Logs_Reseau_Part[[#This Row],[Cell_ID]],1)="A"</f>
        <v>1</v>
      </c>
    </row>
    <row r="486" spans="1:7" x14ac:dyDescent="0.3">
      <c r="A486" t="s">
        <v>1140</v>
      </c>
      <c r="B486" s="1">
        <v>45216.950694444437</v>
      </c>
      <c r="C486" s="2">
        <v>45216.950694444437</v>
      </c>
      <c r="D486" t="s">
        <v>735</v>
      </c>
      <c r="E486">
        <v>12</v>
      </c>
      <c r="F486" t="s">
        <v>734</v>
      </c>
      <c r="G486" t="b">
        <f>LEFT(Logs_Reseau_Part[[#This Row],[Cell_ID]],1)="A"</f>
        <v>1</v>
      </c>
    </row>
    <row r="487" spans="1:7" x14ac:dyDescent="0.3">
      <c r="A487" t="s">
        <v>825</v>
      </c>
      <c r="B487" s="1">
        <v>45216.902777777781</v>
      </c>
      <c r="C487" s="2">
        <v>45216.902777777781</v>
      </c>
      <c r="D487" t="s">
        <v>856</v>
      </c>
      <c r="E487">
        <v>20</v>
      </c>
      <c r="F487" t="s">
        <v>739</v>
      </c>
      <c r="G487" t="b">
        <f>LEFT(Logs_Reseau_Part[[#This Row],[Cell_ID]],1)="A"</f>
        <v>1</v>
      </c>
    </row>
    <row r="488" spans="1:7" x14ac:dyDescent="0.3">
      <c r="A488" t="s">
        <v>1116</v>
      </c>
      <c r="B488" s="1">
        <v>45216.865277777782</v>
      </c>
      <c r="C488" s="2">
        <v>45216.865277777782</v>
      </c>
      <c r="D488" t="s">
        <v>1127</v>
      </c>
      <c r="E488">
        <v>10</v>
      </c>
      <c r="F488" t="s">
        <v>737</v>
      </c>
      <c r="G488" t="b">
        <f>LEFT(Logs_Reseau_Part[[#This Row],[Cell_ID]],1)="A"</f>
        <v>1</v>
      </c>
    </row>
    <row r="489" spans="1:7" x14ac:dyDescent="0.3">
      <c r="A489" t="s">
        <v>732</v>
      </c>
      <c r="B489" s="1">
        <v>45216.792361111111</v>
      </c>
      <c r="C489" s="2">
        <v>45216.792361111111</v>
      </c>
      <c r="D489" t="s">
        <v>743</v>
      </c>
      <c r="E489">
        <v>56</v>
      </c>
      <c r="F489" t="s">
        <v>734</v>
      </c>
      <c r="G489" t="b">
        <f>LEFT(Logs_Reseau_Part[[#This Row],[Cell_ID]],1)="A"</f>
        <v>1</v>
      </c>
    </row>
    <row r="490" spans="1:7" x14ac:dyDescent="0.3">
      <c r="A490" t="s">
        <v>941</v>
      </c>
      <c r="B490" s="1">
        <v>45216.76458333333</v>
      </c>
      <c r="C490" s="2">
        <v>45216.76458333333</v>
      </c>
      <c r="D490" t="s">
        <v>812</v>
      </c>
      <c r="E490">
        <v>53</v>
      </c>
      <c r="F490" t="s">
        <v>737</v>
      </c>
      <c r="G490" t="b">
        <f>LEFT(Logs_Reseau_Part[[#This Row],[Cell_ID]],1)="A"</f>
        <v>1</v>
      </c>
    </row>
    <row r="491" spans="1:7" x14ac:dyDescent="0.3">
      <c r="A491" t="s">
        <v>1061</v>
      </c>
      <c r="B491" s="1">
        <v>45216.760416666657</v>
      </c>
      <c r="C491" s="2">
        <v>45216.760416666657</v>
      </c>
      <c r="D491" t="s">
        <v>1065</v>
      </c>
      <c r="E491">
        <v>48</v>
      </c>
      <c r="F491" t="s">
        <v>734</v>
      </c>
      <c r="G491" t="b">
        <f>LEFT(Logs_Reseau_Part[[#This Row],[Cell_ID]],1)="A"</f>
        <v>1</v>
      </c>
    </row>
    <row r="492" spans="1:7" x14ac:dyDescent="0.3">
      <c r="A492" t="s">
        <v>904</v>
      </c>
      <c r="B492" s="1">
        <v>45216.729861111111</v>
      </c>
      <c r="C492" s="2">
        <v>45216.729861111111</v>
      </c>
      <c r="D492" t="s">
        <v>937</v>
      </c>
      <c r="E492">
        <v>109</v>
      </c>
      <c r="F492" t="s">
        <v>739</v>
      </c>
      <c r="G492" t="b">
        <f>LEFT(Logs_Reseau_Part[[#This Row],[Cell_ID]],1)="A"</f>
        <v>1</v>
      </c>
    </row>
    <row r="493" spans="1:7" x14ac:dyDescent="0.3">
      <c r="A493" t="s">
        <v>1116</v>
      </c>
      <c r="B493" s="1">
        <v>45216.729861111111</v>
      </c>
      <c r="C493" s="2">
        <v>45216.729861111111</v>
      </c>
      <c r="D493" t="s">
        <v>918</v>
      </c>
      <c r="E493">
        <v>78</v>
      </c>
      <c r="F493" t="s">
        <v>737</v>
      </c>
      <c r="G493" t="b">
        <f>LEFT(Logs_Reseau_Part[[#This Row],[Cell_ID]],1)="A"</f>
        <v>1</v>
      </c>
    </row>
    <row r="494" spans="1:7" x14ac:dyDescent="0.3">
      <c r="A494" t="s">
        <v>1061</v>
      </c>
      <c r="B494" s="1">
        <v>45216.709027777782</v>
      </c>
      <c r="C494" s="2">
        <v>45216.709027777782</v>
      </c>
      <c r="D494" t="s">
        <v>1070</v>
      </c>
      <c r="E494">
        <v>39</v>
      </c>
      <c r="F494" t="s">
        <v>734</v>
      </c>
      <c r="G494" t="b">
        <f>LEFT(Logs_Reseau_Part[[#This Row],[Cell_ID]],1)="A"</f>
        <v>1</v>
      </c>
    </row>
    <row r="495" spans="1:7" x14ac:dyDescent="0.3">
      <c r="A495" t="s">
        <v>1263</v>
      </c>
      <c r="B495" s="1">
        <v>45216.701388888891</v>
      </c>
      <c r="C495" s="2">
        <v>45216.701388888891</v>
      </c>
      <c r="D495" t="s">
        <v>864</v>
      </c>
      <c r="E495">
        <v>80</v>
      </c>
      <c r="F495" t="s">
        <v>734</v>
      </c>
      <c r="G495" t="b">
        <f>LEFT(Logs_Reseau_Part[[#This Row],[Cell_ID]],1)="A"</f>
        <v>1</v>
      </c>
    </row>
    <row r="496" spans="1:7" x14ac:dyDescent="0.3">
      <c r="A496" t="s">
        <v>1026</v>
      </c>
      <c r="B496" s="1">
        <v>45216.693749999999</v>
      </c>
      <c r="C496" s="2">
        <v>45216.693749999999</v>
      </c>
      <c r="D496" t="s">
        <v>853</v>
      </c>
      <c r="E496">
        <v>24</v>
      </c>
      <c r="F496" t="s">
        <v>739</v>
      </c>
      <c r="G496" t="b">
        <f>LEFT(Logs_Reseau_Part[[#This Row],[Cell_ID]],1)="A"</f>
        <v>1</v>
      </c>
    </row>
    <row r="497" spans="1:7" x14ac:dyDescent="0.3">
      <c r="A497" t="s">
        <v>781</v>
      </c>
      <c r="B497" s="1">
        <v>45216.673611111109</v>
      </c>
      <c r="C497" s="2">
        <v>45216.673611111109</v>
      </c>
      <c r="D497" t="s">
        <v>808</v>
      </c>
      <c r="E497">
        <v>117</v>
      </c>
      <c r="F497" t="s">
        <v>734</v>
      </c>
      <c r="G497" t="b">
        <f>LEFT(Logs_Reseau_Part[[#This Row],[Cell_ID]],1)="A"</f>
        <v>1</v>
      </c>
    </row>
    <row r="498" spans="1:7" x14ac:dyDescent="0.3">
      <c r="A498" t="s">
        <v>941</v>
      </c>
      <c r="B498" s="1">
        <v>45216.583333333343</v>
      </c>
      <c r="C498" s="2">
        <v>45216.583333333343</v>
      </c>
      <c r="D498" t="s">
        <v>950</v>
      </c>
      <c r="E498">
        <v>78</v>
      </c>
      <c r="F498" t="s">
        <v>739</v>
      </c>
      <c r="G498" t="b">
        <f>LEFT(Logs_Reseau_Part[[#This Row],[Cell_ID]],1)="A"</f>
        <v>1</v>
      </c>
    </row>
    <row r="499" spans="1:7" x14ac:dyDescent="0.3">
      <c r="A499" t="s">
        <v>1116</v>
      </c>
      <c r="B499" s="1">
        <v>45216.513888888891</v>
      </c>
      <c r="C499" s="2">
        <v>45216.513888888891</v>
      </c>
      <c r="D499" t="s">
        <v>1132</v>
      </c>
      <c r="E499">
        <v>73</v>
      </c>
      <c r="F499" t="s">
        <v>737</v>
      </c>
      <c r="G499" t="b">
        <f>LEFT(Logs_Reseau_Part[[#This Row],[Cell_ID]],1)="A"</f>
        <v>1</v>
      </c>
    </row>
    <row r="500" spans="1:7" x14ac:dyDescent="0.3">
      <c r="A500" t="s">
        <v>1088</v>
      </c>
      <c r="B500" s="1">
        <v>45216.463888888888</v>
      </c>
      <c r="C500" s="2">
        <v>45216.463888888888</v>
      </c>
      <c r="D500" t="s">
        <v>1054</v>
      </c>
      <c r="E500">
        <v>58</v>
      </c>
      <c r="F500" t="s">
        <v>734</v>
      </c>
      <c r="G500" t="b">
        <f>LEFT(Logs_Reseau_Part[[#This Row],[Cell_ID]],1)="A"</f>
        <v>1</v>
      </c>
    </row>
    <row r="501" spans="1:7" x14ac:dyDescent="0.3">
      <c r="A501" t="s">
        <v>1263</v>
      </c>
      <c r="B501" s="1">
        <v>45216.460416666669</v>
      </c>
      <c r="C501" s="2">
        <v>45216.460416666669</v>
      </c>
      <c r="D501" t="s">
        <v>1275</v>
      </c>
      <c r="E501">
        <v>36</v>
      </c>
      <c r="F501" t="s">
        <v>739</v>
      </c>
      <c r="G501" t="b">
        <f>LEFT(Logs_Reseau_Part[[#This Row],[Cell_ID]],1)="A"</f>
        <v>1</v>
      </c>
    </row>
    <row r="502" spans="1:7" x14ac:dyDescent="0.3">
      <c r="A502" t="s">
        <v>1026</v>
      </c>
      <c r="B502" s="1">
        <v>45216.459027777782</v>
      </c>
      <c r="C502" s="2">
        <v>45216.459027777782</v>
      </c>
      <c r="D502" t="s">
        <v>882</v>
      </c>
      <c r="E502">
        <v>100</v>
      </c>
      <c r="F502" t="s">
        <v>737</v>
      </c>
      <c r="G502" t="b">
        <f>LEFT(Logs_Reseau_Part[[#This Row],[Cell_ID]],1)="A"</f>
        <v>1</v>
      </c>
    </row>
    <row r="503" spans="1:7" x14ac:dyDescent="0.3">
      <c r="A503" t="s">
        <v>781</v>
      </c>
      <c r="B503" s="1">
        <v>45216.457638888889</v>
      </c>
      <c r="C503" s="2">
        <v>45216.457638888889</v>
      </c>
      <c r="D503" t="s">
        <v>817</v>
      </c>
      <c r="E503">
        <v>39</v>
      </c>
      <c r="F503" t="s">
        <v>734</v>
      </c>
      <c r="G503" t="b">
        <f>LEFT(Logs_Reseau_Part[[#This Row],[Cell_ID]],1)="A"</f>
        <v>1</v>
      </c>
    </row>
    <row r="504" spans="1:7" x14ac:dyDescent="0.3">
      <c r="A504" t="s">
        <v>1347</v>
      </c>
      <c r="B504" s="1">
        <v>45216.435416666667</v>
      </c>
      <c r="C504" s="2">
        <v>45216.435416666667</v>
      </c>
      <c r="D504" t="s">
        <v>1200</v>
      </c>
      <c r="E504">
        <v>88</v>
      </c>
      <c r="F504" t="s">
        <v>734</v>
      </c>
      <c r="G504" t="b">
        <f>LEFT(Logs_Reseau_Part[[#This Row],[Cell_ID]],1)="A"</f>
        <v>1</v>
      </c>
    </row>
    <row r="505" spans="1:7" x14ac:dyDescent="0.3">
      <c r="A505" t="s">
        <v>1347</v>
      </c>
      <c r="B505" s="1">
        <v>45216.393055555563</v>
      </c>
      <c r="C505" s="2">
        <v>45216.393055555563</v>
      </c>
      <c r="D505" t="s">
        <v>1353</v>
      </c>
      <c r="E505">
        <v>34</v>
      </c>
      <c r="F505" t="s">
        <v>739</v>
      </c>
      <c r="G505" t="b">
        <f>LEFT(Logs_Reseau_Part[[#This Row],[Cell_ID]],1)="A"</f>
        <v>1</v>
      </c>
    </row>
    <row r="506" spans="1:7" x14ac:dyDescent="0.3">
      <c r="A506" t="s">
        <v>1140</v>
      </c>
      <c r="B506" s="1">
        <v>45216.275000000001</v>
      </c>
      <c r="C506" s="2">
        <v>45216.275000000001</v>
      </c>
      <c r="D506" t="s">
        <v>1158</v>
      </c>
      <c r="E506">
        <v>119</v>
      </c>
      <c r="F506" t="s">
        <v>739</v>
      </c>
      <c r="G506" t="b">
        <f>LEFT(Logs_Reseau_Part[[#This Row],[Cell_ID]],1)="A"</f>
        <v>1</v>
      </c>
    </row>
    <row r="507" spans="1:7" x14ac:dyDescent="0.3">
      <c r="A507" t="s">
        <v>1116</v>
      </c>
      <c r="B507" s="1">
        <v>45216.274305555547</v>
      </c>
      <c r="C507" s="2">
        <v>45216.274305555547</v>
      </c>
      <c r="D507" t="s">
        <v>1126</v>
      </c>
      <c r="E507">
        <v>30</v>
      </c>
      <c r="F507" t="s">
        <v>737</v>
      </c>
      <c r="G507" t="b">
        <f>LEFT(Logs_Reseau_Part[[#This Row],[Cell_ID]],1)="A"</f>
        <v>1</v>
      </c>
    </row>
    <row r="508" spans="1:7" x14ac:dyDescent="0.3">
      <c r="A508" t="s">
        <v>1001</v>
      </c>
      <c r="B508" s="1">
        <v>45216.26666666667</v>
      </c>
      <c r="C508" s="2">
        <v>45216.26666666667</v>
      </c>
      <c r="D508" t="s">
        <v>892</v>
      </c>
      <c r="E508">
        <v>90</v>
      </c>
      <c r="F508" t="s">
        <v>739</v>
      </c>
      <c r="G508" t="b">
        <f>LEFT(Logs_Reseau_Part[[#This Row],[Cell_ID]],1)="A"</f>
        <v>1</v>
      </c>
    </row>
    <row r="509" spans="1:7" x14ac:dyDescent="0.3">
      <c r="A509" t="s">
        <v>1221</v>
      </c>
      <c r="B509" s="1">
        <v>45216.232638888891</v>
      </c>
      <c r="C509" s="2">
        <v>45216.232638888891</v>
      </c>
      <c r="D509" t="s">
        <v>1231</v>
      </c>
      <c r="E509">
        <v>11</v>
      </c>
      <c r="F509" t="s">
        <v>739</v>
      </c>
      <c r="G509" t="b">
        <f>LEFT(Logs_Reseau_Part[[#This Row],[Cell_ID]],1)="A"</f>
        <v>1</v>
      </c>
    </row>
    <row r="510" spans="1:7" x14ac:dyDescent="0.3">
      <c r="A510" t="s">
        <v>1167</v>
      </c>
      <c r="B510" s="1">
        <v>45216.183333333327</v>
      </c>
      <c r="C510" s="2">
        <v>45216.183333333327</v>
      </c>
      <c r="D510" t="s">
        <v>1040</v>
      </c>
      <c r="E510">
        <v>67</v>
      </c>
      <c r="F510" t="s">
        <v>737</v>
      </c>
      <c r="G510" t="b">
        <f>LEFT(Logs_Reseau_Part[[#This Row],[Cell_ID]],1)="A"</f>
        <v>1</v>
      </c>
    </row>
    <row r="511" spans="1:7" x14ac:dyDescent="0.3">
      <c r="A511" t="s">
        <v>1221</v>
      </c>
      <c r="B511" s="1">
        <v>45216.181944444441</v>
      </c>
      <c r="C511" s="2">
        <v>45216.181944444441</v>
      </c>
      <c r="D511" t="s">
        <v>1223</v>
      </c>
      <c r="E511">
        <v>86</v>
      </c>
      <c r="F511" t="s">
        <v>737</v>
      </c>
      <c r="G511" t="b">
        <f>LEFT(Logs_Reseau_Part[[#This Row],[Cell_ID]],1)="A"</f>
        <v>1</v>
      </c>
    </row>
    <row r="512" spans="1:7" x14ac:dyDescent="0.3">
      <c r="A512" t="s">
        <v>825</v>
      </c>
      <c r="B512" s="1">
        <v>45216.14166666667</v>
      </c>
      <c r="C512" s="2">
        <v>45216.14166666667</v>
      </c>
      <c r="D512" t="s">
        <v>832</v>
      </c>
      <c r="E512">
        <v>94</v>
      </c>
      <c r="F512" t="s">
        <v>734</v>
      </c>
      <c r="G512" t="b">
        <f>LEFT(Logs_Reseau_Part[[#This Row],[Cell_ID]],1)="A"</f>
        <v>1</v>
      </c>
    </row>
    <row r="513" spans="1:7" x14ac:dyDescent="0.3">
      <c r="A513" t="s">
        <v>1406</v>
      </c>
      <c r="B513" s="1">
        <v>45216.137499999997</v>
      </c>
      <c r="C513" s="2">
        <v>45216.137499999997</v>
      </c>
      <c r="D513" t="s">
        <v>1412</v>
      </c>
      <c r="E513">
        <v>120</v>
      </c>
      <c r="F513" t="s">
        <v>737</v>
      </c>
      <c r="G513" t="b">
        <f>LEFT(Logs_Reseau_Part[[#This Row],[Cell_ID]],1)="A"</f>
        <v>1</v>
      </c>
    </row>
    <row r="514" spans="1:7" x14ac:dyDescent="0.3">
      <c r="A514" t="s">
        <v>1263</v>
      </c>
      <c r="B514" s="1">
        <v>45216.094444444447</v>
      </c>
      <c r="C514" s="2">
        <v>45216.094444444447</v>
      </c>
      <c r="D514" t="s">
        <v>1272</v>
      </c>
      <c r="E514">
        <v>74</v>
      </c>
      <c r="F514" t="s">
        <v>734</v>
      </c>
      <c r="G514" t="b">
        <f>LEFT(Logs_Reseau_Part[[#This Row],[Cell_ID]],1)="A"</f>
        <v>1</v>
      </c>
    </row>
    <row r="515" spans="1:7" x14ac:dyDescent="0.3">
      <c r="A515" t="s">
        <v>1088</v>
      </c>
      <c r="B515" s="1">
        <v>45216.078472222223</v>
      </c>
      <c r="C515" s="2">
        <v>45216.078472222223</v>
      </c>
      <c r="D515" t="s">
        <v>1105</v>
      </c>
      <c r="E515">
        <v>48</v>
      </c>
      <c r="F515" t="s">
        <v>737</v>
      </c>
      <c r="G515" t="b">
        <f>LEFT(Logs_Reseau_Part[[#This Row],[Cell_ID]],1)="A"</f>
        <v>1</v>
      </c>
    </row>
    <row r="516" spans="1:7" x14ac:dyDescent="0.3">
      <c r="A516" t="s">
        <v>1263</v>
      </c>
      <c r="B516" s="1">
        <v>45216.001388888893</v>
      </c>
      <c r="C516" s="2">
        <v>45216.001388888893</v>
      </c>
      <c r="D516" t="s">
        <v>1280</v>
      </c>
      <c r="E516">
        <v>74</v>
      </c>
      <c r="F516" t="s">
        <v>739</v>
      </c>
      <c r="G516" t="b">
        <f>LEFT(Logs_Reseau_Part[[#This Row],[Cell_ID]],1)="A"</f>
        <v>1</v>
      </c>
    </row>
    <row r="517" spans="1:7" x14ac:dyDescent="0.3">
      <c r="A517" t="s">
        <v>1116</v>
      </c>
      <c r="B517" s="1">
        <v>45215.990277777782</v>
      </c>
      <c r="C517" s="2">
        <v>45215.990277777782</v>
      </c>
      <c r="D517" t="s">
        <v>1044</v>
      </c>
      <c r="E517">
        <v>66</v>
      </c>
      <c r="F517" t="s">
        <v>739</v>
      </c>
      <c r="G517" t="b">
        <f>LEFT(Logs_Reseau_Part[[#This Row],[Cell_ID]],1)="A"</f>
        <v>1</v>
      </c>
    </row>
    <row r="518" spans="1:7" x14ac:dyDescent="0.3">
      <c r="A518" t="s">
        <v>863</v>
      </c>
      <c r="B518" s="1">
        <v>45215.879861111112</v>
      </c>
      <c r="C518" s="2">
        <v>45215.879861111112</v>
      </c>
      <c r="D518" t="s">
        <v>882</v>
      </c>
      <c r="E518">
        <v>16</v>
      </c>
      <c r="F518" t="s">
        <v>737</v>
      </c>
      <c r="G518" t="b">
        <f>LEFT(Logs_Reseau_Part[[#This Row],[Cell_ID]],1)="A"</f>
        <v>1</v>
      </c>
    </row>
    <row r="519" spans="1:7" x14ac:dyDescent="0.3">
      <c r="A519" t="s">
        <v>1001</v>
      </c>
      <c r="B519" s="1">
        <v>45215.811111111107</v>
      </c>
      <c r="C519" s="2">
        <v>45215.811111111107</v>
      </c>
      <c r="D519" t="s">
        <v>901</v>
      </c>
      <c r="E519">
        <v>7</v>
      </c>
      <c r="F519" t="s">
        <v>739</v>
      </c>
      <c r="G519" t="b">
        <f>LEFT(Logs_Reseau_Part[[#This Row],[Cell_ID]],1)="A"</f>
        <v>1</v>
      </c>
    </row>
    <row r="520" spans="1:7" x14ac:dyDescent="0.3">
      <c r="A520" t="s">
        <v>1332</v>
      </c>
      <c r="B520" s="1">
        <v>45215.811111111107</v>
      </c>
      <c r="C520" s="2">
        <v>45215.811111111107</v>
      </c>
      <c r="D520" t="s">
        <v>920</v>
      </c>
      <c r="E520">
        <v>49</v>
      </c>
      <c r="F520" t="s">
        <v>737</v>
      </c>
      <c r="G520" t="b">
        <f>LEFT(Logs_Reseau_Part[[#This Row],[Cell_ID]],1)="A"</f>
        <v>1</v>
      </c>
    </row>
    <row r="521" spans="1:7" x14ac:dyDescent="0.3">
      <c r="A521" t="s">
        <v>1332</v>
      </c>
      <c r="B521" s="1">
        <v>45215.776388888888</v>
      </c>
      <c r="C521" s="2">
        <v>45215.776388888888</v>
      </c>
      <c r="D521" t="s">
        <v>1333</v>
      </c>
      <c r="E521">
        <v>87</v>
      </c>
      <c r="F521" t="s">
        <v>739</v>
      </c>
      <c r="G521" t="b">
        <f>LEFT(Logs_Reseau_Part[[#This Row],[Cell_ID]],1)="A"</f>
        <v>1</v>
      </c>
    </row>
    <row r="522" spans="1:7" x14ac:dyDescent="0.3">
      <c r="A522" t="s">
        <v>1384</v>
      </c>
      <c r="B522" s="1">
        <v>45215.775000000001</v>
      </c>
      <c r="C522" s="2">
        <v>45215.775000000001</v>
      </c>
      <c r="D522" t="s">
        <v>1096</v>
      </c>
      <c r="E522">
        <v>95</v>
      </c>
      <c r="F522" t="s">
        <v>737</v>
      </c>
      <c r="G522" t="b">
        <f>LEFT(Logs_Reseau_Part[[#This Row],[Cell_ID]],1)="A"</f>
        <v>1</v>
      </c>
    </row>
    <row r="523" spans="1:7" x14ac:dyDescent="0.3">
      <c r="A523" t="s">
        <v>1263</v>
      </c>
      <c r="B523" s="1">
        <v>45215.756944444453</v>
      </c>
      <c r="C523" s="2">
        <v>45215.756944444453</v>
      </c>
      <c r="D523" t="s">
        <v>1276</v>
      </c>
      <c r="E523">
        <v>24</v>
      </c>
      <c r="F523" t="s">
        <v>739</v>
      </c>
      <c r="G523" t="b">
        <f>LEFT(Logs_Reseau_Part[[#This Row],[Cell_ID]],1)="A"</f>
        <v>1</v>
      </c>
    </row>
    <row r="524" spans="1:7" x14ac:dyDescent="0.3">
      <c r="A524" t="s">
        <v>1140</v>
      </c>
      <c r="B524" s="1">
        <v>45215.743750000001</v>
      </c>
      <c r="C524" s="2">
        <v>45215.743750000001</v>
      </c>
      <c r="D524" t="s">
        <v>1152</v>
      </c>
      <c r="E524">
        <v>103</v>
      </c>
      <c r="F524" t="s">
        <v>734</v>
      </c>
      <c r="G524" t="b">
        <f>LEFT(Logs_Reseau_Part[[#This Row],[Cell_ID]],1)="A"</f>
        <v>1</v>
      </c>
    </row>
    <row r="525" spans="1:7" x14ac:dyDescent="0.3">
      <c r="A525" t="s">
        <v>1332</v>
      </c>
      <c r="B525" s="1">
        <v>45215.704861111109</v>
      </c>
      <c r="C525" s="2">
        <v>45215.704861111109</v>
      </c>
      <c r="D525" t="s">
        <v>977</v>
      </c>
      <c r="E525">
        <v>107</v>
      </c>
      <c r="F525" t="s">
        <v>734</v>
      </c>
      <c r="G525" t="b">
        <f>LEFT(Logs_Reseau_Part[[#This Row],[Cell_ID]],1)="A"</f>
        <v>1</v>
      </c>
    </row>
    <row r="526" spans="1:7" x14ac:dyDescent="0.3">
      <c r="A526" t="s">
        <v>1026</v>
      </c>
      <c r="B526" s="1">
        <v>45215.67291666667</v>
      </c>
      <c r="C526" s="2">
        <v>45215.67291666667</v>
      </c>
      <c r="D526" t="s">
        <v>780</v>
      </c>
      <c r="E526">
        <v>117</v>
      </c>
      <c r="F526" t="s">
        <v>739</v>
      </c>
      <c r="G526" t="b">
        <f>LEFT(Logs_Reseau_Part[[#This Row],[Cell_ID]],1)="A"</f>
        <v>1</v>
      </c>
    </row>
    <row r="527" spans="1:7" x14ac:dyDescent="0.3">
      <c r="A527" t="s">
        <v>904</v>
      </c>
      <c r="B527" s="1">
        <v>45215.597916666673</v>
      </c>
      <c r="C527" s="2">
        <v>45215.597916666673</v>
      </c>
      <c r="D527" t="s">
        <v>905</v>
      </c>
      <c r="E527">
        <v>7</v>
      </c>
      <c r="F527" t="s">
        <v>739</v>
      </c>
      <c r="G527" t="b">
        <f>LEFT(Logs_Reseau_Part[[#This Row],[Cell_ID]],1)="A"</f>
        <v>1</v>
      </c>
    </row>
    <row r="528" spans="1:7" x14ac:dyDescent="0.3">
      <c r="A528" t="s">
        <v>1167</v>
      </c>
      <c r="B528" s="1">
        <v>45215.587500000001</v>
      </c>
      <c r="C528" s="2">
        <v>45215.587500000001</v>
      </c>
      <c r="D528" t="s">
        <v>1186</v>
      </c>
      <c r="E528">
        <v>24</v>
      </c>
      <c r="F528" t="s">
        <v>737</v>
      </c>
      <c r="G528" t="b">
        <f>LEFT(Logs_Reseau_Part[[#This Row],[Cell_ID]],1)="A"</f>
        <v>1</v>
      </c>
    </row>
    <row r="529" spans="1:7" x14ac:dyDescent="0.3">
      <c r="A529" t="s">
        <v>1290</v>
      </c>
      <c r="B529" s="1">
        <v>45215.580555555563</v>
      </c>
      <c r="C529" s="2">
        <v>45215.580555555563</v>
      </c>
      <c r="D529" t="s">
        <v>964</v>
      </c>
      <c r="E529">
        <v>102</v>
      </c>
      <c r="F529" t="s">
        <v>739</v>
      </c>
      <c r="G529" t="b">
        <f>LEFT(Logs_Reseau_Part[[#This Row],[Cell_ID]],1)="A"</f>
        <v>1</v>
      </c>
    </row>
    <row r="530" spans="1:7" x14ac:dyDescent="0.3">
      <c r="A530" t="s">
        <v>1221</v>
      </c>
      <c r="B530" s="1">
        <v>45215.479166666657</v>
      </c>
      <c r="C530" s="2">
        <v>45215.479166666657</v>
      </c>
      <c r="D530" t="s">
        <v>852</v>
      </c>
      <c r="E530">
        <v>67</v>
      </c>
      <c r="F530" t="s">
        <v>739</v>
      </c>
      <c r="G530" t="b">
        <f>LEFT(Logs_Reseau_Part[[#This Row],[Cell_ID]],1)="A"</f>
        <v>1</v>
      </c>
    </row>
    <row r="531" spans="1:7" x14ac:dyDescent="0.3">
      <c r="A531" t="s">
        <v>1140</v>
      </c>
      <c r="B531" s="1">
        <v>45215.457638888889</v>
      </c>
      <c r="C531" s="2">
        <v>45215.457638888889</v>
      </c>
      <c r="D531" t="s">
        <v>1143</v>
      </c>
      <c r="E531">
        <v>100</v>
      </c>
      <c r="F531" t="s">
        <v>734</v>
      </c>
      <c r="G531" t="b">
        <f>LEFT(Logs_Reseau_Part[[#This Row],[Cell_ID]],1)="A"</f>
        <v>1</v>
      </c>
    </row>
    <row r="532" spans="1:7" x14ac:dyDescent="0.3">
      <c r="A532" t="s">
        <v>904</v>
      </c>
      <c r="B532" s="1">
        <v>45215.376388888893</v>
      </c>
      <c r="C532" s="2">
        <v>45215.376388888893</v>
      </c>
      <c r="D532" t="s">
        <v>751</v>
      </c>
      <c r="E532">
        <v>65</v>
      </c>
      <c r="F532" t="s">
        <v>739</v>
      </c>
      <c r="G532" t="b">
        <f>LEFT(Logs_Reseau_Part[[#This Row],[Cell_ID]],1)="A"</f>
        <v>1</v>
      </c>
    </row>
    <row r="533" spans="1:7" x14ac:dyDescent="0.3">
      <c r="A533" t="s">
        <v>1332</v>
      </c>
      <c r="B533" s="1">
        <v>45215.372916666667</v>
      </c>
      <c r="C533" s="2">
        <v>45215.372916666667</v>
      </c>
      <c r="D533" t="s">
        <v>1005</v>
      </c>
      <c r="E533">
        <v>70</v>
      </c>
      <c r="F533" t="s">
        <v>737</v>
      </c>
      <c r="G533" t="b">
        <f>LEFT(Logs_Reseau_Part[[#This Row],[Cell_ID]],1)="A"</f>
        <v>1</v>
      </c>
    </row>
    <row r="534" spans="1:7" x14ac:dyDescent="0.3">
      <c r="A534" t="s">
        <v>1167</v>
      </c>
      <c r="B534" s="1">
        <v>45215.322222222218</v>
      </c>
      <c r="C534" s="2">
        <v>45215.322222222218</v>
      </c>
      <c r="D534" t="s">
        <v>1182</v>
      </c>
      <c r="E534">
        <v>57</v>
      </c>
      <c r="F534" t="s">
        <v>739</v>
      </c>
      <c r="G534" t="b">
        <f>LEFT(Logs_Reseau_Part[[#This Row],[Cell_ID]],1)="A"</f>
        <v>1</v>
      </c>
    </row>
    <row r="535" spans="1:7" x14ac:dyDescent="0.3">
      <c r="A535" t="s">
        <v>1167</v>
      </c>
      <c r="B535" s="1">
        <v>45215.288194444453</v>
      </c>
      <c r="C535" s="2">
        <v>45215.288194444453</v>
      </c>
      <c r="D535" t="s">
        <v>1180</v>
      </c>
      <c r="E535">
        <v>109</v>
      </c>
      <c r="F535" t="s">
        <v>734</v>
      </c>
      <c r="G535" t="b">
        <f>LEFT(Logs_Reseau_Part[[#This Row],[Cell_ID]],1)="A"</f>
        <v>1</v>
      </c>
    </row>
    <row r="536" spans="1:7" x14ac:dyDescent="0.3">
      <c r="A536" t="s">
        <v>1347</v>
      </c>
      <c r="B536" s="1">
        <v>45215.272222222222</v>
      </c>
      <c r="C536" s="2">
        <v>45215.272222222222</v>
      </c>
      <c r="D536" t="s">
        <v>1352</v>
      </c>
      <c r="E536">
        <v>56</v>
      </c>
      <c r="F536" t="s">
        <v>739</v>
      </c>
      <c r="G536" t="b">
        <f>LEFT(Logs_Reseau_Part[[#This Row],[Cell_ID]],1)="A"</f>
        <v>1</v>
      </c>
    </row>
    <row r="537" spans="1:7" x14ac:dyDescent="0.3">
      <c r="A537" t="s">
        <v>1406</v>
      </c>
      <c r="B537" s="1">
        <v>45215.231944444437</v>
      </c>
      <c r="C537" s="2">
        <v>45215.231944444437</v>
      </c>
      <c r="D537" t="s">
        <v>1072</v>
      </c>
      <c r="E537">
        <v>25</v>
      </c>
      <c r="F537" t="s">
        <v>737</v>
      </c>
      <c r="G537" t="b">
        <f>LEFT(Logs_Reseau_Part[[#This Row],[Cell_ID]],1)="A"</f>
        <v>1</v>
      </c>
    </row>
    <row r="538" spans="1:7" x14ac:dyDescent="0.3">
      <c r="A538" t="s">
        <v>1363</v>
      </c>
      <c r="B538" s="1">
        <v>45215.163888888892</v>
      </c>
      <c r="C538" s="2">
        <v>45215.163888888892</v>
      </c>
      <c r="D538" t="s">
        <v>1377</v>
      </c>
      <c r="E538">
        <v>109</v>
      </c>
      <c r="F538" t="s">
        <v>737</v>
      </c>
      <c r="G538" t="b">
        <f>LEFT(Logs_Reseau_Part[[#This Row],[Cell_ID]],1)="A"</f>
        <v>1</v>
      </c>
    </row>
    <row r="539" spans="1:7" x14ac:dyDescent="0.3">
      <c r="A539" t="s">
        <v>863</v>
      </c>
      <c r="B539" s="1">
        <v>45215.143750000003</v>
      </c>
      <c r="C539" s="2">
        <v>45215.143750000003</v>
      </c>
      <c r="D539" t="s">
        <v>901</v>
      </c>
      <c r="E539">
        <v>107</v>
      </c>
      <c r="F539" t="s">
        <v>737</v>
      </c>
      <c r="G539" t="b">
        <f>LEFT(Logs_Reseau_Part[[#This Row],[Cell_ID]],1)="A"</f>
        <v>1</v>
      </c>
    </row>
    <row r="540" spans="1:7" x14ac:dyDescent="0.3">
      <c r="A540" t="s">
        <v>904</v>
      </c>
      <c r="B540" s="1">
        <v>45215.10833333333</v>
      </c>
      <c r="C540" s="2">
        <v>45215.10833333333</v>
      </c>
      <c r="D540" t="s">
        <v>908</v>
      </c>
      <c r="E540">
        <v>39</v>
      </c>
      <c r="F540" t="s">
        <v>739</v>
      </c>
      <c r="G540" t="b">
        <f>LEFT(Logs_Reseau_Part[[#This Row],[Cell_ID]],1)="A"</f>
        <v>1</v>
      </c>
    </row>
    <row r="541" spans="1:7" x14ac:dyDescent="0.3">
      <c r="A541" t="s">
        <v>1243</v>
      </c>
      <c r="B541" s="1">
        <v>45215.093055555553</v>
      </c>
      <c r="C541" s="2">
        <v>45215.093055555553</v>
      </c>
      <c r="D541" t="s">
        <v>1260</v>
      </c>
      <c r="E541">
        <v>87</v>
      </c>
      <c r="F541" t="s">
        <v>734</v>
      </c>
      <c r="G541" t="b">
        <f>LEFT(Logs_Reseau_Part[[#This Row],[Cell_ID]],1)="A"</f>
        <v>1</v>
      </c>
    </row>
    <row r="542" spans="1:7" x14ac:dyDescent="0.3">
      <c r="A542" t="s">
        <v>1243</v>
      </c>
      <c r="B542" s="1">
        <v>45215.088888888888</v>
      </c>
      <c r="C542" s="2">
        <v>45215.088888888888</v>
      </c>
      <c r="D542" t="s">
        <v>1120</v>
      </c>
      <c r="E542">
        <v>59</v>
      </c>
      <c r="F542" t="s">
        <v>739</v>
      </c>
      <c r="G542" t="b">
        <f>LEFT(Logs_Reseau_Part[[#This Row],[Cell_ID]],1)="A"</f>
        <v>1</v>
      </c>
    </row>
    <row r="543" spans="1:7" x14ac:dyDescent="0.3">
      <c r="A543" t="s">
        <v>1167</v>
      </c>
      <c r="B543" s="1">
        <v>45215.056944444441</v>
      </c>
      <c r="C543" s="2">
        <v>45215.056944444441</v>
      </c>
      <c r="D543" t="s">
        <v>1153</v>
      </c>
      <c r="E543">
        <v>99</v>
      </c>
      <c r="F543" t="s">
        <v>737</v>
      </c>
      <c r="G543" t="b">
        <f>LEFT(Logs_Reseau_Part[[#This Row],[Cell_ID]],1)="A"</f>
        <v>1</v>
      </c>
    </row>
    <row r="544" spans="1:7" x14ac:dyDescent="0.3">
      <c r="A544" t="s">
        <v>1332</v>
      </c>
      <c r="B544" s="1">
        <v>45215.049305555563</v>
      </c>
      <c r="C544" s="2">
        <v>45215.049305555563</v>
      </c>
      <c r="D544" t="s">
        <v>1186</v>
      </c>
      <c r="E544">
        <v>33</v>
      </c>
      <c r="F544" t="s">
        <v>737</v>
      </c>
      <c r="G544" t="b">
        <f>LEFT(Logs_Reseau_Part[[#This Row],[Cell_ID]],1)="A"</f>
        <v>1</v>
      </c>
    </row>
    <row r="545" spans="1:7" x14ac:dyDescent="0.3">
      <c r="A545" t="s">
        <v>941</v>
      </c>
      <c r="B545" s="1">
        <v>45215.047222222223</v>
      </c>
      <c r="C545" s="2">
        <v>45215.047222222223</v>
      </c>
      <c r="D545" t="s">
        <v>948</v>
      </c>
      <c r="E545">
        <v>35</v>
      </c>
      <c r="F545" t="s">
        <v>734</v>
      </c>
      <c r="G545" t="b">
        <f>LEFT(Logs_Reseau_Part[[#This Row],[Cell_ID]],1)="A"</f>
        <v>1</v>
      </c>
    </row>
    <row r="546" spans="1:7" x14ac:dyDescent="0.3">
      <c r="A546" t="s">
        <v>1290</v>
      </c>
      <c r="B546" s="1">
        <v>45215.01666666667</v>
      </c>
      <c r="C546" s="2">
        <v>45215.01666666667</v>
      </c>
      <c r="D546" t="s">
        <v>1300</v>
      </c>
      <c r="E546">
        <v>35</v>
      </c>
      <c r="F546" t="s">
        <v>737</v>
      </c>
      <c r="G546" t="b">
        <f>LEFT(Logs_Reseau_Part[[#This Row],[Cell_ID]],1)="A"</f>
        <v>1</v>
      </c>
    </row>
    <row r="547" spans="1:7" x14ac:dyDescent="0.3">
      <c r="A547" t="s">
        <v>1116</v>
      </c>
      <c r="B547" s="1">
        <v>45215.015972222223</v>
      </c>
      <c r="C547" s="2">
        <v>45215.015972222223</v>
      </c>
      <c r="D547" t="s">
        <v>1123</v>
      </c>
      <c r="E547">
        <v>74</v>
      </c>
      <c r="F547" t="s">
        <v>734</v>
      </c>
      <c r="G547" t="b">
        <f>LEFT(Logs_Reseau_Part[[#This Row],[Cell_ID]],1)="A"</f>
        <v>1</v>
      </c>
    </row>
    <row r="548" spans="1:7" x14ac:dyDescent="0.3">
      <c r="A548" t="s">
        <v>781</v>
      </c>
      <c r="B548" s="1">
        <v>45214.960416666669</v>
      </c>
      <c r="C548" s="2">
        <v>45214.960416666669</v>
      </c>
      <c r="D548" t="s">
        <v>786</v>
      </c>
      <c r="E548">
        <v>38</v>
      </c>
      <c r="F548" t="s">
        <v>734</v>
      </c>
      <c r="G548" t="b">
        <f>LEFT(Logs_Reseau_Part[[#This Row],[Cell_ID]],1)="A"</f>
        <v>1</v>
      </c>
    </row>
    <row r="549" spans="1:7" x14ac:dyDescent="0.3">
      <c r="A549" t="s">
        <v>904</v>
      </c>
      <c r="B549" s="1">
        <v>45214.943055555559</v>
      </c>
      <c r="C549" s="2">
        <v>45214.943055555559</v>
      </c>
      <c r="D549" t="s">
        <v>925</v>
      </c>
      <c r="E549">
        <v>16</v>
      </c>
      <c r="F549" t="s">
        <v>734</v>
      </c>
      <c r="G549" t="b">
        <f>LEFT(Logs_Reseau_Part[[#This Row],[Cell_ID]],1)="A"</f>
        <v>1</v>
      </c>
    </row>
    <row r="550" spans="1:7" x14ac:dyDescent="0.3">
      <c r="A550" t="s">
        <v>1406</v>
      </c>
      <c r="B550" s="1">
        <v>45214.931250000001</v>
      </c>
      <c r="C550" s="2">
        <v>45214.931250000001</v>
      </c>
      <c r="D550" t="s">
        <v>1201</v>
      </c>
      <c r="E550">
        <v>81</v>
      </c>
      <c r="F550" t="s">
        <v>737</v>
      </c>
      <c r="G550" t="b">
        <f>LEFT(Logs_Reseau_Part[[#This Row],[Cell_ID]],1)="A"</f>
        <v>1</v>
      </c>
    </row>
    <row r="551" spans="1:7" x14ac:dyDescent="0.3">
      <c r="A551" t="s">
        <v>904</v>
      </c>
      <c r="B551" s="1">
        <v>45214.929861111108</v>
      </c>
      <c r="C551" s="2">
        <v>45214.929861111108</v>
      </c>
      <c r="D551" t="s">
        <v>935</v>
      </c>
      <c r="E551">
        <v>89</v>
      </c>
      <c r="F551" t="s">
        <v>739</v>
      </c>
      <c r="G551" t="b">
        <f>LEFT(Logs_Reseau_Part[[#This Row],[Cell_ID]],1)="A"</f>
        <v>1</v>
      </c>
    </row>
    <row r="552" spans="1:7" x14ac:dyDescent="0.3">
      <c r="A552" t="s">
        <v>1001</v>
      </c>
      <c r="B552" s="1">
        <v>45214.893750000003</v>
      </c>
      <c r="C552" s="2">
        <v>45214.893750000003</v>
      </c>
      <c r="D552" t="s">
        <v>1021</v>
      </c>
      <c r="E552">
        <v>60</v>
      </c>
      <c r="F552" t="s">
        <v>737</v>
      </c>
      <c r="G552" t="b">
        <f>LEFT(Logs_Reseau_Part[[#This Row],[Cell_ID]],1)="A"</f>
        <v>1</v>
      </c>
    </row>
    <row r="553" spans="1:7" x14ac:dyDescent="0.3">
      <c r="A553" t="s">
        <v>732</v>
      </c>
      <c r="B553" s="1">
        <v>45214.870138888888</v>
      </c>
      <c r="C553" s="2">
        <v>45214.870138888888</v>
      </c>
      <c r="D553" t="s">
        <v>763</v>
      </c>
      <c r="E553">
        <v>72</v>
      </c>
      <c r="F553" t="s">
        <v>734</v>
      </c>
      <c r="G553" t="b">
        <f>LEFT(Logs_Reseau_Part[[#This Row],[Cell_ID]],1)="A"</f>
        <v>1</v>
      </c>
    </row>
    <row r="554" spans="1:7" x14ac:dyDescent="0.3">
      <c r="A554" t="s">
        <v>1406</v>
      </c>
      <c r="B554" s="1">
        <v>45214.850694444453</v>
      </c>
      <c r="C554" s="2">
        <v>45214.850694444453</v>
      </c>
      <c r="D554" t="s">
        <v>1092</v>
      </c>
      <c r="E554">
        <v>31</v>
      </c>
      <c r="F554" t="s">
        <v>739</v>
      </c>
      <c r="G554" t="b">
        <f>LEFT(Logs_Reseau_Part[[#This Row],[Cell_ID]],1)="A"</f>
        <v>1</v>
      </c>
    </row>
    <row r="555" spans="1:7" x14ac:dyDescent="0.3">
      <c r="A555" t="s">
        <v>781</v>
      </c>
      <c r="B555" s="1">
        <v>45214.816666666673</v>
      </c>
      <c r="C555" s="2">
        <v>45214.816666666673</v>
      </c>
      <c r="D555" t="s">
        <v>824</v>
      </c>
      <c r="E555">
        <v>92</v>
      </c>
      <c r="F555" t="s">
        <v>739</v>
      </c>
      <c r="G555" t="b">
        <f>LEFT(Logs_Reseau_Part[[#This Row],[Cell_ID]],1)="A"</f>
        <v>1</v>
      </c>
    </row>
    <row r="556" spans="1:7" x14ac:dyDescent="0.3">
      <c r="A556" t="s">
        <v>1221</v>
      </c>
      <c r="B556" s="1">
        <v>45214.799305555563</v>
      </c>
      <c r="C556" s="2">
        <v>45214.799305555563</v>
      </c>
      <c r="D556" t="s">
        <v>1239</v>
      </c>
      <c r="E556">
        <v>67</v>
      </c>
      <c r="F556" t="s">
        <v>734</v>
      </c>
      <c r="G556" t="b">
        <f>LEFT(Logs_Reseau_Part[[#This Row],[Cell_ID]],1)="A"</f>
        <v>1</v>
      </c>
    </row>
    <row r="557" spans="1:7" x14ac:dyDescent="0.3">
      <c r="A557" t="s">
        <v>1026</v>
      </c>
      <c r="B557" s="1">
        <v>45214.774305555547</v>
      </c>
      <c r="C557" s="2">
        <v>45214.774305555547</v>
      </c>
      <c r="D557" t="s">
        <v>812</v>
      </c>
      <c r="E557">
        <v>118</v>
      </c>
      <c r="F557" t="s">
        <v>734</v>
      </c>
      <c r="G557" t="b">
        <f>LEFT(Logs_Reseau_Part[[#This Row],[Cell_ID]],1)="A"</f>
        <v>1</v>
      </c>
    </row>
    <row r="558" spans="1:7" x14ac:dyDescent="0.3">
      <c r="A558" t="s">
        <v>1140</v>
      </c>
      <c r="B558" s="1">
        <v>45214.752083333333</v>
      </c>
      <c r="C558" s="2">
        <v>45214.752083333333</v>
      </c>
      <c r="D558" t="s">
        <v>1164</v>
      </c>
      <c r="E558">
        <v>89</v>
      </c>
      <c r="F558" t="s">
        <v>737</v>
      </c>
      <c r="G558" t="b">
        <f>LEFT(Logs_Reseau_Part[[#This Row],[Cell_ID]],1)="A"</f>
        <v>1</v>
      </c>
    </row>
    <row r="559" spans="1:7" x14ac:dyDescent="0.3">
      <c r="A559" t="s">
        <v>1290</v>
      </c>
      <c r="B559" s="1">
        <v>45214.740972222222</v>
      </c>
      <c r="C559" s="2">
        <v>45214.740972222222</v>
      </c>
      <c r="D559" t="s">
        <v>979</v>
      </c>
      <c r="E559">
        <v>8</v>
      </c>
      <c r="F559" t="s">
        <v>734</v>
      </c>
      <c r="G559" t="b">
        <f>LEFT(Logs_Reseau_Part[[#This Row],[Cell_ID]],1)="A"</f>
        <v>1</v>
      </c>
    </row>
    <row r="560" spans="1:7" x14ac:dyDescent="0.3">
      <c r="A560" t="s">
        <v>1167</v>
      </c>
      <c r="B560" s="1">
        <v>45214.736805555563</v>
      </c>
      <c r="C560" s="2">
        <v>45214.736805555563</v>
      </c>
      <c r="D560" t="s">
        <v>1184</v>
      </c>
      <c r="E560">
        <v>34</v>
      </c>
      <c r="F560" t="s">
        <v>739</v>
      </c>
      <c r="G560" t="b">
        <f>LEFT(Logs_Reseau_Part[[#This Row],[Cell_ID]],1)="A"</f>
        <v>1</v>
      </c>
    </row>
    <row r="561" spans="1:7" x14ac:dyDescent="0.3">
      <c r="A561" t="s">
        <v>732</v>
      </c>
      <c r="B561" s="1">
        <v>45214.713194444441</v>
      </c>
      <c r="C561" s="2">
        <v>45214.713194444441</v>
      </c>
      <c r="D561" t="s">
        <v>755</v>
      </c>
      <c r="E561">
        <v>25</v>
      </c>
      <c r="F561" t="s">
        <v>734</v>
      </c>
      <c r="G561" t="b">
        <f>LEFT(Logs_Reseau_Part[[#This Row],[Cell_ID]],1)="A"</f>
        <v>1</v>
      </c>
    </row>
    <row r="562" spans="1:7" x14ac:dyDescent="0.3">
      <c r="A562" t="s">
        <v>1140</v>
      </c>
      <c r="B562" s="1">
        <v>45214.697916666657</v>
      </c>
      <c r="C562" s="2">
        <v>45214.697916666657</v>
      </c>
      <c r="D562" t="s">
        <v>1156</v>
      </c>
      <c r="E562">
        <v>98</v>
      </c>
      <c r="F562" t="s">
        <v>739</v>
      </c>
      <c r="G562" t="b">
        <f>LEFT(Logs_Reseau_Part[[#This Row],[Cell_ID]],1)="A"</f>
        <v>1</v>
      </c>
    </row>
    <row r="563" spans="1:7" x14ac:dyDescent="0.3">
      <c r="A563" t="s">
        <v>1332</v>
      </c>
      <c r="B563" s="1">
        <v>45214.684027777781</v>
      </c>
      <c r="C563" s="2">
        <v>45214.684027777781</v>
      </c>
      <c r="D563" t="s">
        <v>835</v>
      </c>
      <c r="E563">
        <v>119</v>
      </c>
      <c r="F563" t="s">
        <v>739</v>
      </c>
      <c r="G563" t="b">
        <f>LEFT(Logs_Reseau_Part[[#This Row],[Cell_ID]],1)="A"</f>
        <v>1</v>
      </c>
    </row>
    <row r="564" spans="1:7" x14ac:dyDescent="0.3">
      <c r="A564" t="s">
        <v>1195</v>
      </c>
      <c r="B564" s="1">
        <v>45214.634722222218</v>
      </c>
      <c r="C564" s="2">
        <v>45214.634722222218</v>
      </c>
      <c r="D564" t="s">
        <v>1202</v>
      </c>
      <c r="E564">
        <v>112</v>
      </c>
      <c r="F564" t="s">
        <v>737</v>
      </c>
      <c r="G564" t="b">
        <f>LEFT(Logs_Reseau_Part[[#This Row],[Cell_ID]],1)="A"</f>
        <v>1</v>
      </c>
    </row>
    <row r="565" spans="1:7" x14ac:dyDescent="0.3">
      <c r="A565" t="s">
        <v>825</v>
      </c>
      <c r="B565" s="1">
        <v>45214.613194444442</v>
      </c>
      <c r="C565" s="2">
        <v>45214.613194444442</v>
      </c>
      <c r="D565" t="s">
        <v>852</v>
      </c>
      <c r="E565">
        <v>11</v>
      </c>
      <c r="F565" t="s">
        <v>739</v>
      </c>
      <c r="G565" t="b">
        <f>LEFT(Logs_Reseau_Part[[#This Row],[Cell_ID]],1)="A"</f>
        <v>1</v>
      </c>
    </row>
    <row r="566" spans="1:7" x14ac:dyDescent="0.3">
      <c r="A566" t="s">
        <v>1088</v>
      </c>
      <c r="B566" s="1">
        <v>45214.613194444442</v>
      </c>
      <c r="C566" s="2">
        <v>45214.613194444442</v>
      </c>
      <c r="D566" t="s">
        <v>1102</v>
      </c>
      <c r="E566">
        <v>61</v>
      </c>
      <c r="F566" t="s">
        <v>739</v>
      </c>
      <c r="G566" t="b">
        <f>LEFT(Logs_Reseau_Part[[#This Row],[Cell_ID]],1)="A"</f>
        <v>1</v>
      </c>
    </row>
    <row r="567" spans="1:7" x14ac:dyDescent="0.3">
      <c r="A567" t="s">
        <v>904</v>
      </c>
      <c r="B567" s="1">
        <v>45214.59652777778</v>
      </c>
      <c r="C567" s="2">
        <v>45214.59652777778</v>
      </c>
      <c r="D567" t="s">
        <v>916</v>
      </c>
      <c r="E567">
        <v>88</v>
      </c>
      <c r="F567" t="s">
        <v>739</v>
      </c>
      <c r="G567" t="b">
        <f>LEFT(Logs_Reseau_Part[[#This Row],[Cell_ID]],1)="A"</f>
        <v>1</v>
      </c>
    </row>
    <row r="568" spans="1:7" x14ac:dyDescent="0.3">
      <c r="A568" t="s">
        <v>980</v>
      </c>
      <c r="B568" s="1">
        <v>45214.59375</v>
      </c>
      <c r="C568" s="2">
        <v>45214.59375</v>
      </c>
      <c r="D568" t="s">
        <v>988</v>
      </c>
      <c r="E568">
        <v>51</v>
      </c>
      <c r="F568" t="s">
        <v>739</v>
      </c>
      <c r="G568" t="b">
        <f>LEFT(Logs_Reseau_Part[[#This Row],[Cell_ID]],1)="A"</f>
        <v>1</v>
      </c>
    </row>
    <row r="569" spans="1:7" x14ac:dyDescent="0.3">
      <c r="A569" t="s">
        <v>781</v>
      </c>
      <c r="B569" s="1">
        <v>45214.457638888889</v>
      </c>
      <c r="C569" s="2">
        <v>45214.457638888889</v>
      </c>
      <c r="D569" t="s">
        <v>822</v>
      </c>
      <c r="E569">
        <v>48</v>
      </c>
      <c r="F569" t="s">
        <v>739</v>
      </c>
      <c r="G569" t="b">
        <f>LEFT(Logs_Reseau_Part[[#This Row],[Cell_ID]],1)="A"</f>
        <v>1</v>
      </c>
    </row>
    <row r="570" spans="1:7" x14ac:dyDescent="0.3">
      <c r="A570" t="s">
        <v>1116</v>
      </c>
      <c r="B570" s="1">
        <v>45214.43472222222</v>
      </c>
      <c r="C570" s="2">
        <v>45214.43472222222</v>
      </c>
      <c r="D570" t="s">
        <v>773</v>
      </c>
      <c r="E570">
        <v>61</v>
      </c>
      <c r="F570" t="s">
        <v>739</v>
      </c>
      <c r="G570" t="b">
        <f>LEFT(Logs_Reseau_Part[[#This Row],[Cell_ID]],1)="A"</f>
        <v>1</v>
      </c>
    </row>
    <row r="571" spans="1:7" x14ac:dyDescent="0.3">
      <c r="A571" t="s">
        <v>1332</v>
      </c>
      <c r="B571" s="1">
        <v>45214.290277777778</v>
      </c>
      <c r="C571" s="2">
        <v>45214.290277777778</v>
      </c>
      <c r="D571" t="s">
        <v>1192</v>
      </c>
      <c r="E571">
        <v>27</v>
      </c>
      <c r="F571" t="s">
        <v>737</v>
      </c>
      <c r="G571" t="b">
        <f>LEFT(Logs_Reseau_Part[[#This Row],[Cell_ID]],1)="A"</f>
        <v>1</v>
      </c>
    </row>
    <row r="572" spans="1:7" x14ac:dyDescent="0.3">
      <c r="A572" t="s">
        <v>1221</v>
      </c>
      <c r="B572" s="1">
        <v>45214.272916666669</v>
      </c>
      <c r="C572" s="2">
        <v>45214.272916666669</v>
      </c>
      <c r="D572" t="s">
        <v>908</v>
      </c>
      <c r="E572">
        <v>26</v>
      </c>
      <c r="F572" t="s">
        <v>737</v>
      </c>
      <c r="G572" t="b">
        <f>LEFT(Logs_Reseau_Part[[#This Row],[Cell_ID]],1)="A"</f>
        <v>1</v>
      </c>
    </row>
    <row r="573" spans="1:7" x14ac:dyDescent="0.3">
      <c r="A573" t="s">
        <v>1363</v>
      </c>
      <c r="B573" s="1">
        <v>45214.23541666667</v>
      </c>
      <c r="C573" s="2">
        <v>45214.23541666667</v>
      </c>
      <c r="D573" t="s">
        <v>1373</v>
      </c>
      <c r="E573">
        <v>33</v>
      </c>
      <c r="F573" t="s">
        <v>734</v>
      </c>
      <c r="G573" t="b">
        <f>LEFT(Logs_Reseau_Part[[#This Row],[Cell_ID]],1)="A"</f>
        <v>1</v>
      </c>
    </row>
    <row r="574" spans="1:7" x14ac:dyDescent="0.3">
      <c r="A574" t="s">
        <v>1116</v>
      </c>
      <c r="B574" s="1">
        <v>45214.193055555559</v>
      </c>
      <c r="C574" s="2">
        <v>45214.193055555559</v>
      </c>
      <c r="D574" t="s">
        <v>763</v>
      </c>
      <c r="E574">
        <v>76</v>
      </c>
      <c r="F574" t="s">
        <v>739</v>
      </c>
      <c r="G574" t="b">
        <f>LEFT(Logs_Reseau_Part[[#This Row],[Cell_ID]],1)="A"</f>
        <v>1</v>
      </c>
    </row>
    <row r="575" spans="1:7" x14ac:dyDescent="0.3">
      <c r="A575" t="s">
        <v>781</v>
      </c>
      <c r="B575" s="1">
        <v>45214.185416666667</v>
      </c>
      <c r="C575" s="2">
        <v>45214.185416666667</v>
      </c>
      <c r="D575" t="s">
        <v>782</v>
      </c>
      <c r="E575">
        <v>36</v>
      </c>
      <c r="F575" t="s">
        <v>737</v>
      </c>
      <c r="G575" t="b">
        <f>LEFT(Logs_Reseau_Part[[#This Row],[Cell_ID]],1)="A"</f>
        <v>1</v>
      </c>
    </row>
    <row r="576" spans="1:7" x14ac:dyDescent="0.3">
      <c r="A576" t="s">
        <v>1384</v>
      </c>
      <c r="B576" s="1">
        <v>45214.172222222223</v>
      </c>
      <c r="C576" s="2">
        <v>45214.172222222223</v>
      </c>
      <c r="D576" t="s">
        <v>903</v>
      </c>
      <c r="E576">
        <v>6</v>
      </c>
      <c r="F576" t="s">
        <v>734</v>
      </c>
      <c r="G576" t="b">
        <f>LEFT(Logs_Reseau_Part[[#This Row],[Cell_ID]],1)="A"</f>
        <v>1</v>
      </c>
    </row>
    <row r="577" spans="1:7" x14ac:dyDescent="0.3">
      <c r="A577" t="s">
        <v>1290</v>
      </c>
      <c r="B577" s="1">
        <v>45214.168055555558</v>
      </c>
      <c r="C577" s="2">
        <v>45214.168055555558</v>
      </c>
      <c r="D577" t="s">
        <v>1303</v>
      </c>
      <c r="E577">
        <v>106</v>
      </c>
      <c r="F577" t="s">
        <v>734</v>
      </c>
      <c r="G577" t="b">
        <f>LEFT(Logs_Reseau_Part[[#This Row],[Cell_ID]],1)="A"</f>
        <v>1</v>
      </c>
    </row>
    <row r="578" spans="1:7" x14ac:dyDescent="0.3">
      <c r="A578" t="s">
        <v>1290</v>
      </c>
      <c r="B578" s="1">
        <v>45214.160416666673</v>
      </c>
      <c r="C578" s="2">
        <v>45214.160416666673</v>
      </c>
      <c r="D578" t="s">
        <v>1175</v>
      </c>
      <c r="E578">
        <v>108</v>
      </c>
      <c r="F578" t="s">
        <v>739</v>
      </c>
      <c r="G578" t="b">
        <f>LEFT(Logs_Reseau_Part[[#This Row],[Cell_ID]],1)="A"</f>
        <v>1</v>
      </c>
    </row>
    <row r="579" spans="1:7" x14ac:dyDescent="0.3">
      <c r="A579" t="s">
        <v>1347</v>
      </c>
      <c r="B579" s="1">
        <v>45214.145833333343</v>
      </c>
      <c r="C579" s="2">
        <v>45214.145833333343</v>
      </c>
      <c r="D579" t="s">
        <v>983</v>
      </c>
      <c r="E579">
        <v>29</v>
      </c>
      <c r="F579" t="s">
        <v>739</v>
      </c>
      <c r="G579" t="b">
        <f>LEFT(Logs_Reseau_Part[[#This Row],[Cell_ID]],1)="A"</f>
        <v>1</v>
      </c>
    </row>
    <row r="580" spans="1:7" x14ac:dyDescent="0.3">
      <c r="A580" t="s">
        <v>1221</v>
      </c>
      <c r="B580" s="1">
        <v>45214.136111111111</v>
      </c>
      <c r="C580" s="2">
        <v>45214.136111111111</v>
      </c>
      <c r="D580" t="s">
        <v>1237</v>
      </c>
      <c r="E580">
        <v>92</v>
      </c>
      <c r="F580" t="s">
        <v>734</v>
      </c>
      <c r="G580" t="b">
        <f>LEFT(Logs_Reseau_Part[[#This Row],[Cell_ID]],1)="A"</f>
        <v>1</v>
      </c>
    </row>
    <row r="581" spans="1:7" x14ac:dyDescent="0.3">
      <c r="A581" t="s">
        <v>904</v>
      </c>
      <c r="B581" s="1">
        <v>45214.113194444442</v>
      </c>
      <c r="C581" s="2">
        <v>45214.113194444442</v>
      </c>
      <c r="D581" t="s">
        <v>790</v>
      </c>
      <c r="E581">
        <v>47</v>
      </c>
      <c r="F581" t="s">
        <v>739</v>
      </c>
      <c r="G581" t="b">
        <f>LEFT(Logs_Reseau_Part[[#This Row],[Cell_ID]],1)="A"</f>
        <v>1</v>
      </c>
    </row>
    <row r="582" spans="1:7" x14ac:dyDescent="0.3">
      <c r="A582" t="s">
        <v>904</v>
      </c>
      <c r="B582" s="1">
        <v>45214.109722222223</v>
      </c>
      <c r="C582" s="2">
        <v>45214.109722222223</v>
      </c>
      <c r="D582" t="s">
        <v>938</v>
      </c>
      <c r="E582">
        <v>102</v>
      </c>
      <c r="F582" t="s">
        <v>737</v>
      </c>
      <c r="G582" t="b">
        <f>LEFT(Logs_Reseau_Part[[#This Row],[Cell_ID]],1)="A"</f>
        <v>1</v>
      </c>
    </row>
    <row r="583" spans="1:7" x14ac:dyDescent="0.3">
      <c r="A583" t="s">
        <v>1332</v>
      </c>
      <c r="B583" s="1">
        <v>45214.081944444442</v>
      </c>
      <c r="C583" s="2">
        <v>45214.081944444442</v>
      </c>
      <c r="D583" t="s">
        <v>1343</v>
      </c>
      <c r="E583">
        <v>87</v>
      </c>
      <c r="F583" t="s">
        <v>737</v>
      </c>
      <c r="G583" t="b">
        <f>LEFT(Logs_Reseau_Part[[#This Row],[Cell_ID]],1)="A"</f>
        <v>1</v>
      </c>
    </row>
    <row r="584" spans="1:7" x14ac:dyDescent="0.3">
      <c r="A584" t="s">
        <v>1243</v>
      </c>
      <c r="B584" s="1">
        <v>45214.018750000003</v>
      </c>
      <c r="C584" s="2">
        <v>45214.018750000003</v>
      </c>
      <c r="D584" t="s">
        <v>881</v>
      </c>
      <c r="E584">
        <v>115</v>
      </c>
      <c r="F584" t="s">
        <v>737</v>
      </c>
      <c r="G584" t="b">
        <f>LEFT(Logs_Reseau_Part[[#This Row],[Cell_ID]],1)="A"</f>
        <v>1</v>
      </c>
    </row>
    <row r="585" spans="1:7" x14ac:dyDescent="0.3">
      <c r="A585" t="s">
        <v>1363</v>
      </c>
      <c r="B585" s="1">
        <v>45213.963194444441</v>
      </c>
      <c r="C585" s="2">
        <v>45213.963194444441</v>
      </c>
      <c r="D585" t="s">
        <v>1364</v>
      </c>
      <c r="E585">
        <v>25</v>
      </c>
      <c r="F585" t="s">
        <v>737</v>
      </c>
      <c r="G585" t="b">
        <f>LEFT(Logs_Reseau_Part[[#This Row],[Cell_ID]],1)="A"</f>
        <v>1</v>
      </c>
    </row>
    <row r="586" spans="1:7" x14ac:dyDescent="0.3">
      <c r="A586" t="s">
        <v>1001</v>
      </c>
      <c r="B586" s="1">
        <v>45213.960416666669</v>
      </c>
      <c r="C586" s="2">
        <v>45213.960416666669</v>
      </c>
      <c r="D586" t="s">
        <v>1003</v>
      </c>
      <c r="E586">
        <v>103</v>
      </c>
      <c r="F586" t="s">
        <v>737</v>
      </c>
      <c r="G586" t="b">
        <f>LEFT(Logs_Reseau_Part[[#This Row],[Cell_ID]],1)="A"</f>
        <v>1</v>
      </c>
    </row>
    <row r="587" spans="1:7" x14ac:dyDescent="0.3">
      <c r="A587" t="s">
        <v>781</v>
      </c>
      <c r="B587" s="1">
        <v>45213.948611111111</v>
      </c>
      <c r="C587" s="2">
        <v>45213.948611111111</v>
      </c>
      <c r="D587" t="s">
        <v>801</v>
      </c>
      <c r="E587">
        <v>72</v>
      </c>
      <c r="F587" t="s">
        <v>737</v>
      </c>
      <c r="G587" t="b">
        <f>LEFT(Logs_Reseau_Part[[#This Row],[Cell_ID]],1)="A"</f>
        <v>1</v>
      </c>
    </row>
    <row r="588" spans="1:7" x14ac:dyDescent="0.3">
      <c r="A588" t="s">
        <v>1243</v>
      </c>
      <c r="B588" s="1">
        <v>45213.922222222223</v>
      </c>
      <c r="C588" s="2">
        <v>45213.922222222223</v>
      </c>
      <c r="D588" t="s">
        <v>1170</v>
      </c>
      <c r="E588">
        <v>40</v>
      </c>
      <c r="F588" t="s">
        <v>734</v>
      </c>
      <c r="G588" t="b">
        <f>LEFT(Logs_Reseau_Part[[#This Row],[Cell_ID]],1)="A"</f>
        <v>1</v>
      </c>
    </row>
    <row r="589" spans="1:7" x14ac:dyDescent="0.3">
      <c r="A589" t="s">
        <v>1384</v>
      </c>
      <c r="B589" s="1">
        <v>45213.907638888893</v>
      </c>
      <c r="C589" s="2">
        <v>45213.907638888893</v>
      </c>
      <c r="D589" t="s">
        <v>1357</v>
      </c>
      <c r="E589">
        <v>52</v>
      </c>
      <c r="F589" t="s">
        <v>734</v>
      </c>
      <c r="G589" t="b">
        <f>LEFT(Logs_Reseau_Part[[#This Row],[Cell_ID]],1)="A"</f>
        <v>1</v>
      </c>
    </row>
    <row r="590" spans="1:7" x14ac:dyDescent="0.3">
      <c r="A590" t="s">
        <v>825</v>
      </c>
      <c r="B590" s="1">
        <v>45213.89166666667</v>
      </c>
      <c r="C590" s="2">
        <v>45213.89166666667</v>
      </c>
      <c r="D590" t="s">
        <v>846</v>
      </c>
      <c r="E590">
        <v>104</v>
      </c>
      <c r="F590" t="s">
        <v>734</v>
      </c>
      <c r="G590" t="b">
        <f>LEFT(Logs_Reseau_Part[[#This Row],[Cell_ID]],1)="A"</f>
        <v>1</v>
      </c>
    </row>
    <row r="591" spans="1:7" x14ac:dyDescent="0.3">
      <c r="A591" t="s">
        <v>1363</v>
      </c>
      <c r="B591" s="1">
        <v>45213.87222222222</v>
      </c>
      <c r="C591" s="2">
        <v>45213.87222222222</v>
      </c>
      <c r="D591" t="s">
        <v>1368</v>
      </c>
      <c r="E591">
        <v>46</v>
      </c>
      <c r="F591" t="s">
        <v>737</v>
      </c>
      <c r="G591" t="b">
        <f>LEFT(Logs_Reseau_Part[[#This Row],[Cell_ID]],1)="A"</f>
        <v>1</v>
      </c>
    </row>
    <row r="592" spans="1:7" x14ac:dyDescent="0.3">
      <c r="A592" t="s">
        <v>1384</v>
      </c>
      <c r="B592" s="1">
        <v>45213.822222222218</v>
      </c>
      <c r="C592" s="2">
        <v>45213.822222222218</v>
      </c>
      <c r="D592" t="s">
        <v>1392</v>
      </c>
      <c r="E592">
        <v>100</v>
      </c>
      <c r="F592" t="s">
        <v>737</v>
      </c>
      <c r="G592" t="b">
        <f>LEFT(Logs_Reseau_Part[[#This Row],[Cell_ID]],1)="A"</f>
        <v>1</v>
      </c>
    </row>
    <row r="593" spans="1:7" x14ac:dyDescent="0.3">
      <c r="A593" t="s">
        <v>941</v>
      </c>
      <c r="B593" s="1">
        <v>45213.779861111107</v>
      </c>
      <c r="C593" s="2">
        <v>45213.779861111107</v>
      </c>
      <c r="D593" t="s">
        <v>969</v>
      </c>
      <c r="E593">
        <v>120</v>
      </c>
      <c r="F593" t="s">
        <v>734</v>
      </c>
      <c r="G593" t="b">
        <f>LEFT(Logs_Reseau_Part[[#This Row],[Cell_ID]],1)="A"</f>
        <v>1</v>
      </c>
    </row>
    <row r="594" spans="1:7" x14ac:dyDescent="0.3">
      <c r="A594" t="s">
        <v>1363</v>
      </c>
      <c r="B594" s="1">
        <v>45213.770833333343</v>
      </c>
      <c r="C594" s="2">
        <v>45213.770833333343</v>
      </c>
      <c r="D594" t="s">
        <v>1371</v>
      </c>
      <c r="E594">
        <v>11</v>
      </c>
      <c r="F594" t="s">
        <v>739</v>
      </c>
      <c r="G594" t="b">
        <f>LEFT(Logs_Reseau_Part[[#This Row],[Cell_ID]],1)="A"</f>
        <v>1</v>
      </c>
    </row>
    <row r="595" spans="1:7" x14ac:dyDescent="0.3">
      <c r="A595" t="s">
        <v>1116</v>
      </c>
      <c r="B595" s="1">
        <v>45213.763194444437</v>
      </c>
      <c r="C595" s="2">
        <v>45213.763194444437</v>
      </c>
      <c r="D595" t="s">
        <v>1122</v>
      </c>
      <c r="E595">
        <v>119</v>
      </c>
      <c r="F595" t="s">
        <v>739</v>
      </c>
      <c r="G595" t="b">
        <f>LEFT(Logs_Reseau_Part[[#This Row],[Cell_ID]],1)="A"</f>
        <v>1</v>
      </c>
    </row>
    <row r="596" spans="1:7" x14ac:dyDescent="0.3">
      <c r="A596" t="s">
        <v>781</v>
      </c>
      <c r="B596" s="1">
        <v>45213.645833333343</v>
      </c>
      <c r="C596" s="2">
        <v>45213.645833333343</v>
      </c>
      <c r="D596" t="s">
        <v>797</v>
      </c>
      <c r="E596">
        <v>95</v>
      </c>
      <c r="F596" t="s">
        <v>734</v>
      </c>
      <c r="G596" t="b">
        <f>LEFT(Logs_Reseau_Part[[#This Row],[Cell_ID]],1)="A"</f>
        <v>1</v>
      </c>
    </row>
    <row r="597" spans="1:7" x14ac:dyDescent="0.3">
      <c r="A597" t="s">
        <v>1195</v>
      </c>
      <c r="B597" s="1">
        <v>45213.607638888891</v>
      </c>
      <c r="C597" s="2">
        <v>45213.607638888891</v>
      </c>
      <c r="D597" t="s">
        <v>1211</v>
      </c>
      <c r="E597">
        <v>22</v>
      </c>
      <c r="F597" t="s">
        <v>734</v>
      </c>
      <c r="G597" t="b">
        <f>LEFT(Logs_Reseau_Part[[#This Row],[Cell_ID]],1)="A"</f>
        <v>1</v>
      </c>
    </row>
    <row r="598" spans="1:7" x14ac:dyDescent="0.3">
      <c r="A598" t="s">
        <v>1001</v>
      </c>
      <c r="B598" s="1">
        <v>45213.597916666673</v>
      </c>
      <c r="C598" s="2">
        <v>45213.597916666673</v>
      </c>
      <c r="D598" t="s">
        <v>1015</v>
      </c>
      <c r="E598">
        <v>108</v>
      </c>
      <c r="F598" t="s">
        <v>737</v>
      </c>
      <c r="G598" t="b">
        <f>LEFT(Logs_Reseau_Part[[#This Row],[Cell_ID]],1)="A"</f>
        <v>1</v>
      </c>
    </row>
    <row r="599" spans="1:7" x14ac:dyDescent="0.3">
      <c r="A599" t="s">
        <v>1221</v>
      </c>
      <c r="B599" s="1">
        <v>45213.593055555553</v>
      </c>
      <c r="C599" s="2">
        <v>45213.593055555553</v>
      </c>
      <c r="D599" t="s">
        <v>1155</v>
      </c>
      <c r="E599">
        <v>50</v>
      </c>
      <c r="F599" t="s">
        <v>739</v>
      </c>
      <c r="G599" t="b">
        <f>LEFT(Logs_Reseau_Part[[#This Row],[Cell_ID]],1)="A"</f>
        <v>1</v>
      </c>
    </row>
    <row r="600" spans="1:7" x14ac:dyDescent="0.3">
      <c r="A600" t="s">
        <v>1363</v>
      </c>
      <c r="B600" s="1">
        <v>45213.584722222222</v>
      </c>
      <c r="C600" s="2">
        <v>45213.584722222222</v>
      </c>
      <c r="D600" t="s">
        <v>1378</v>
      </c>
      <c r="E600">
        <v>35</v>
      </c>
      <c r="F600" t="s">
        <v>737</v>
      </c>
      <c r="G600" t="b">
        <f>LEFT(Logs_Reseau_Part[[#This Row],[Cell_ID]],1)="A"</f>
        <v>1</v>
      </c>
    </row>
    <row r="601" spans="1:7" x14ac:dyDescent="0.3">
      <c r="A601" t="s">
        <v>1088</v>
      </c>
      <c r="B601" s="1">
        <v>45213.577777777777</v>
      </c>
      <c r="C601" s="2">
        <v>45213.577777777777</v>
      </c>
      <c r="D601" t="s">
        <v>1100</v>
      </c>
      <c r="E601">
        <v>93</v>
      </c>
      <c r="F601" t="s">
        <v>737</v>
      </c>
      <c r="G601" t="b">
        <f>LEFT(Logs_Reseau_Part[[#This Row],[Cell_ID]],1)="A"</f>
        <v>1</v>
      </c>
    </row>
    <row r="602" spans="1:7" x14ac:dyDescent="0.3">
      <c r="A602" t="s">
        <v>1347</v>
      </c>
      <c r="B602" s="1">
        <v>45213.518750000003</v>
      </c>
      <c r="C602" s="2">
        <v>45213.518750000003</v>
      </c>
      <c r="D602" t="s">
        <v>1272</v>
      </c>
      <c r="E602">
        <v>88</v>
      </c>
      <c r="F602" t="s">
        <v>737</v>
      </c>
      <c r="G602" t="b">
        <f>LEFT(Logs_Reseau_Part[[#This Row],[Cell_ID]],1)="A"</f>
        <v>1</v>
      </c>
    </row>
    <row r="603" spans="1:7" x14ac:dyDescent="0.3">
      <c r="A603" t="s">
        <v>1026</v>
      </c>
      <c r="B603" s="1">
        <v>45213.446527777778</v>
      </c>
      <c r="C603" s="2">
        <v>45213.446527777778</v>
      </c>
      <c r="D603" t="s">
        <v>1041</v>
      </c>
      <c r="E603">
        <v>111</v>
      </c>
      <c r="F603" t="s">
        <v>734</v>
      </c>
      <c r="G603" t="b">
        <f>LEFT(Logs_Reseau_Part[[#This Row],[Cell_ID]],1)="A"</f>
        <v>1</v>
      </c>
    </row>
    <row r="604" spans="1:7" x14ac:dyDescent="0.3">
      <c r="A604" t="s">
        <v>732</v>
      </c>
      <c r="B604" s="1">
        <v>45213.428472222222</v>
      </c>
      <c r="C604" s="2">
        <v>45213.428472222222</v>
      </c>
      <c r="D604" t="s">
        <v>750</v>
      </c>
      <c r="E604">
        <v>101</v>
      </c>
      <c r="F604" t="s">
        <v>737</v>
      </c>
      <c r="G604" t="b">
        <f>LEFT(Logs_Reseau_Part[[#This Row],[Cell_ID]],1)="A"</f>
        <v>1</v>
      </c>
    </row>
    <row r="605" spans="1:7" x14ac:dyDescent="0.3">
      <c r="A605" t="s">
        <v>1406</v>
      </c>
      <c r="B605" s="1">
        <v>45213.417361111111</v>
      </c>
      <c r="C605" s="2">
        <v>45213.417361111111</v>
      </c>
      <c r="D605" t="s">
        <v>1072</v>
      </c>
      <c r="E605">
        <v>100</v>
      </c>
      <c r="F605" t="s">
        <v>734</v>
      </c>
      <c r="G605" t="b">
        <f>LEFT(Logs_Reseau_Part[[#This Row],[Cell_ID]],1)="A"</f>
        <v>1</v>
      </c>
    </row>
    <row r="606" spans="1:7" x14ac:dyDescent="0.3">
      <c r="A606" t="s">
        <v>1195</v>
      </c>
      <c r="B606" s="1">
        <v>45213.351388888892</v>
      </c>
      <c r="C606" s="2">
        <v>45213.351388888892</v>
      </c>
      <c r="D606" t="s">
        <v>1219</v>
      </c>
      <c r="E606">
        <v>86</v>
      </c>
      <c r="F606" t="s">
        <v>739</v>
      </c>
      <c r="G606" t="b">
        <f>LEFT(Logs_Reseau_Part[[#This Row],[Cell_ID]],1)="A"</f>
        <v>1</v>
      </c>
    </row>
    <row r="607" spans="1:7" x14ac:dyDescent="0.3">
      <c r="A607" t="s">
        <v>1001</v>
      </c>
      <c r="B607" s="1">
        <v>45213.342361111107</v>
      </c>
      <c r="C607" s="2">
        <v>45213.342361111107</v>
      </c>
      <c r="D607" t="s">
        <v>1022</v>
      </c>
      <c r="E607">
        <v>63</v>
      </c>
      <c r="F607" t="s">
        <v>737</v>
      </c>
      <c r="G607" t="b">
        <f>LEFT(Logs_Reseau_Part[[#This Row],[Cell_ID]],1)="A"</f>
        <v>1</v>
      </c>
    </row>
    <row r="608" spans="1:7" x14ac:dyDescent="0.3">
      <c r="A608" t="s">
        <v>980</v>
      </c>
      <c r="B608" s="1">
        <v>45213.334722222222</v>
      </c>
      <c r="C608" s="2">
        <v>45213.334722222222</v>
      </c>
      <c r="D608" t="s">
        <v>986</v>
      </c>
      <c r="E608">
        <v>62</v>
      </c>
      <c r="F608" t="s">
        <v>734</v>
      </c>
      <c r="G608" t="b">
        <f>LEFT(Logs_Reseau_Part[[#This Row],[Cell_ID]],1)="A"</f>
        <v>1</v>
      </c>
    </row>
    <row r="609" spans="1:7" x14ac:dyDescent="0.3">
      <c r="A609" t="s">
        <v>1195</v>
      </c>
      <c r="B609" s="1">
        <v>45213.328472222223</v>
      </c>
      <c r="C609" s="2">
        <v>45213.328472222223</v>
      </c>
      <c r="D609" t="s">
        <v>1199</v>
      </c>
      <c r="E609">
        <v>22</v>
      </c>
      <c r="F609" t="s">
        <v>739</v>
      </c>
      <c r="G609" t="b">
        <f>LEFT(Logs_Reseau_Part[[#This Row],[Cell_ID]],1)="A"</f>
        <v>1</v>
      </c>
    </row>
    <row r="610" spans="1:7" x14ac:dyDescent="0.3">
      <c r="A610" t="s">
        <v>732</v>
      </c>
      <c r="B610" s="1">
        <v>45213.311111111107</v>
      </c>
      <c r="C610" s="2">
        <v>45213.311111111107</v>
      </c>
      <c r="D610" t="s">
        <v>746</v>
      </c>
      <c r="E610">
        <v>22</v>
      </c>
      <c r="F610" t="s">
        <v>737</v>
      </c>
      <c r="G610" t="b">
        <f>LEFT(Logs_Reseau_Part[[#This Row],[Cell_ID]],1)="A"</f>
        <v>1</v>
      </c>
    </row>
    <row r="611" spans="1:7" x14ac:dyDescent="0.3">
      <c r="A611" t="s">
        <v>781</v>
      </c>
      <c r="B611" s="1">
        <v>45213.254166666673</v>
      </c>
      <c r="C611" s="2">
        <v>45213.254166666673</v>
      </c>
      <c r="D611" t="s">
        <v>784</v>
      </c>
      <c r="E611">
        <v>73</v>
      </c>
      <c r="F611" t="s">
        <v>739</v>
      </c>
      <c r="G611" t="b">
        <f>LEFT(Logs_Reseau_Part[[#This Row],[Cell_ID]],1)="A"</f>
        <v>1</v>
      </c>
    </row>
    <row r="612" spans="1:7" x14ac:dyDescent="0.3">
      <c r="A612" t="s">
        <v>1195</v>
      </c>
      <c r="B612" s="1">
        <v>45213.238194444442</v>
      </c>
      <c r="C612" s="2">
        <v>45213.238194444442</v>
      </c>
      <c r="D612" t="s">
        <v>1203</v>
      </c>
      <c r="E612">
        <v>53</v>
      </c>
      <c r="F612" t="s">
        <v>737</v>
      </c>
      <c r="G612" t="b">
        <f>LEFT(Logs_Reseau_Part[[#This Row],[Cell_ID]],1)="A"</f>
        <v>1</v>
      </c>
    </row>
    <row r="613" spans="1:7" x14ac:dyDescent="0.3">
      <c r="A613" t="s">
        <v>1061</v>
      </c>
      <c r="B613" s="1">
        <v>45213.237500000003</v>
      </c>
      <c r="C613" s="2">
        <v>45213.237500000003</v>
      </c>
      <c r="D613" t="s">
        <v>858</v>
      </c>
      <c r="E613">
        <v>68</v>
      </c>
      <c r="F613" t="s">
        <v>739</v>
      </c>
      <c r="G613" t="b">
        <f>LEFT(Logs_Reseau_Part[[#This Row],[Cell_ID]],1)="A"</f>
        <v>1</v>
      </c>
    </row>
    <row r="614" spans="1:7" x14ac:dyDescent="0.3">
      <c r="A614" t="s">
        <v>1310</v>
      </c>
      <c r="B614" s="1">
        <v>45213.210416666669</v>
      </c>
      <c r="C614" s="2">
        <v>45213.210416666669</v>
      </c>
      <c r="D614" t="s">
        <v>1327</v>
      </c>
      <c r="E614">
        <v>28</v>
      </c>
      <c r="F614" t="s">
        <v>739</v>
      </c>
      <c r="G614" t="b">
        <f>LEFT(Logs_Reseau_Part[[#This Row],[Cell_ID]],1)="A"</f>
        <v>1</v>
      </c>
    </row>
    <row r="615" spans="1:7" x14ac:dyDescent="0.3">
      <c r="A615" t="s">
        <v>1263</v>
      </c>
      <c r="B615" s="1">
        <v>45213.145138888889</v>
      </c>
      <c r="C615" s="2">
        <v>45213.145138888889</v>
      </c>
      <c r="D615" t="s">
        <v>1166</v>
      </c>
      <c r="E615">
        <v>105</v>
      </c>
      <c r="F615" t="s">
        <v>737</v>
      </c>
      <c r="G615" t="b">
        <f>LEFT(Logs_Reseau_Part[[#This Row],[Cell_ID]],1)="A"</f>
        <v>1</v>
      </c>
    </row>
    <row r="616" spans="1:7" x14ac:dyDescent="0.3">
      <c r="A616" t="s">
        <v>825</v>
      </c>
      <c r="B616" s="1">
        <v>45213.112500000003</v>
      </c>
      <c r="C616" s="2">
        <v>45213.112500000003</v>
      </c>
      <c r="D616" t="s">
        <v>838</v>
      </c>
      <c r="E616">
        <v>93</v>
      </c>
      <c r="F616" t="s">
        <v>734</v>
      </c>
      <c r="G616" t="b">
        <f>LEFT(Logs_Reseau_Part[[#This Row],[Cell_ID]],1)="A"</f>
        <v>1</v>
      </c>
    </row>
    <row r="617" spans="1:7" x14ac:dyDescent="0.3">
      <c r="A617" t="s">
        <v>1167</v>
      </c>
      <c r="B617" s="1">
        <v>45213.066666666673</v>
      </c>
      <c r="C617" s="2">
        <v>45213.066666666673</v>
      </c>
      <c r="D617" t="s">
        <v>1073</v>
      </c>
      <c r="E617">
        <v>63</v>
      </c>
      <c r="F617" t="s">
        <v>734</v>
      </c>
      <c r="G617" t="b">
        <f>LEFT(Logs_Reseau_Part[[#This Row],[Cell_ID]],1)="A"</f>
        <v>1</v>
      </c>
    </row>
    <row r="618" spans="1:7" x14ac:dyDescent="0.3">
      <c r="A618" t="s">
        <v>732</v>
      </c>
      <c r="B618" s="1">
        <v>45213.042361111111</v>
      </c>
      <c r="C618" s="2">
        <v>45213.042361111111</v>
      </c>
      <c r="D618" t="s">
        <v>741</v>
      </c>
      <c r="E618">
        <v>119</v>
      </c>
      <c r="F618" t="s">
        <v>737</v>
      </c>
      <c r="G618" t="b">
        <f>LEFT(Logs_Reseau_Part[[#This Row],[Cell_ID]],1)="A"</f>
        <v>1</v>
      </c>
    </row>
    <row r="619" spans="1:7" x14ac:dyDescent="0.3">
      <c r="A619" t="s">
        <v>1061</v>
      </c>
      <c r="B619" s="1">
        <v>45213.027083333327</v>
      </c>
      <c r="C619" s="2">
        <v>45213.027083333327</v>
      </c>
      <c r="D619" t="s">
        <v>1067</v>
      </c>
      <c r="E619">
        <v>68</v>
      </c>
      <c r="F619" t="s">
        <v>739</v>
      </c>
      <c r="G619" t="b">
        <f>LEFT(Logs_Reseau_Part[[#This Row],[Cell_ID]],1)="A"</f>
        <v>1</v>
      </c>
    </row>
    <row r="620" spans="1:7" x14ac:dyDescent="0.3">
      <c r="A620" t="s">
        <v>825</v>
      </c>
      <c r="B620" s="1">
        <v>45213.022916666669</v>
      </c>
      <c r="C620" s="2">
        <v>45213.022916666669</v>
      </c>
      <c r="D620" t="s">
        <v>741</v>
      </c>
      <c r="E620">
        <v>56</v>
      </c>
      <c r="F620" t="s">
        <v>739</v>
      </c>
      <c r="G620" t="b">
        <f>LEFT(Logs_Reseau_Part[[#This Row],[Cell_ID]],1)="A"</f>
        <v>1</v>
      </c>
    </row>
    <row r="621" spans="1:7" x14ac:dyDescent="0.3">
      <c r="A621" t="s">
        <v>863</v>
      </c>
      <c r="B621" s="1">
        <v>45212.965277777781</v>
      </c>
      <c r="C621" s="2">
        <v>45212.965277777781</v>
      </c>
      <c r="D621" t="s">
        <v>866</v>
      </c>
      <c r="E621">
        <v>27</v>
      </c>
      <c r="F621" t="s">
        <v>739</v>
      </c>
      <c r="G621" t="b">
        <f>LEFT(Logs_Reseau_Part[[#This Row],[Cell_ID]],1)="A"</f>
        <v>1</v>
      </c>
    </row>
    <row r="622" spans="1:7" x14ac:dyDescent="0.3">
      <c r="A622" t="s">
        <v>825</v>
      </c>
      <c r="B622" s="1">
        <v>45212.929166666669</v>
      </c>
      <c r="C622" s="2">
        <v>45212.929166666669</v>
      </c>
      <c r="D622" t="s">
        <v>844</v>
      </c>
      <c r="E622">
        <v>118</v>
      </c>
      <c r="F622" t="s">
        <v>739</v>
      </c>
      <c r="G622" t="b">
        <f>LEFT(Logs_Reseau_Part[[#This Row],[Cell_ID]],1)="A"</f>
        <v>1</v>
      </c>
    </row>
    <row r="623" spans="1:7" x14ac:dyDescent="0.3">
      <c r="A623" t="s">
        <v>1384</v>
      </c>
      <c r="B623" s="1">
        <v>45212.901388888888</v>
      </c>
      <c r="C623" s="2">
        <v>45212.901388888888</v>
      </c>
      <c r="D623" t="s">
        <v>798</v>
      </c>
      <c r="E623">
        <v>58</v>
      </c>
      <c r="F623" t="s">
        <v>734</v>
      </c>
      <c r="G623" t="b">
        <f>LEFT(Logs_Reseau_Part[[#This Row],[Cell_ID]],1)="A"</f>
        <v>1</v>
      </c>
    </row>
    <row r="624" spans="1:7" x14ac:dyDescent="0.3">
      <c r="A624" t="s">
        <v>1406</v>
      </c>
      <c r="B624" s="1">
        <v>45212.879861111112</v>
      </c>
      <c r="C624" s="2">
        <v>45212.879861111112</v>
      </c>
      <c r="D624" t="s">
        <v>1085</v>
      </c>
      <c r="E624">
        <v>99</v>
      </c>
      <c r="F624" t="s">
        <v>734</v>
      </c>
      <c r="G624" t="b">
        <f>LEFT(Logs_Reseau_Part[[#This Row],[Cell_ID]],1)="A"</f>
        <v>1</v>
      </c>
    </row>
    <row r="625" spans="1:7" x14ac:dyDescent="0.3">
      <c r="A625" t="s">
        <v>1406</v>
      </c>
      <c r="B625" s="1">
        <v>45212.875694444447</v>
      </c>
      <c r="C625" s="2">
        <v>45212.875694444447</v>
      </c>
      <c r="D625" t="s">
        <v>1415</v>
      </c>
      <c r="E625">
        <v>23</v>
      </c>
      <c r="F625" t="s">
        <v>734</v>
      </c>
      <c r="G625" t="b">
        <f>LEFT(Logs_Reseau_Part[[#This Row],[Cell_ID]],1)="A"</f>
        <v>1</v>
      </c>
    </row>
    <row r="626" spans="1:7" x14ac:dyDescent="0.3">
      <c r="A626" t="s">
        <v>1310</v>
      </c>
      <c r="B626" s="1">
        <v>45212.774305555547</v>
      </c>
      <c r="C626" s="2">
        <v>45212.774305555547</v>
      </c>
      <c r="D626" t="s">
        <v>1330</v>
      </c>
      <c r="E626">
        <v>33</v>
      </c>
      <c r="F626" t="s">
        <v>734</v>
      </c>
      <c r="G626" t="b">
        <f>LEFT(Logs_Reseau_Part[[#This Row],[Cell_ID]],1)="A"</f>
        <v>1</v>
      </c>
    </row>
    <row r="627" spans="1:7" x14ac:dyDescent="0.3">
      <c r="A627" t="s">
        <v>1221</v>
      </c>
      <c r="B627" s="1">
        <v>45212.754861111112</v>
      </c>
      <c r="C627" s="2">
        <v>45212.754861111112</v>
      </c>
      <c r="D627" t="s">
        <v>849</v>
      </c>
      <c r="E627">
        <v>112</v>
      </c>
      <c r="F627" t="s">
        <v>739</v>
      </c>
      <c r="G627" t="b">
        <f>LEFT(Logs_Reseau_Part[[#This Row],[Cell_ID]],1)="A"</f>
        <v>1</v>
      </c>
    </row>
    <row r="628" spans="1:7" x14ac:dyDescent="0.3">
      <c r="A628" t="s">
        <v>1406</v>
      </c>
      <c r="B628" s="1">
        <v>45212.720833333333</v>
      </c>
      <c r="C628" s="2">
        <v>45212.720833333333</v>
      </c>
      <c r="D628" t="s">
        <v>1416</v>
      </c>
      <c r="E628">
        <v>33</v>
      </c>
      <c r="F628" t="s">
        <v>739</v>
      </c>
      <c r="G628" t="b">
        <f>LEFT(Logs_Reseau_Part[[#This Row],[Cell_ID]],1)="A"</f>
        <v>1</v>
      </c>
    </row>
    <row r="629" spans="1:7" x14ac:dyDescent="0.3">
      <c r="A629" t="s">
        <v>1167</v>
      </c>
      <c r="B629" s="1">
        <v>45212.680555555547</v>
      </c>
      <c r="C629" s="2">
        <v>45212.680555555547</v>
      </c>
      <c r="D629" t="s">
        <v>1169</v>
      </c>
      <c r="E629">
        <v>63</v>
      </c>
      <c r="F629" t="s">
        <v>734</v>
      </c>
      <c r="G629" t="b">
        <f>LEFT(Logs_Reseau_Part[[#This Row],[Cell_ID]],1)="A"</f>
        <v>1</v>
      </c>
    </row>
    <row r="630" spans="1:7" x14ac:dyDescent="0.3">
      <c r="A630" t="s">
        <v>1061</v>
      </c>
      <c r="B630" s="1">
        <v>45212.626388888893</v>
      </c>
      <c r="C630" s="2">
        <v>45212.626388888893</v>
      </c>
      <c r="D630" t="s">
        <v>1071</v>
      </c>
      <c r="E630">
        <v>107</v>
      </c>
      <c r="F630" t="s">
        <v>737</v>
      </c>
      <c r="G630" t="b">
        <f>LEFT(Logs_Reseau_Part[[#This Row],[Cell_ID]],1)="A"</f>
        <v>1</v>
      </c>
    </row>
    <row r="631" spans="1:7" x14ac:dyDescent="0.3">
      <c r="A631" t="s">
        <v>941</v>
      </c>
      <c r="B631" s="1">
        <v>45212.624305555553</v>
      </c>
      <c r="C631" s="2">
        <v>45212.624305555553</v>
      </c>
      <c r="D631" t="s">
        <v>942</v>
      </c>
      <c r="E631">
        <v>113</v>
      </c>
      <c r="F631" t="s">
        <v>739</v>
      </c>
      <c r="G631" t="b">
        <f>LEFT(Logs_Reseau_Part[[#This Row],[Cell_ID]],1)="A"</f>
        <v>1</v>
      </c>
    </row>
    <row r="632" spans="1:7" x14ac:dyDescent="0.3">
      <c r="A632" t="s">
        <v>1221</v>
      </c>
      <c r="B632" s="1">
        <v>45212.617361111108</v>
      </c>
      <c r="C632" s="2">
        <v>45212.617361111108</v>
      </c>
      <c r="D632" t="s">
        <v>1222</v>
      </c>
      <c r="E632">
        <v>28</v>
      </c>
      <c r="F632" t="s">
        <v>734</v>
      </c>
      <c r="G632" t="b">
        <f>LEFT(Logs_Reseau_Part[[#This Row],[Cell_ID]],1)="A"</f>
        <v>1</v>
      </c>
    </row>
    <row r="633" spans="1:7" x14ac:dyDescent="0.3">
      <c r="A633" t="s">
        <v>980</v>
      </c>
      <c r="B633" s="1">
        <v>45212.599305555559</v>
      </c>
      <c r="C633" s="2">
        <v>45212.599305555559</v>
      </c>
      <c r="D633" t="s">
        <v>883</v>
      </c>
      <c r="E633">
        <v>58</v>
      </c>
      <c r="F633" t="s">
        <v>737</v>
      </c>
      <c r="G633" t="b">
        <f>LEFT(Logs_Reseau_Part[[#This Row],[Cell_ID]],1)="A"</f>
        <v>1</v>
      </c>
    </row>
    <row r="634" spans="1:7" x14ac:dyDescent="0.3">
      <c r="A634" t="s">
        <v>1221</v>
      </c>
      <c r="B634" s="1">
        <v>45212.568055555559</v>
      </c>
      <c r="C634" s="2">
        <v>45212.568055555559</v>
      </c>
      <c r="D634" t="s">
        <v>1241</v>
      </c>
      <c r="E634">
        <v>42</v>
      </c>
      <c r="F634" t="s">
        <v>737</v>
      </c>
      <c r="G634" t="b">
        <f>LEFT(Logs_Reseau_Part[[#This Row],[Cell_ID]],1)="A"</f>
        <v>1</v>
      </c>
    </row>
    <row r="635" spans="1:7" x14ac:dyDescent="0.3">
      <c r="A635" t="s">
        <v>1363</v>
      </c>
      <c r="B635" s="1">
        <v>45212.48541666667</v>
      </c>
      <c r="C635" s="2">
        <v>45212.48541666667</v>
      </c>
      <c r="D635" t="s">
        <v>1374</v>
      </c>
      <c r="E635">
        <v>75</v>
      </c>
      <c r="F635" t="s">
        <v>734</v>
      </c>
      <c r="G635" t="b">
        <f>LEFT(Logs_Reseau_Part[[#This Row],[Cell_ID]],1)="A"</f>
        <v>1</v>
      </c>
    </row>
    <row r="636" spans="1:7" x14ac:dyDescent="0.3">
      <c r="A636" t="s">
        <v>1332</v>
      </c>
      <c r="B636" s="1">
        <v>45212.447222222218</v>
      </c>
      <c r="C636" s="2">
        <v>45212.447222222218</v>
      </c>
      <c r="D636" t="s">
        <v>1228</v>
      </c>
      <c r="E636">
        <v>88</v>
      </c>
      <c r="F636" t="s">
        <v>737</v>
      </c>
      <c r="G636" t="b">
        <f>LEFT(Logs_Reseau_Part[[#This Row],[Cell_ID]],1)="A"</f>
        <v>1</v>
      </c>
    </row>
    <row r="637" spans="1:7" x14ac:dyDescent="0.3">
      <c r="A637" t="s">
        <v>1195</v>
      </c>
      <c r="B637" s="1">
        <v>45212.417361111111</v>
      </c>
      <c r="C637" s="2">
        <v>45212.417361111111</v>
      </c>
      <c r="D637" t="s">
        <v>1200</v>
      </c>
      <c r="E637">
        <v>55</v>
      </c>
      <c r="F637" t="s">
        <v>737</v>
      </c>
      <c r="G637" t="b">
        <f>LEFT(Logs_Reseau_Part[[#This Row],[Cell_ID]],1)="A"</f>
        <v>1</v>
      </c>
    </row>
    <row r="638" spans="1:7" x14ac:dyDescent="0.3">
      <c r="A638" t="s">
        <v>1167</v>
      </c>
      <c r="B638" s="1">
        <v>45212.315972222219</v>
      </c>
      <c r="C638" s="2">
        <v>45212.315972222219</v>
      </c>
      <c r="D638" t="s">
        <v>905</v>
      </c>
      <c r="E638">
        <v>112</v>
      </c>
      <c r="F638" t="s">
        <v>734</v>
      </c>
      <c r="G638" t="b">
        <f>LEFT(Logs_Reseau_Part[[#This Row],[Cell_ID]],1)="A"</f>
        <v>1</v>
      </c>
    </row>
    <row r="639" spans="1:7" x14ac:dyDescent="0.3">
      <c r="A639" t="s">
        <v>1140</v>
      </c>
      <c r="B639" s="1">
        <v>45212.311111111107</v>
      </c>
      <c r="C639" s="2">
        <v>45212.311111111107</v>
      </c>
      <c r="D639" t="s">
        <v>746</v>
      </c>
      <c r="E639">
        <v>79</v>
      </c>
      <c r="F639" t="s">
        <v>734</v>
      </c>
      <c r="G639" t="b">
        <f>LEFT(Logs_Reseau_Part[[#This Row],[Cell_ID]],1)="A"</f>
        <v>1</v>
      </c>
    </row>
    <row r="640" spans="1:7" x14ac:dyDescent="0.3">
      <c r="A640" t="s">
        <v>1310</v>
      </c>
      <c r="B640" s="1">
        <v>45212.240277777782</v>
      </c>
      <c r="C640" s="2">
        <v>45212.240277777782</v>
      </c>
      <c r="D640" t="s">
        <v>1086</v>
      </c>
      <c r="E640">
        <v>54</v>
      </c>
      <c r="F640" t="s">
        <v>737</v>
      </c>
      <c r="G640" t="b">
        <f>LEFT(Logs_Reseau_Part[[#This Row],[Cell_ID]],1)="A"</f>
        <v>1</v>
      </c>
    </row>
    <row r="641" spans="1:7" x14ac:dyDescent="0.3">
      <c r="A641" t="s">
        <v>1332</v>
      </c>
      <c r="B641" s="1">
        <v>45212.200694444437</v>
      </c>
      <c r="C641" s="2">
        <v>45212.200694444437</v>
      </c>
      <c r="D641" t="s">
        <v>1002</v>
      </c>
      <c r="E641">
        <v>82</v>
      </c>
      <c r="F641" t="s">
        <v>734</v>
      </c>
      <c r="G641" t="b">
        <f>LEFT(Logs_Reseau_Part[[#This Row],[Cell_ID]],1)="A"</f>
        <v>1</v>
      </c>
    </row>
    <row r="642" spans="1:7" x14ac:dyDescent="0.3">
      <c r="A642" t="s">
        <v>1263</v>
      </c>
      <c r="B642" s="1">
        <v>45212.174305555563</v>
      </c>
      <c r="C642" s="2">
        <v>45212.174305555563</v>
      </c>
      <c r="D642" t="s">
        <v>1282</v>
      </c>
      <c r="E642">
        <v>112</v>
      </c>
      <c r="F642" t="s">
        <v>739</v>
      </c>
      <c r="G642" t="b">
        <f>LEFT(Logs_Reseau_Part[[#This Row],[Cell_ID]],1)="A"</f>
        <v>1</v>
      </c>
    </row>
    <row r="643" spans="1:7" x14ac:dyDescent="0.3">
      <c r="A643" t="s">
        <v>732</v>
      </c>
      <c r="B643" s="1">
        <v>45212.140277777777</v>
      </c>
      <c r="C643" s="2">
        <v>45212.140277777777</v>
      </c>
      <c r="D643" t="s">
        <v>753</v>
      </c>
      <c r="E643">
        <v>19</v>
      </c>
      <c r="F643" t="s">
        <v>737</v>
      </c>
      <c r="G643" t="b">
        <f>LEFT(Logs_Reseau_Part[[#This Row],[Cell_ID]],1)="A"</f>
        <v>1</v>
      </c>
    </row>
    <row r="644" spans="1:7" x14ac:dyDescent="0.3">
      <c r="A644" t="s">
        <v>1243</v>
      </c>
      <c r="B644" s="1">
        <v>45212.115277777782</v>
      </c>
      <c r="C644" s="2">
        <v>45212.115277777782</v>
      </c>
      <c r="D644" t="s">
        <v>1054</v>
      </c>
      <c r="E644">
        <v>15</v>
      </c>
      <c r="F644" t="s">
        <v>737</v>
      </c>
      <c r="G644" t="b">
        <f>LEFT(Logs_Reseau_Part[[#This Row],[Cell_ID]],1)="A"</f>
        <v>1</v>
      </c>
    </row>
    <row r="645" spans="1:7" x14ac:dyDescent="0.3">
      <c r="A645" t="s">
        <v>825</v>
      </c>
      <c r="B645" s="1">
        <v>45211.993055555547</v>
      </c>
      <c r="C645" s="2">
        <v>45211.993055555547</v>
      </c>
      <c r="D645" t="s">
        <v>830</v>
      </c>
      <c r="E645">
        <v>29</v>
      </c>
      <c r="F645" t="s">
        <v>737</v>
      </c>
      <c r="G645" t="b">
        <f>LEFT(Logs_Reseau_Part[[#This Row],[Cell_ID]],1)="A"</f>
        <v>1</v>
      </c>
    </row>
    <row r="646" spans="1:7" x14ac:dyDescent="0.3">
      <c r="A646" t="s">
        <v>1332</v>
      </c>
      <c r="B646" s="1">
        <v>45211.925000000003</v>
      </c>
      <c r="C646" s="2">
        <v>45211.925000000003</v>
      </c>
      <c r="D646" t="s">
        <v>882</v>
      </c>
      <c r="E646">
        <v>40</v>
      </c>
      <c r="F646" t="s">
        <v>739</v>
      </c>
      <c r="G646" t="b">
        <f>LEFT(Logs_Reseau_Part[[#This Row],[Cell_ID]],1)="A"</f>
        <v>1</v>
      </c>
    </row>
    <row r="647" spans="1:7" x14ac:dyDescent="0.3">
      <c r="A647" t="s">
        <v>1001</v>
      </c>
      <c r="B647" s="1">
        <v>45211.908333333333</v>
      </c>
      <c r="C647" s="2">
        <v>45211.908333333333</v>
      </c>
      <c r="D647" t="s">
        <v>1002</v>
      </c>
      <c r="E647">
        <v>32</v>
      </c>
      <c r="F647" t="s">
        <v>737</v>
      </c>
      <c r="G647" t="b">
        <f>LEFT(Logs_Reseau_Part[[#This Row],[Cell_ID]],1)="A"</f>
        <v>1</v>
      </c>
    </row>
    <row r="648" spans="1:7" x14ac:dyDescent="0.3">
      <c r="A648" t="s">
        <v>1363</v>
      </c>
      <c r="B648" s="1">
        <v>45211.904861111107</v>
      </c>
      <c r="C648" s="2">
        <v>45211.904861111107</v>
      </c>
      <c r="D648" t="s">
        <v>943</v>
      </c>
      <c r="E648">
        <v>45</v>
      </c>
      <c r="F648" t="s">
        <v>739</v>
      </c>
      <c r="G648" t="b">
        <f>LEFT(Logs_Reseau_Part[[#This Row],[Cell_ID]],1)="A"</f>
        <v>1</v>
      </c>
    </row>
    <row r="649" spans="1:7" x14ac:dyDescent="0.3">
      <c r="A649" t="s">
        <v>1363</v>
      </c>
      <c r="B649" s="1">
        <v>45211.888888888891</v>
      </c>
      <c r="C649" s="2">
        <v>45211.888888888891</v>
      </c>
      <c r="D649" t="s">
        <v>1141</v>
      </c>
      <c r="E649">
        <v>87</v>
      </c>
      <c r="F649" t="s">
        <v>737</v>
      </c>
      <c r="G649" t="b">
        <f>LEFT(Logs_Reseau_Part[[#This Row],[Cell_ID]],1)="A"</f>
        <v>1</v>
      </c>
    </row>
    <row r="650" spans="1:7" x14ac:dyDescent="0.3">
      <c r="A650" t="s">
        <v>1088</v>
      </c>
      <c r="B650" s="1">
        <v>45211.73333333333</v>
      </c>
      <c r="C650" s="2">
        <v>45211.73333333333</v>
      </c>
      <c r="D650" t="s">
        <v>1095</v>
      </c>
      <c r="E650">
        <v>108</v>
      </c>
      <c r="F650" t="s">
        <v>737</v>
      </c>
      <c r="G650" t="b">
        <f>LEFT(Logs_Reseau_Part[[#This Row],[Cell_ID]],1)="A"</f>
        <v>1</v>
      </c>
    </row>
    <row r="651" spans="1:7" x14ac:dyDescent="0.3">
      <c r="A651" t="s">
        <v>1195</v>
      </c>
      <c r="B651" s="1">
        <v>45211.724999999999</v>
      </c>
      <c r="C651" s="2">
        <v>45211.724999999999</v>
      </c>
      <c r="D651" t="s">
        <v>1044</v>
      </c>
      <c r="E651">
        <v>84</v>
      </c>
      <c r="F651" t="s">
        <v>739</v>
      </c>
      <c r="G651" t="b">
        <f>LEFT(Logs_Reseau_Part[[#This Row],[Cell_ID]],1)="A"</f>
        <v>1</v>
      </c>
    </row>
    <row r="652" spans="1:7" x14ac:dyDescent="0.3">
      <c r="A652" t="s">
        <v>1061</v>
      </c>
      <c r="B652" s="1">
        <v>45211.722916666673</v>
      </c>
      <c r="C652" s="2">
        <v>45211.722916666673</v>
      </c>
      <c r="D652" t="s">
        <v>1077</v>
      </c>
      <c r="E652">
        <v>28</v>
      </c>
      <c r="F652" t="s">
        <v>734</v>
      </c>
      <c r="G652" t="b">
        <f>LEFT(Logs_Reseau_Part[[#This Row],[Cell_ID]],1)="A"</f>
        <v>1</v>
      </c>
    </row>
    <row r="653" spans="1:7" x14ac:dyDescent="0.3">
      <c r="A653" t="s">
        <v>1195</v>
      </c>
      <c r="B653" s="1">
        <v>45211.711805555547</v>
      </c>
      <c r="C653" s="2">
        <v>45211.711805555547</v>
      </c>
      <c r="D653" t="s">
        <v>1213</v>
      </c>
      <c r="E653">
        <v>82</v>
      </c>
      <c r="F653" t="s">
        <v>737</v>
      </c>
      <c r="G653" t="b">
        <f>LEFT(Logs_Reseau_Part[[#This Row],[Cell_ID]],1)="A"</f>
        <v>1</v>
      </c>
    </row>
    <row r="654" spans="1:7" x14ac:dyDescent="0.3">
      <c r="A654" t="s">
        <v>1088</v>
      </c>
      <c r="B654" s="1">
        <v>45211.706250000003</v>
      </c>
      <c r="C654" s="2">
        <v>45211.706250000003</v>
      </c>
      <c r="D654" t="s">
        <v>1107</v>
      </c>
      <c r="E654">
        <v>115</v>
      </c>
      <c r="F654" t="s">
        <v>739</v>
      </c>
      <c r="G654" t="b">
        <f>LEFT(Logs_Reseau_Part[[#This Row],[Cell_ID]],1)="A"</f>
        <v>1</v>
      </c>
    </row>
    <row r="655" spans="1:7" x14ac:dyDescent="0.3">
      <c r="A655" t="s">
        <v>1167</v>
      </c>
      <c r="B655" s="1">
        <v>45211.705555555563</v>
      </c>
      <c r="C655" s="2">
        <v>45211.705555555563</v>
      </c>
      <c r="D655" t="s">
        <v>1185</v>
      </c>
      <c r="E655">
        <v>95</v>
      </c>
      <c r="F655" t="s">
        <v>737</v>
      </c>
      <c r="G655" t="b">
        <f>LEFT(Logs_Reseau_Part[[#This Row],[Cell_ID]],1)="A"</f>
        <v>1</v>
      </c>
    </row>
    <row r="656" spans="1:7" x14ac:dyDescent="0.3">
      <c r="A656" t="s">
        <v>1088</v>
      </c>
      <c r="B656" s="1">
        <v>45211.618750000001</v>
      </c>
      <c r="C656" s="2">
        <v>45211.618750000001</v>
      </c>
      <c r="D656" t="s">
        <v>1096</v>
      </c>
      <c r="E656">
        <v>92</v>
      </c>
      <c r="F656" t="s">
        <v>734</v>
      </c>
      <c r="G656" t="b">
        <f>LEFT(Logs_Reseau_Part[[#This Row],[Cell_ID]],1)="A"</f>
        <v>1</v>
      </c>
    </row>
    <row r="657" spans="1:7" x14ac:dyDescent="0.3">
      <c r="A657" t="s">
        <v>1363</v>
      </c>
      <c r="B657" s="1">
        <v>45211.61041666667</v>
      </c>
      <c r="C657" s="2">
        <v>45211.61041666667</v>
      </c>
      <c r="D657" t="s">
        <v>815</v>
      </c>
      <c r="E657">
        <v>114</v>
      </c>
      <c r="F657" t="s">
        <v>734</v>
      </c>
      <c r="G657" t="b">
        <f>LEFT(Logs_Reseau_Part[[#This Row],[Cell_ID]],1)="A"</f>
        <v>1</v>
      </c>
    </row>
    <row r="658" spans="1:7" x14ac:dyDescent="0.3">
      <c r="A658" t="s">
        <v>1384</v>
      </c>
      <c r="B658" s="1">
        <v>45211.587500000001</v>
      </c>
      <c r="C658" s="2">
        <v>45211.587500000001</v>
      </c>
      <c r="D658" t="s">
        <v>1402</v>
      </c>
      <c r="E658">
        <v>27</v>
      </c>
      <c r="F658" t="s">
        <v>739</v>
      </c>
      <c r="G658" t="b">
        <f>LEFT(Logs_Reseau_Part[[#This Row],[Cell_ID]],1)="A"</f>
        <v>1</v>
      </c>
    </row>
    <row r="659" spans="1:7" x14ac:dyDescent="0.3">
      <c r="A659" t="s">
        <v>781</v>
      </c>
      <c r="B659" s="1">
        <v>45211.55972222222</v>
      </c>
      <c r="C659" s="2">
        <v>45211.55972222222</v>
      </c>
      <c r="D659" t="s">
        <v>768</v>
      </c>
      <c r="E659">
        <v>69</v>
      </c>
      <c r="F659" t="s">
        <v>737</v>
      </c>
      <c r="G659" t="b">
        <f>LEFT(Logs_Reseau_Part[[#This Row],[Cell_ID]],1)="A"</f>
        <v>1</v>
      </c>
    </row>
    <row r="660" spans="1:7" x14ac:dyDescent="0.3">
      <c r="A660" t="s">
        <v>1001</v>
      </c>
      <c r="B660" s="1">
        <v>45211.546527777777</v>
      </c>
      <c r="C660" s="2">
        <v>45211.546527777777</v>
      </c>
      <c r="D660" t="s">
        <v>796</v>
      </c>
      <c r="E660">
        <v>115</v>
      </c>
      <c r="F660" t="s">
        <v>734</v>
      </c>
      <c r="G660" t="b">
        <f>LEFT(Logs_Reseau_Part[[#This Row],[Cell_ID]],1)="A"</f>
        <v>1</v>
      </c>
    </row>
    <row r="661" spans="1:7" x14ac:dyDescent="0.3">
      <c r="A661" t="s">
        <v>1221</v>
      </c>
      <c r="B661" s="1">
        <v>45211.495833333327</v>
      </c>
      <c r="C661" s="2">
        <v>45211.495833333327</v>
      </c>
      <c r="D661" t="s">
        <v>850</v>
      </c>
      <c r="E661">
        <v>61</v>
      </c>
      <c r="F661" t="s">
        <v>737</v>
      </c>
      <c r="G661" t="b">
        <f>LEFT(Logs_Reseau_Part[[#This Row],[Cell_ID]],1)="A"</f>
        <v>1</v>
      </c>
    </row>
    <row r="662" spans="1:7" x14ac:dyDescent="0.3">
      <c r="A662" t="s">
        <v>941</v>
      </c>
      <c r="B662" s="1">
        <v>45211.477083333331</v>
      </c>
      <c r="C662" s="2">
        <v>45211.477083333331</v>
      </c>
      <c r="D662" t="s">
        <v>760</v>
      </c>
      <c r="E662">
        <v>111</v>
      </c>
      <c r="F662" t="s">
        <v>734</v>
      </c>
      <c r="G662" t="b">
        <f>LEFT(Logs_Reseau_Part[[#This Row],[Cell_ID]],1)="A"</f>
        <v>1</v>
      </c>
    </row>
    <row r="663" spans="1:7" x14ac:dyDescent="0.3">
      <c r="A663" t="s">
        <v>1221</v>
      </c>
      <c r="B663" s="1">
        <v>45211.425000000003</v>
      </c>
      <c r="C663" s="2">
        <v>45211.425000000003</v>
      </c>
      <c r="D663" t="s">
        <v>900</v>
      </c>
      <c r="E663">
        <v>57</v>
      </c>
      <c r="F663" t="s">
        <v>737</v>
      </c>
      <c r="G663" t="b">
        <f>LEFT(Logs_Reseau_Part[[#This Row],[Cell_ID]],1)="A"</f>
        <v>1</v>
      </c>
    </row>
    <row r="664" spans="1:7" x14ac:dyDescent="0.3">
      <c r="A664" t="s">
        <v>1363</v>
      </c>
      <c r="B664" s="1">
        <v>45211.424305555563</v>
      </c>
      <c r="C664" s="2">
        <v>45211.424305555563</v>
      </c>
      <c r="D664" t="s">
        <v>929</v>
      </c>
      <c r="E664">
        <v>116</v>
      </c>
      <c r="F664" t="s">
        <v>737</v>
      </c>
      <c r="G664" t="b">
        <f>LEFT(Logs_Reseau_Part[[#This Row],[Cell_ID]],1)="A"</f>
        <v>1</v>
      </c>
    </row>
    <row r="665" spans="1:7" x14ac:dyDescent="0.3">
      <c r="A665" t="s">
        <v>1221</v>
      </c>
      <c r="B665" s="1">
        <v>45211.38958333333</v>
      </c>
      <c r="C665" s="2">
        <v>45211.38958333333</v>
      </c>
      <c r="D665" t="s">
        <v>1226</v>
      </c>
      <c r="E665">
        <v>76</v>
      </c>
      <c r="F665" t="s">
        <v>737</v>
      </c>
      <c r="G665" t="b">
        <f>LEFT(Logs_Reseau_Part[[#This Row],[Cell_ID]],1)="A"</f>
        <v>1</v>
      </c>
    </row>
    <row r="666" spans="1:7" x14ac:dyDescent="0.3">
      <c r="A666" t="s">
        <v>1167</v>
      </c>
      <c r="B666" s="1">
        <v>45211.386111111111</v>
      </c>
      <c r="C666" s="2">
        <v>45211.386111111111</v>
      </c>
      <c r="D666" t="s">
        <v>928</v>
      </c>
      <c r="E666">
        <v>13</v>
      </c>
      <c r="F666" t="s">
        <v>737</v>
      </c>
      <c r="G666" t="b">
        <f>LEFT(Logs_Reseau_Part[[#This Row],[Cell_ID]],1)="A"</f>
        <v>1</v>
      </c>
    </row>
    <row r="667" spans="1:7" x14ac:dyDescent="0.3">
      <c r="A667" t="s">
        <v>1026</v>
      </c>
      <c r="B667" s="1">
        <v>45211.382638888892</v>
      </c>
      <c r="C667" s="2">
        <v>45211.382638888892</v>
      </c>
      <c r="D667" t="s">
        <v>789</v>
      </c>
      <c r="E667">
        <v>105</v>
      </c>
      <c r="F667" t="s">
        <v>734</v>
      </c>
      <c r="G667" t="b">
        <f>LEFT(Logs_Reseau_Part[[#This Row],[Cell_ID]],1)="A"</f>
        <v>1</v>
      </c>
    </row>
    <row r="668" spans="1:7" x14ac:dyDescent="0.3">
      <c r="A668" t="s">
        <v>1347</v>
      </c>
      <c r="B668" s="1">
        <v>45211.380555555559</v>
      </c>
      <c r="C668" s="2">
        <v>45211.380555555559</v>
      </c>
      <c r="D668" t="s">
        <v>1361</v>
      </c>
      <c r="E668">
        <v>84</v>
      </c>
      <c r="F668" t="s">
        <v>734</v>
      </c>
      <c r="G668" t="b">
        <f>LEFT(Logs_Reseau_Part[[#This Row],[Cell_ID]],1)="A"</f>
        <v>1</v>
      </c>
    </row>
    <row r="669" spans="1:7" x14ac:dyDescent="0.3">
      <c r="A669" t="s">
        <v>1310</v>
      </c>
      <c r="B669" s="1">
        <v>45211.368055555547</v>
      </c>
      <c r="C669" s="2">
        <v>45211.368055555547</v>
      </c>
      <c r="D669" t="s">
        <v>898</v>
      </c>
      <c r="E669">
        <v>15</v>
      </c>
      <c r="F669" t="s">
        <v>737</v>
      </c>
      <c r="G669" t="b">
        <f>LEFT(Logs_Reseau_Part[[#This Row],[Cell_ID]],1)="A"</f>
        <v>1</v>
      </c>
    </row>
    <row r="670" spans="1:7" x14ac:dyDescent="0.3">
      <c r="A670" t="s">
        <v>1195</v>
      </c>
      <c r="B670" s="1">
        <v>45211.337500000001</v>
      </c>
      <c r="C670" s="2">
        <v>45211.337500000001</v>
      </c>
      <c r="D670" t="s">
        <v>1209</v>
      </c>
      <c r="E670">
        <v>88</v>
      </c>
      <c r="F670" t="s">
        <v>737</v>
      </c>
      <c r="G670" t="b">
        <f>LEFT(Logs_Reseau_Part[[#This Row],[Cell_ID]],1)="A"</f>
        <v>1</v>
      </c>
    </row>
    <row r="671" spans="1:7" x14ac:dyDescent="0.3">
      <c r="A671" t="s">
        <v>1347</v>
      </c>
      <c r="B671" s="1">
        <v>45211.324305555558</v>
      </c>
      <c r="C671" s="2">
        <v>45211.324305555558</v>
      </c>
      <c r="D671" t="s">
        <v>1348</v>
      </c>
      <c r="E671">
        <v>120</v>
      </c>
      <c r="F671" t="s">
        <v>739</v>
      </c>
      <c r="G671" t="b">
        <f>LEFT(Logs_Reseau_Part[[#This Row],[Cell_ID]],1)="A"</f>
        <v>1</v>
      </c>
    </row>
    <row r="672" spans="1:7" x14ac:dyDescent="0.3">
      <c r="A672" t="s">
        <v>1061</v>
      </c>
      <c r="B672" s="1">
        <v>45211.316666666673</v>
      </c>
      <c r="C672" s="2">
        <v>45211.316666666673</v>
      </c>
      <c r="D672" t="s">
        <v>1068</v>
      </c>
      <c r="E672">
        <v>93</v>
      </c>
      <c r="F672" t="s">
        <v>739</v>
      </c>
      <c r="G672" t="b">
        <f>LEFT(Logs_Reseau_Part[[#This Row],[Cell_ID]],1)="A"</f>
        <v>1</v>
      </c>
    </row>
    <row r="673" spans="1:7" x14ac:dyDescent="0.3">
      <c r="A673" t="s">
        <v>1290</v>
      </c>
      <c r="B673" s="1">
        <v>45211.290277777778</v>
      </c>
      <c r="C673" s="2">
        <v>45211.290277777778</v>
      </c>
      <c r="D673" t="s">
        <v>1302</v>
      </c>
      <c r="E673">
        <v>73</v>
      </c>
      <c r="F673" t="s">
        <v>739</v>
      </c>
      <c r="G673" t="b">
        <f>LEFT(Logs_Reseau_Part[[#This Row],[Cell_ID]],1)="A"</f>
        <v>1</v>
      </c>
    </row>
    <row r="674" spans="1:7" x14ac:dyDescent="0.3">
      <c r="A674" t="s">
        <v>732</v>
      </c>
      <c r="B674" s="1">
        <v>45211.279166666667</v>
      </c>
      <c r="C674" s="2">
        <v>45211.279166666667</v>
      </c>
      <c r="D674" t="s">
        <v>765</v>
      </c>
      <c r="E674">
        <v>75</v>
      </c>
      <c r="F674" t="s">
        <v>734</v>
      </c>
      <c r="G674" t="b">
        <f>LEFT(Logs_Reseau_Part[[#This Row],[Cell_ID]],1)="A"</f>
        <v>1</v>
      </c>
    </row>
    <row r="675" spans="1:7" x14ac:dyDescent="0.3">
      <c r="A675" t="s">
        <v>863</v>
      </c>
      <c r="B675" s="1">
        <v>45211.234722222223</v>
      </c>
      <c r="C675" s="2">
        <v>45211.234722222223</v>
      </c>
      <c r="D675" t="s">
        <v>885</v>
      </c>
      <c r="E675">
        <v>62</v>
      </c>
      <c r="F675" t="s">
        <v>739</v>
      </c>
      <c r="G675" t="b">
        <f>LEFT(Logs_Reseau_Part[[#This Row],[Cell_ID]],1)="A"</f>
        <v>1</v>
      </c>
    </row>
    <row r="676" spans="1:7" x14ac:dyDescent="0.3">
      <c r="A676" t="s">
        <v>732</v>
      </c>
      <c r="B676" s="1">
        <v>45211.224305555559</v>
      </c>
      <c r="C676" s="2">
        <v>45211.224305555559</v>
      </c>
      <c r="D676" t="s">
        <v>764</v>
      </c>
      <c r="E676">
        <v>37</v>
      </c>
      <c r="F676" t="s">
        <v>734</v>
      </c>
      <c r="G676" t="b">
        <f>LEFT(Logs_Reseau_Part[[#This Row],[Cell_ID]],1)="A"</f>
        <v>1</v>
      </c>
    </row>
    <row r="677" spans="1:7" x14ac:dyDescent="0.3">
      <c r="A677" t="s">
        <v>1263</v>
      </c>
      <c r="B677" s="1">
        <v>45211.219444444447</v>
      </c>
      <c r="C677" s="2">
        <v>45211.219444444447</v>
      </c>
      <c r="D677" t="s">
        <v>1277</v>
      </c>
      <c r="E677">
        <v>5</v>
      </c>
      <c r="F677" t="s">
        <v>734</v>
      </c>
      <c r="G677" t="b">
        <f>LEFT(Logs_Reseau_Part[[#This Row],[Cell_ID]],1)="A"</f>
        <v>1</v>
      </c>
    </row>
    <row r="678" spans="1:7" x14ac:dyDescent="0.3">
      <c r="A678" t="s">
        <v>1263</v>
      </c>
      <c r="B678" s="1">
        <v>45211.147222222222</v>
      </c>
      <c r="C678" s="2">
        <v>45211.147222222222</v>
      </c>
      <c r="D678" t="s">
        <v>1286</v>
      </c>
      <c r="E678">
        <v>89</v>
      </c>
      <c r="F678" t="s">
        <v>737</v>
      </c>
      <c r="G678" t="b">
        <f>LEFT(Logs_Reseau_Part[[#This Row],[Cell_ID]],1)="A"</f>
        <v>1</v>
      </c>
    </row>
    <row r="679" spans="1:7" x14ac:dyDescent="0.3">
      <c r="A679" t="s">
        <v>1195</v>
      </c>
      <c r="B679" s="1">
        <v>45211.128472222219</v>
      </c>
      <c r="C679" s="2">
        <v>45211.128472222219</v>
      </c>
      <c r="D679" t="s">
        <v>1208</v>
      </c>
      <c r="E679">
        <v>110</v>
      </c>
      <c r="F679" t="s">
        <v>737</v>
      </c>
      <c r="G679" t="b">
        <f>LEFT(Logs_Reseau_Part[[#This Row],[Cell_ID]],1)="A"</f>
        <v>1</v>
      </c>
    </row>
    <row r="680" spans="1:7" x14ac:dyDescent="0.3">
      <c r="A680" t="s">
        <v>1140</v>
      </c>
      <c r="B680" s="1">
        <v>45211.123611111107</v>
      </c>
      <c r="C680" s="2">
        <v>45211.123611111107</v>
      </c>
      <c r="D680" t="s">
        <v>850</v>
      </c>
      <c r="E680">
        <v>87</v>
      </c>
      <c r="F680" t="s">
        <v>734</v>
      </c>
      <c r="G680" t="b">
        <f>LEFT(Logs_Reseau_Part[[#This Row],[Cell_ID]],1)="A"</f>
        <v>1</v>
      </c>
    </row>
    <row r="681" spans="1:7" x14ac:dyDescent="0.3">
      <c r="A681" t="s">
        <v>1167</v>
      </c>
      <c r="B681" s="1">
        <v>45211.106944444437</v>
      </c>
      <c r="C681" s="2">
        <v>45211.106944444437</v>
      </c>
      <c r="D681" t="s">
        <v>821</v>
      </c>
      <c r="E681">
        <v>87</v>
      </c>
      <c r="F681" t="s">
        <v>739</v>
      </c>
      <c r="G681" t="b">
        <f>LEFT(Logs_Reseau_Part[[#This Row],[Cell_ID]],1)="A"</f>
        <v>1</v>
      </c>
    </row>
    <row r="682" spans="1:7" x14ac:dyDescent="0.3">
      <c r="A682" t="s">
        <v>1061</v>
      </c>
      <c r="B682" s="1">
        <v>45211.106249999997</v>
      </c>
      <c r="C682" s="2">
        <v>45211.106249999997</v>
      </c>
      <c r="D682" t="s">
        <v>1069</v>
      </c>
      <c r="E682">
        <v>107</v>
      </c>
      <c r="F682" t="s">
        <v>734</v>
      </c>
      <c r="G682" t="b">
        <f>LEFT(Logs_Reseau_Part[[#This Row],[Cell_ID]],1)="A"</f>
        <v>1</v>
      </c>
    </row>
    <row r="683" spans="1:7" x14ac:dyDescent="0.3">
      <c r="A683" t="s">
        <v>863</v>
      </c>
      <c r="B683" s="1">
        <v>45211.105555555558</v>
      </c>
      <c r="C683" s="2">
        <v>45211.105555555558</v>
      </c>
      <c r="D683" t="s">
        <v>763</v>
      </c>
      <c r="E683">
        <v>67</v>
      </c>
      <c r="F683" t="s">
        <v>734</v>
      </c>
      <c r="G683" t="b">
        <f>LEFT(Logs_Reseau_Part[[#This Row],[Cell_ID]],1)="A"</f>
        <v>1</v>
      </c>
    </row>
    <row r="684" spans="1:7" x14ac:dyDescent="0.3">
      <c r="A684" t="s">
        <v>1061</v>
      </c>
      <c r="B684" s="1">
        <v>45211.098611111112</v>
      </c>
      <c r="C684" s="2">
        <v>45211.098611111112</v>
      </c>
      <c r="D684" t="s">
        <v>1073</v>
      </c>
      <c r="E684">
        <v>59</v>
      </c>
      <c r="F684" t="s">
        <v>739</v>
      </c>
      <c r="G684" t="b">
        <f>LEFT(Logs_Reseau_Part[[#This Row],[Cell_ID]],1)="A"</f>
        <v>1</v>
      </c>
    </row>
    <row r="685" spans="1:7" x14ac:dyDescent="0.3">
      <c r="A685" t="s">
        <v>1061</v>
      </c>
      <c r="B685" s="1">
        <v>45211.079861111109</v>
      </c>
      <c r="C685" s="2">
        <v>45211.079861111109</v>
      </c>
      <c r="D685" t="s">
        <v>1086</v>
      </c>
      <c r="E685">
        <v>59</v>
      </c>
      <c r="F685" t="s">
        <v>737</v>
      </c>
      <c r="G685" t="b">
        <f>LEFT(Logs_Reseau_Part[[#This Row],[Cell_ID]],1)="A"</f>
        <v>1</v>
      </c>
    </row>
    <row r="686" spans="1:7" x14ac:dyDescent="0.3">
      <c r="A686" t="s">
        <v>1332</v>
      </c>
      <c r="B686" s="1">
        <v>45211.063888888893</v>
      </c>
      <c r="C686" s="2">
        <v>45211.063888888893</v>
      </c>
      <c r="D686" t="s">
        <v>1341</v>
      </c>
      <c r="E686">
        <v>6</v>
      </c>
      <c r="F686" t="s">
        <v>739</v>
      </c>
      <c r="G686" t="b">
        <f>LEFT(Logs_Reseau_Part[[#This Row],[Cell_ID]],1)="A"</f>
        <v>1</v>
      </c>
    </row>
    <row r="687" spans="1:7" x14ac:dyDescent="0.3">
      <c r="A687" t="s">
        <v>1195</v>
      </c>
      <c r="B687" s="1">
        <v>45211.04583333333</v>
      </c>
      <c r="C687" s="2">
        <v>45211.04583333333</v>
      </c>
      <c r="D687" t="s">
        <v>1043</v>
      </c>
      <c r="E687">
        <v>18</v>
      </c>
      <c r="F687" t="s">
        <v>739</v>
      </c>
      <c r="G687" t="b">
        <f>LEFT(Logs_Reseau_Part[[#This Row],[Cell_ID]],1)="A"</f>
        <v>1</v>
      </c>
    </row>
    <row r="688" spans="1:7" x14ac:dyDescent="0.3">
      <c r="A688" t="s">
        <v>1332</v>
      </c>
      <c r="B688" s="1">
        <v>45211.01458333333</v>
      </c>
      <c r="C688" s="2">
        <v>45211.01458333333</v>
      </c>
      <c r="D688" t="s">
        <v>1336</v>
      </c>
      <c r="E688">
        <v>7</v>
      </c>
      <c r="F688" t="s">
        <v>739</v>
      </c>
      <c r="G688" t="b">
        <f>LEFT(Logs_Reseau_Part[[#This Row],[Cell_ID]],1)="A"</f>
        <v>1</v>
      </c>
    </row>
    <row r="689" spans="1:7" x14ac:dyDescent="0.3">
      <c r="A689" t="s">
        <v>941</v>
      </c>
      <c r="B689" s="1">
        <v>45210.979166666657</v>
      </c>
      <c r="C689" s="2">
        <v>45210.979166666657</v>
      </c>
      <c r="D689" t="s">
        <v>945</v>
      </c>
      <c r="E689">
        <v>114</v>
      </c>
      <c r="F689" t="s">
        <v>739</v>
      </c>
      <c r="G689" t="b">
        <f>LEFT(Logs_Reseau_Part[[#This Row],[Cell_ID]],1)="A"</f>
        <v>1</v>
      </c>
    </row>
    <row r="690" spans="1:7" x14ac:dyDescent="0.3">
      <c r="A690" t="s">
        <v>1310</v>
      </c>
      <c r="B690" s="1">
        <v>45210.961111111108</v>
      </c>
      <c r="C690" s="2">
        <v>45210.961111111108</v>
      </c>
      <c r="D690" t="s">
        <v>899</v>
      </c>
      <c r="E690">
        <v>66</v>
      </c>
      <c r="F690" t="s">
        <v>734</v>
      </c>
      <c r="G690" t="b">
        <f>LEFT(Logs_Reseau_Part[[#This Row],[Cell_ID]],1)="A"</f>
        <v>1</v>
      </c>
    </row>
    <row r="691" spans="1:7" x14ac:dyDescent="0.3">
      <c r="A691" t="s">
        <v>1088</v>
      </c>
      <c r="B691" s="1">
        <v>45210.926388888889</v>
      </c>
      <c r="C691" s="2">
        <v>45210.926388888889</v>
      </c>
      <c r="D691" t="s">
        <v>925</v>
      </c>
      <c r="E691">
        <v>45</v>
      </c>
      <c r="F691" t="s">
        <v>737</v>
      </c>
      <c r="G691" t="b">
        <f>LEFT(Logs_Reseau_Part[[#This Row],[Cell_ID]],1)="A"</f>
        <v>1</v>
      </c>
    </row>
    <row r="692" spans="1:7" x14ac:dyDescent="0.3">
      <c r="A692" t="s">
        <v>1347</v>
      </c>
      <c r="B692" s="1">
        <v>45210.924305555563</v>
      </c>
      <c r="C692" s="2">
        <v>45210.924305555563</v>
      </c>
      <c r="D692" t="s">
        <v>1354</v>
      </c>
      <c r="E692">
        <v>32</v>
      </c>
      <c r="F692" t="s">
        <v>737</v>
      </c>
      <c r="G692" t="b">
        <f>LEFT(Logs_Reseau_Part[[#This Row],[Cell_ID]],1)="A"</f>
        <v>1</v>
      </c>
    </row>
    <row r="693" spans="1:7" x14ac:dyDescent="0.3">
      <c r="A693" t="s">
        <v>1384</v>
      </c>
      <c r="B693" s="1">
        <v>45210.921527777777</v>
      </c>
      <c r="C693" s="2">
        <v>45210.921527777777</v>
      </c>
      <c r="D693" t="s">
        <v>1201</v>
      </c>
      <c r="E693">
        <v>86</v>
      </c>
      <c r="F693" t="s">
        <v>737</v>
      </c>
      <c r="G693" t="b">
        <f>LEFT(Logs_Reseau_Part[[#This Row],[Cell_ID]],1)="A"</f>
        <v>1</v>
      </c>
    </row>
    <row r="694" spans="1:7" x14ac:dyDescent="0.3">
      <c r="A694" t="s">
        <v>825</v>
      </c>
      <c r="B694" s="1">
        <v>45210.912499999999</v>
      </c>
      <c r="C694" s="2">
        <v>45210.912499999999</v>
      </c>
      <c r="D694" t="s">
        <v>840</v>
      </c>
      <c r="E694">
        <v>119</v>
      </c>
      <c r="F694" t="s">
        <v>739</v>
      </c>
      <c r="G694" t="b">
        <f>LEFT(Logs_Reseau_Part[[#This Row],[Cell_ID]],1)="A"</f>
        <v>1</v>
      </c>
    </row>
    <row r="695" spans="1:7" x14ac:dyDescent="0.3">
      <c r="A695" t="s">
        <v>1243</v>
      </c>
      <c r="B695" s="1">
        <v>45210.908333333333</v>
      </c>
      <c r="C695" s="2">
        <v>45210.908333333333</v>
      </c>
      <c r="D695" t="s">
        <v>1159</v>
      </c>
      <c r="E695">
        <v>57</v>
      </c>
      <c r="F695" t="s">
        <v>739</v>
      </c>
      <c r="G695" t="b">
        <f>LEFT(Logs_Reseau_Part[[#This Row],[Cell_ID]],1)="A"</f>
        <v>1</v>
      </c>
    </row>
    <row r="696" spans="1:7" x14ac:dyDescent="0.3">
      <c r="A696" t="s">
        <v>1116</v>
      </c>
      <c r="B696" s="1">
        <v>45210.895833333343</v>
      </c>
      <c r="C696" s="2">
        <v>45210.895833333343</v>
      </c>
      <c r="D696" t="s">
        <v>932</v>
      </c>
      <c r="E696">
        <v>110</v>
      </c>
      <c r="F696" t="s">
        <v>739</v>
      </c>
      <c r="G696" t="b">
        <f>LEFT(Logs_Reseau_Part[[#This Row],[Cell_ID]],1)="A"</f>
        <v>1</v>
      </c>
    </row>
    <row r="697" spans="1:7" x14ac:dyDescent="0.3">
      <c r="A697" t="s">
        <v>1088</v>
      </c>
      <c r="B697" s="1">
        <v>45210.890277777777</v>
      </c>
      <c r="C697" s="2">
        <v>45210.890277777777</v>
      </c>
      <c r="D697" t="s">
        <v>928</v>
      </c>
      <c r="E697">
        <v>118</v>
      </c>
      <c r="F697" t="s">
        <v>734</v>
      </c>
      <c r="G697" t="b">
        <f>LEFT(Logs_Reseau_Part[[#This Row],[Cell_ID]],1)="A"</f>
        <v>1</v>
      </c>
    </row>
    <row r="698" spans="1:7" x14ac:dyDescent="0.3">
      <c r="A698" t="s">
        <v>1116</v>
      </c>
      <c r="B698" s="1">
        <v>45210.879861111112</v>
      </c>
      <c r="C698" s="2">
        <v>45210.879861111112</v>
      </c>
      <c r="D698" t="s">
        <v>1124</v>
      </c>
      <c r="E698">
        <v>53</v>
      </c>
      <c r="F698" t="s">
        <v>734</v>
      </c>
      <c r="G698" t="b">
        <f>LEFT(Logs_Reseau_Part[[#This Row],[Cell_ID]],1)="A"</f>
        <v>1</v>
      </c>
    </row>
    <row r="699" spans="1:7" x14ac:dyDescent="0.3">
      <c r="A699" t="s">
        <v>1347</v>
      </c>
      <c r="B699" s="1">
        <v>45210.84097222222</v>
      </c>
      <c r="C699" s="2">
        <v>45210.84097222222</v>
      </c>
      <c r="D699" t="s">
        <v>938</v>
      </c>
      <c r="E699">
        <v>7</v>
      </c>
      <c r="F699" t="s">
        <v>734</v>
      </c>
      <c r="G699" t="b">
        <f>LEFT(Logs_Reseau_Part[[#This Row],[Cell_ID]],1)="A"</f>
        <v>1</v>
      </c>
    </row>
    <row r="700" spans="1:7" x14ac:dyDescent="0.3">
      <c r="A700" t="s">
        <v>1167</v>
      </c>
      <c r="B700" s="1">
        <v>45210.836805555547</v>
      </c>
      <c r="C700" s="2">
        <v>45210.836805555547</v>
      </c>
      <c r="D700" t="s">
        <v>1175</v>
      </c>
      <c r="E700">
        <v>118</v>
      </c>
      <c r="F700" t="s">
        <v>734</v>
      </c>
      <c r="G700" t="b">
        <f>LEFT(Logs_Reseau_Part[[#This Row],[Cell_ID]],1)="A"</f>
        <v>1</v>
      </c>
    </row>
    <row r="701" spans="1:7" x14ac:dyDescent="0.3">
      <c r="A701" t="s">
        <v>1088</v>
      </c>
      <c r="B701" s="1">
        <v>45210.836111111108</v>
      </c>
      <c r="C701" s="2">
        <v>45210.836111111108</v>
      </c>
      <c r="D701" t="s">
        <v>1101</v>
      </c>
      <c r="E701">
        <v>25</v>
      </c>
      <c r="F701" t="s">
        <v>739</v>
      </c>
      <c r="G701" t="b">
        <f>LEFT(Logs_Reseau_Part[[#This Row],[Cell_ID]],1)="A"</f>
        <v>1</v>
      </c>
    </row>
    <row r="702" spans="1:7" x14ac:dyDescent="0.3">
      <c r="A702" t="s">
        <v>1347</v>
      </c>
      <c r="B702" s="1">
        <v>45210.835416666669</v>
      </c>
      <c r="C702" s="2">
        <v>45210.835416666669</v>
      </c>
      <c r="D702" t="s">
        <v>807</v>
      </c>
      <c r="E702">
        <v>80</v>
      </c>
      <c r="F702" t="s">
        <v>737</v>
      </c>
      <c r="G702" t="b">
        <f>LEFT(Logs_Reseau_Part[[#This Row],[Cell_ID]],1)="A"</f>
        <v>1</v>
      </c>
    </row>
    <row r="703" spans="1:7" x14ac:dyDescent="0.3">
      <c r="A703" t="s">
        <v>1116</v>
      </c>
      <c r="B703" s="1">
        <v>45210.805555555547</v>
      </c>
      <c r="C703" s="2">
        <v>45210.805555555547</v>
      </c>
      <c r="D703" t="s">
        <v>1120</v>
      </c>
      <c r="E703">
        <v>97</v>
      </c>
      <c r="F703" t="s">
        <v>734</v>
      </c>
      <c r="G703" t="b">
        <f>LEFT(Logs_Reseau_Part[[#This Row],[Cell_ID]],1)="A"</f>
        <v>1</v>
      </c>
    </row>
    <row r="704" spans="1:7" x14ac:dyDescent="0.3">
      <c r="A704" t="s">
        <v>904</v>
      </c>
      <c r="B704" s="1">
        <v>45210.802777777782</v>
      </c>
      <c r="C704" s="2">
        <v>45210.802777777782</v>
      </c>
      <c r="D704" t="s">
        <v>939</v>
      </c>
      <c r="E704">
        <v>9</v>
      </c>
      <c r="F704" t="s">
        <v>737</v>
      </c>
      <c r="G704" t="b">
        <f>LEFT(Logs_Reseau_Part[[#This Row],[Cell_ID]],1)="A"</f>
        <v>1</v>
      </c>
    </row>
    <row r="705" spans="1:7" x14ac:dyDescent="0.3">
      <c r="A705" t="s">
        <v>1116</v>
      </c>
      <c r="B705" s="1">
        <v>45210.703472222223</v>
      </c>
      <c r="C705" s="2">
        <v>45210.703472222223</v>
      </c>
      <c r="D705" t="s">
        <v>1122</v>
      </c>
      <c r="E705">
        <v>20</v>
      </c>
      <c r="F705" t="s">
        <v>734</v>
      </c>
      <c r="G705" t="b">
        <f>LEFT(Logs_Reseau_Part[[#This Row],[Cell_ID]],1)="A"</f>
        <v>1</v>
      </c>
    </row>
    <row r="706" spans="1:7" x14ac:dyDescent="0.3">
      <c r="A706" t="s">
        <v>1363</v>
      </c>
      <c r="B706" s="1">
        <v>45210.689583333333</v>
      </c>
      <c r="C706" s="2">
        <v>45210.689583333333</v>
      </c>
      <c r="D706" t="s">
        <v>1014</v>
      </c>
      <c r="E706">
        <v>16</v>
      </c>
      <c r="F706" t="s">
        <v>734</v>
      </c>
      <c r="G706" t="b">
        <f>LEFT(Logs_Reseau_Part[[#This Row],[Cell_ID]],1)="A"</f>
        <v>1</v>
      </c>
    </row>
    <row r="707" spans="1:7" x14ac:dyDescent="0.3">
      <c r="A707" t="s">
        <v>1140</v>
      </c>
      <c r="B707" s="1">
        <v>45210.686111111107</v>
      </c>
      <c r="C707" s="2">
        <v>45210.686111111107</v>
      </c>
      <c r="D707" t="s">
        <v>1159</v>
      </c>
      <c r="E707">
        <v>62</v>
      </c>
      <c r="F707" t="s">
        <v>737</v>
      </c>
      <c r="G707" t="b">
        <f>LEFT(Logs_Reseau_Part[[#This Row],[Cell_ID]],1)="A"</f>
        <v>1</v>
      </c>
    </row>
    <row r="708" spans="1:7" x14ac:dyDescent="0.3">
      <c r="A708" t="s">
        <v>1347</v>
      </c>
      <c r="B708" s="1">
        <v>45210.675000000003</v>
      </c>
      <c r="C708" s="2">
        <v>45210.675000000003</v>
      </c>
      <c r="D708" t="s">
        <v>946</v>
      </c>
      <c r="E708">
        <v>86</v>
      </c>
      <c r="F708" t="s">
        <v>739</v>
      </c>
      <c r="G708" t="b">
        <f>LEFT(Logs_Reseau_Part[[#This Row],[Cell_ID]],1)="A"</f>
        <v>1</v>
      </c>
    </row>
    <row r="709" spans="1:7" x14ac:dyDescent="0.3">
      <c r="A709" t="s">
        <v>825</v>
      </c>
      <c r="B709" s="1">
        <v>45210.568055555559</v>
      </c>
      <c r="C709" s="2">
        <v>45210.568055555559</v>
      </c>
      <c r="D709" t="s">
        <v>831</v>
      </c>
      <c r="E709">
        <v>96</v>
      </c>
      <c r="F709" t="s">
        <v>734</v>
      </c>
      <c r="G709" t="b">
        <f>LEFT(Logs_Reseau_Part[[#This Row],[Cell_ID]],1)="A"</f>
        <v>1</v>
      </c>
    </row>
    <row r="710" spans="1:7" x14ac:dyDescent="0.3">
      <c r="A710" t="s">
        <v>1290</v>
      </c>
      <c r="B710" s="1">
        <v>45210.511805555558</v>
      </c>
      <c r="C710" s="2">
        <v>45210.511805555558</v>
      </c>
      <c r="D710" t="s">
        <v>1309</v>
      </c>
      <c r="E710">
        <v>27</v>
      </c>
      <c r="F710" t="s">
        <v>737</v>
      </c>
      <c r="G710" t="b">
        <f>LEFT(Logs_Reseau_Part[[#This Row],[Cell_ID]],1)="A"</f>
        <v>1</v>
      </c>
    </row>
    <row r="711" spans="1:7" x14ac:dyDescent="0.3">
      <c r="A711" t="s">
        <v>1195</v>
      </c>
      <c r="B711" s="1">
        <v>45210.5</v>
      </c>
      <c r="C711" s="2">
        <v>45210.5</v>
      </c>
      <c r="D711" t="s">
        <v>1214</v>
      </c>
      <c r="E711">
        <v>30</v>
      </c>
      <c r="F711" t="s">
        <v>734</v>
      </c>
      <c r="G711" t="b">
        <f>LEFT(Logs_Reseau_Part[[#This Row],[Cell_ID]],1)="A"</f>
        <v>1</v>
      </c>
    </row>
    <row r="712" spans="1:7" x14ac:dyDescent="0.3">
      <c r="A712" t="s">
        <v>1243</v>
      </c>
      <c r="B712" s="1">
        <v>45210.49722222222</v>
      </c>
      <c r="C712" s="2">
        <v>45210.49722222222</v>
      </c>
      <c r="D712" t="s">
        <v>966</v>
      </c>
      <c r="E712">
        <v>75</v>
      </c>
      <c r="F712" t="s">
        <v>739</v>
      </c>
      <c r="G712" t="b">
        <f>LEFT(Logs_Reseau_Part[[#This Row],[Cell_ID]],1)="A"</f>
        <v>1</v>
      </c>
    </row>
    <row r="713" spans="1:7" x14ac:dyDescent="0.3">
      <c r="A713" t="s">
        <v>1001</v>
      </c>
      <c r="B713" s="1">
        <v>45210.458333333343</v>
      </c>
      <c r="C713" s="2">
        <v>45210.458333333343</v>
      </c>
      <c r="D713" t="s">
        <v>922</v>
      </c>
      <c r="E713">
        <v>95</v>
      </c>
      <c r="F713" t="s">
        <v>737</v>
      </c>
      <c r="G713" t="b">
        <f>LEFT(Logs_Reseau_Part[[#This Row],[Cell_ID]],1)="A"</f>
        <v>1</v>
      </c>
    </row>
    <row r="714" spans="1:7" x14ac:dyDescent="0.3">
      <c r="A714" t="s">
        <v>863</v>
      </c>
      <c r="B714" s="1">
        <v>45210.45</v>
      </c>
      <c r="C714" s="2">
        <v>45210.45</v>
      </c>
      <c r="D714" t="s">
        <v>874</v>
      </c>
      <c r="E714">
        <v>66</v>
      </c>
      <c r="F714" t="s">
        <v>734</v>
      </c>
      <c r="G714" t="b">
        <f>LEFT(Logs_Reseau_Part[[#This Row],[Cell_ID]],1)="A"</f>
        <v>1</v>
      </c>
    </row>
    <row r="715" spans="1:7" x14ac:dyDescent="0.3">
      <c r="A715" t="s">
        <v>1167</v>
      </c>
      <c r="B715" s="1">
        <v>45210.39166666667</v>
      </c>
      <c r="C715" s="2">
        <v>45210.39166666667</v>
      </c>
      <c r="D715" t="s">
        <v>834</v>
      </c>
      <c r="E715">
        <v>85</v>
      </c>
      <c r="F715" t="s">
        <v>737</v>
      </c>
      <c r="G715" t="b">
        <f>LEFT(Logs_Reseau_Part[[#This Row],[Cell_ID]],1)="A"</f>
        <v>1</v>
      </c>
    </row>
    <row r="716" spans="1:7" x14ac:dyDescent="0.3">
      <c r="A716" t="s">
        <v>1243</v>
      </c>
      <c r="B716" s="1">
        <v>45210.38958333333</v>
      </c>
      <c r="C716" s="2">
        <v>45210.38958333333</v>
      </c>
      <c r="D716" t="s">
        <v>921</v>
      </c>
      <c r="E716">
        <v>85</v>
      </c>
      <c r="F716" t="s">
        <v>734</v>
      </c>
      <c r="G716" t="b">
        <f>LEFT(Logs_Reseau_Part[[#This Row],[Cell_ID]],1)="A"</f>
        <v>1</v>
      </c>
    </row>
    <row r="717" spans="1:7" x14ac:dyDescent="0.3">
      <c r="A717" t="s">
        <v>1167</v>
      </c>
      <c r="B717" s="1">
        <v>45210.366666666669</v>
      </c>
      <c r="C717" s="2">
        <v>45210.366666666669</v>
      </c>
      <c r="D717" t="s">
        <v>1194</v>
      </c>
      <c r="E717">
        <v>67</v>
      </c>
      <c r="F717" t="s">
        <v>737</v>
      </c>
      <c r="G717" t="b">
        <f>LEFT(Logs_Reseau_Part[[#This Row],[Cell_ID]],1)="A"</f>
        <v>1</v>
      </c>
    </row>
    <row r="718" spans="1:7" x14ac:dyDescent="0.3">
      <c r="A718" t="s">
        <v>1263</v>
      </c>
      <c r="B718" s="1">
        <v>45210.30972222222</v>
      </c>
      <c r="C718" s="2">
        <v>45210.30972222222</v>
      </c>
      <c r="D718" t="s">
        <v>1071</v>
      </c>
      <c r="E718">
        <v>47</v>
      </c>
      <c r="F718" t="s">
        <v>737</v>
      </c>
      <c r="G718" t="b">
        <f>LEFT(Logs_Reseau_Part[[#This Row],[Cell_ID]],1)="A"</f>
        <v>1</v>
      </c>
    </row>
    <row r="719" spans="1:7" x14ac:dyDescent="0.3">
      <c r="A719" t="s">
        <v>941</v>
      </c>
      <c r="B719" s="1">
        <v>45210.280555555553</v>
      </c>
      <c r="C719" s="2">
        <v>45210.280555555553</v>
      </c>
      <c r="D719" t="s">
        <v>943</v>
      </c>
      <c r="E719">
        <v>43</v>
      </c>
      <c r="F719" t="s">
        <v>737</v>
      </c>
      <c r="G719" t="b">
        <f>LEFT(Logs_Reseau_Part[[#This Row],[Cell_ID]],1)="A"</f>
        <v>1</v>
      </c>
    </row>
    <row r="720" spans="1:7" x14ac:dyDescent="0.3">
      <c r="A720" t="s">
        <v>863</v>
      </c>
      <c r="B720" s="1">
        <v>45210.270138888889</v>
      </c>
      <c r="C720" s="2">
        <v>45210.270138888889</v>
      </c>
      <c r="D720" t="s">
        <v>873</v>
      </c>
      <c r="E720">
        <v>104</v>
      </c>
      <c r="F720" t="s">
        <v>739</v>
      </c>
      <c r="G720" t="b">
        <f>LEFT(Logs_Reseau_Part[[#This Row],[Cell_ID]],1)="A"</f>
        <v>1</v>
      </c>
    </row>
    <row r="721" spans="1:7" x14ac:dyDescent="0.3">
      <c r="A721" t="s">
        <v>1310</v>
      </c>
      <c r="B721" s="1">
        <v>45210.24722222222</v>
      </c>
      <c r="C721" s="2">
        <v>45210.24722222222</v>
      </c>
      <c r="D721" t="s">
        <v>1302</v>
      </c>
      <c r="E721">
        <v>74</v>
      </c>
      <c r="F721" t="s">
        <v>734</v>
      </c>
      <c r="G721" t="b">
        <f>LEFT(Logs_Reseau_Part[[#This Row],[Cell_ID]],1)="A"</f>
        <v>1</v>
      </c>
    </row>
    <row r="722" spans="1:7" x14ac:dyDescent="0.3">
      <c r="A722" t="s">
        <v>1061</v>
      </c>
      <c r="B722" s="1">
        <v>45210.168055555558</v>
      </c>
      <c r="C722" s="2">
        <v>45210.168055555558</v>
      </c>
      <c r="D722" t="s">
        <v>1076</v>
      </c>
      <c r="E722">
        <v>110</v>
      </c>
      <c r="F722" t="s">
        <v>734</v>
      </c>
      <c r="G722" t="b">
        <f>LEFT(Logs_Reseau_Part[[#This Row],[Cell_ID]],1)="A"</f>
        <v>1</v>
      </c>
    </row>
    <row r="723" spans="1:7" x14ac:dyDescent="0.3">
      <c r="A723" t="s">
        <v>732</v>
      </c>
      <c r="B723" s="1">
        <v>45210.128472222219</v>
      </c>
      <c r="C723" s="2">
        <v>45210.128472222219</v>
      </c>
      <c r="D723" t="s">
        <v>752</v>
      </c>
      <c r="E723">
        <v>115</v>
      </c>
      <c r="F723" t="s">
        <v>734</v>
      </c>
      <c r="G723" t="b">
        <f>LEFT(Logs_Reseau_Part[[#This Row],[Cell_ID]],1)="A"</f>
        <v>1</v>
      </c>
    </row>
    <row r="724" spans="1:7" x14ac:dyDescent="0.3">
      <c r="A724" t="s">
        <v>941</v>
      </c>
      <c r="B724" s="1">
        <v>45210.054166666669</v>
      </c>
      <c r="C724" s="2">
        <v>45210.054166666669</v>
      </c>
      <c r="D724" t="s">
        <v>967</v>
      </c>
      <c r="E724">
        <v>68</v>
      </c>
      <c r="F724" t="s">
        <v>739</v>
      </c>
      <c r="G724" t="b">
        <f>LEFT(Logs_Reseau_Part[[#This Row],[Cell_ID]],1)="A"</f>
        <v>1</v>
      </c>
    </row>
    <row r="725" spans="1:7" x14ac:dyDescent="0.3">
      <c r="A725" t="s">
        <v>732</v>
      </c>
      <c r="B725" s="1">
        <v>45210.051388888889</v>
      </c>
      <c r="C725" s="2">
        <v>45210.051388888889</v>
      </c>
      <c r="D725" t="s">
        <v>773</v>
      </c>
      <c r="E725">
        <v>73</v>
      </c>
      <c r="F725" t="s">
        <v>734</v>
      </c>
      <c r="G725" t="b">
        <f>LEFT(Logs_Reseau_Part[[#This Row],[Cell_ID]],1)="A"</f>
        <v>1</v>
      </c>
    </row>
    <row r="726" spans="1:7" x14ac:dyDescent="0.3">
      <c r="A726" t="s">
        <v>1363</v>
      </c>
      <c r="B726" s="1">
        <v>45210.03125</v>
      </c>
      <c r="C726" s="2">
        <v>45210.03125</v>
      </c>
      <c r="D726" t="s">
        <v>1074</v>
      </c>
      <c r="E726">
        <v>63</v>
      </c>
      <c r="F726" t="s">
        <v>739</v>
      </c>
      <c r="G726" t="b">
        <f>LEFT(Logs_Reseau_Part[[#This Row],[Cell_ID]],1)="A"</f>
        <v>1</v>
      </c>
    </row>
    <row r="727" spans="1:7" x14ac:dyDescent="0.3">
      <c r="A727" t="s">
        <v>980</v>
      </c>
      <c r="B727" s="1">
        <v>45210.007638888892</v>
      </c>
      <c r="C727" s="2">
        <v>45210.007638888892</v>
      </c>
      <c r="D727" t="s">
        <v>1000</v>
      </c>
      <c r="E727">
        <v>59</v>
      </c>
      <c r="F727" t="s">
        <v>737</v>
      </c>
      <c r="G727" t="b">
        <f>LEFT(Logs_Reseau_Part[[#This Row],[Cell_ID]],1)="A"</f>
        <v>1</v>
      </c>
    </row>
    <row r="728" spans="1:7" x14ac:dyDescent="0.3">
      <c r="A728" t="s">
        <v>1243</v>
      </c>
      <c r="B728" s="1">
        <v>45209.988888888889</v>
      </c>
      <c r="C728" s="2">
        <v>45209.988888888889</v>
      </c>
      <c r="D728" t="s">
        <v>1256</v>
      </c>
      <c r="E728">
        <v>80</v>
      </c>
      <c r="F728" t="s">
        <v>737</v>
      </c>
      <c r="G728" t="b">
        <f>LEFT(Logs_Reseau_Part[[#This Row],[Cell_ID]],1)="A"</f>
        <v>1</v>
      </c>
    </row>
    <row r="729" spans="1:7" x14ac:dyDescent="0.3">
      <c r="A729" t="s">
        <v>1310</v>
      </c>
      <c r="B729" s="1">
        <v>45209.988888888889</v>
      </c>
      <c r="C729" s="2">
        <v>45209.988888888889</v>
      </c>
      <c r="D729" t="s">
        <v>1202</v>
      </c>
      <c r="E729">
        <v>51</v>
      </c>
      <c r="F729" t="s">
        <v>737</v>
      </c>
      <c r="G729" t="b">
        <f>LEFT(Logs_Reseau_Part[[#This Row],[Cell_ID]],1)="A"</f>
        <v>1</v>
      </c>
    </row>
    <row r="730" spans="1:7" x14ac:dyDescent="0.3">
      <c r="A730" t="s">
        <v>1332</v>
      </c>
      <c r="B730" s="1">
        <v>45209.977777777778</v>
      </c>
      <c r="C730" s="2">
        <v>45209.977777777778</v>
      </c>
      <c r="D730" t="s">
        <v>1257</v>
      </c>
      <c r="E730">
        <v>6</v>
      </c>
      <c r="F730" t="s">
        <v>739</v>
      </c>
      <c r="G730" t="b">
        <f>LEFT(Logs_Reseau_Part[[#This Row],[Cell_ID]],1)="A"</f>
        <v>1</v>
      </c>
    </row>
    <row r="731" spans="1:7" x14ac:dyDescent="0.3">
      <c r="A731" t="s">
        <v>904</v>
      </c>
      <c r="B731" s="1">
        <v>45209.954861111109</v>
      </c>
      <c r="C731" s="2">
        <v>45209.954861111109</v>
      </c>
      <c r="D731" t="s">
        <v>926</v>
      </c>
      <c r="E731">
        <v>57</v>
      </c>
      <c r="F731" t="s">
        <v>734</v>
      </c>
      <c r="G731" t="b">
        <f>LEFT(Logs_Reseau_Part[[#This Row],[Cell_ID]],1)="A"</f>
        <v>1</v>
      </c>
    </row>
    <row r="732" spans="1:7" x14ac:dyDescent="0.3">
      <c r="A732" t="s">
        <v>1384</v>
      </c>
      <c r="B732" s="1">
        <v>45209.940972222219</v>
      </c>
      <c r="C732" s="2">
        <v>45209.940972222219</v>
      </c>
      <c r="D732" t="s">
        <v>1160</v>
      </c>
      <c r="E732">
        <v>30</v>
      </c>
      <c r="F732" t="s">
        <v>739</v>
      </c>
      <c r="G732" t="b">
        <f>LEFT(Logs_Reseau_Part[[#This Row],[Cell_ID]],1)="A"</f>
        <v>1</v>
      </c>
    </row>
    <row r="733" spans="1:7" x14ac:dyDescent="0.3">
      <c r="A733" t="s">
        <v>1332</v>
      </c>
      <c r="B733" s="1">
        <v>45209.938888888893</v>
      </c>
      <c r="C733" s="2">
        <v>45209.938888888893</v>
      </c>
      <c r="D733" t="s">
        <v>794</v>
      </c>
      <c r="E733">
        <v>37</v>
      </c>
      <c r="F733" t="s">
        <v>737</v>
      </c>
      <c r="G733" t="b">
        <f>LEFT(Logs_Reseau_Part[[#This Row],[Cell_ID]],1)="A"</f>
        <v>1</v>
      </c>
    </row>
    <row r="734" spans="1:7" x14ac:dyDescent="0.3">
      <c r="A734" t="s">
        <v>1116</v>
      </c>
      <c r="B734" s="1">
        <v>45209.925694444442</v>
      </c>
      <c r="C734" s="2">
        <v>45209.925694444442</v>
      </c>
      <c r="D734" t="s">
        <v>1138</v>
      </c>
      <c r="E734">
        <v>35</v>
      </c>
      <c r="F734" t="s">
        <v>734</v>
      </c>
      <c r="G734" t="b">
        <f>LEFT(Logs_Reseau_Part[[#This Row],[Cell_ID]],1)="A"</f>
        <v>1</v>
      </c>
    </row>
    <row r="735" spans="1:7" x14ac:dyDescent="0.3">
      <c r="A735" t="s">
        <v>1140</v>
      </c>
      <c r="B735" s="1">
        <v>45209.921527777777</v>
      </c>
      <c r="C735" s="2">
        <v>45209.921527777777</v>
      </c>
      <c r="D735" t="s">
        <v>924</v>
      </c>
      <c r="E735">
        <v>119</v>
      </c>
      <c r="F735" t="s">
        <v>734</v>
      </c>
      <c r="G735" t="b">
        <f>LEFT(Logs_Reseau_Part[[#This Row],[Cell_ID]],1)="A"</f>
        <v>1</v>
      </c>
    </row>
    <row r="736" spans="1:7" x14ac:dyDescent="0.3">
      <c r="A736" t="s">
        <v>1406</v>
      </c>
      <c r="B736" s="1">
        <v>45209.913888888892</v>
      </c>
      <c r="C736" s="2">
        <v>45209.913888888892</v>
      </c>
      <c r="D736" t="s">
        <v>1059</v>
      </c>
      <c r="E736">
        <v>111</v>
      </c>
      <c r="F736" t="s">
        <v>739</v>
      </c>
      <c r="G736" t="b">
        <f>LEFT(Logs_Reseau_Part[[#This Row],[Cell_ID]],1)="A"</f>
        <v>1</v>
      </c>
    </row>
    <row r="737" spans="1:7" x14ac:dyDescent="0.3">
      <c r="A737" t="s">
        <v>1263</v>
      </c>
      <c r="B737" s="1">
        <v>45209.907638888893</v>
      </c>
      <c r="C737" s="2">
        <v>45209.907638888893</v>
      </c>
      <c r="D737" t="s">
        <v>1266</v>
      </c>
      <c r="E737">
        <v>99</v>
      </c>
      <c r="F737" t="s">
        <v>739</v>
      </c>
      <c r="G737" t="b">
        <f>LEFT(Logs_Reseau_Part[[#This Row],[Cell_ID]],1)="A"</f>
        <v>1</v>
      </c>
    </row>
    <row r="738" spans="1:7" x14ac:dyDescent="0.3">
      <c r="A738" t="s">
        <v>1001</v>
      </c>
      <c r="B738" s="1">
        <v>45209.904861111107</v>
      </c>
      <c r="C738" s="2">
        <v>45209.904861111107</v>
      </c>
      <c r="D738" t="s">
        <v>761</v>
      </c>
      <c r="E738">
        <v>45</v>
      </c>
      <c r="F738" t="s">
        <v>739</v>
      </c>
      <c r="G738" t="b">
        <f>LEFT(Logs_Reseau_Part[[#This Row],[Cell_ID]],1)="A"</f>
        <v>1</v>
      </c>
    </row>
    <row r="739" spans="1:7" x14ac:dyDescent="0.3">
      <c r="A739" t="s">
        <v>863</v>
      </c>
      <c r="B739" s="1">
        <v>45209.901388888888</v>
      </c>
      <c r="C739" s="2">
        <v>45209.901388888888</v>
      </c>
      <c r="D739" t="s">
        <v>895</v>
      </c>
      <c r="E739">
        <v>68</v>
      </c>
      <c r="F739" t="s">
        <v>737</v>
      </c>
      <c r="G739" t="b">
        <f>LEFT(Logs_Reseau_Part[[#This Row],[Cell_ID]],1)="A"</f>
        <v>1</v>
      </c>
    </row>
    <row r="740" spans="1:7" x14ac:dyDescent="0.3">
      <c r="A740" t="s">
        <v>941</v>
      </c>
      <c r="B740" s="1">
        <v>45209.898611111108</v>
      </c>
      <c r="C740" s="2">
        <v>45209.898611111108</v>
      </c>
      <c r="D740" t="s">
        <v>912</v>
      </c>
      <c r="E740">
        <v>29</v>
      </c>
      <c r="F740" t="s">
        <v>737</v>
      </c>
      <c r="G740" t="b">
        <f>LEFT(Logs_Reseau_Part[[#This Row],[Cell_ID]],1)="A"</f>
        <v>1</v>
      </c>
    </row>
    <row r="741" spans="1:7" x14ac:dyDescent="0.3">
      <c r="A741" t="s">
        <v>941</v>
      </c>
      <c r="B741" s="1">
        <v>45209.852083333331</v>
      </c>
      <c r="C741" s="2">
        <v>45209.852083333331</v>
      </c>
      <c r="D741" t="s">
        <v>978</v>
      </c>
      <c r="E741">
        <v>91</v>
      </c>
      <c r="F741" t="s">
        <v>739</v>
      </c>
      <c r="G741" t="b">
        <f>LEFT(Logs_Reseau_Part[[#This Row],[Cell_ID]],1)="A"</f>
        <v>1</v>
      </c>
    </row>
    <row r="742" spans="1:7" x14ac:dyDescent="0.3">
      <c r="A742" t="s">
        <v>904</v>
      </c>
      <c r="B742" s="1">
        <v>45209.824305555558</v>
      </c>
      <c r="C742" s="2">
        <v>45209.824305555558</v>
      </c>
      <c r="D742" t="s">
        <v>865</v>
      </c>
      <c r="E742">
        <v>93</v>
      </c>
      <c r="F742" t="s">
        <v>739</v>
      </c>
      <c r="G742" t="b">
        <f>LEFT(Logs_Reseau_Part[[#This Row],[Cell_ID]],1)="A"</f>
        <v>1</v>
      </c>
    </row>
    <row r="743" spans="1:7" x14ac:dyDescent="0.3">
      <c r="A743" t="s">
        <v>1088</v>
      </c>
      <c r="B743" s="1">
        <v>45209.81527777778</v>
      </c>
      <c r="C743" s="2">
        <v>45209.81527777778</v>
      </c>
      <c r="D743" t="s">
        <v>824</v>
      </c>
      <c r="E743">
        <v>115</v>
      </c>
      <c r="F743" t="s">
        <v>739</v>
      </c>
      <c r="G743" t="b">
        <f>LEFT(Logs_Reseau_Part[[#This Row],[Cell_ID]],1)="A"</f>
        <v>1</v>
      </c>
    </row>
    <row r="744" spans="1:7" x14ac:dyDescent="0.3">
      <c r="A744" t="s">
        <v>1140</v>
      </c>
      <c r="B744" s="1">
        <v>45209.781944444447</v>
      </c>
      <c r="C744" s="2">
        <v>45209.781944444447</v>
      </c>
      <c r="D744" t="s">
        <v>1112</v>
      </c>
      <c r="E744">
        <v>10</v>
      </c>
      <c r="F744" t="s">
        <v>737</v>
      </c>
      <c r="G744" t="b">
        <f>LEFT(Logs_Reseau_Part[[#This Row],[Cell_ID]],1)="A"</f>
        <v>1</v>
      </c>
    </row>
    <row r="745" spans="1:7" x14ac:dyDescent="0.3">
      <c r="A745" t="s">
        <v>904</v>
      </c>
      <c r="B745" s="1">
        <v>45209.777083333327</v>
      </c>
      <c r="C745" s="2">
        <v>45209.777083333327</v>
      </c>
      <c r="D745" t="s">
        <v>918</v>
      </c>
      <c r="E745">
        <v>40</v>
      </c>
      <c r="F745" t="s">
        <v>739</v>
      </c>
      <c r="G745" t="b">
        <f>LEFT(Logs_Reseau_Part[[#This Row],[Cell_ID]],1)="A"</f>
        <v>1</v>
      </c>
    </row>
    <row r="746" spans="1:7" x14ac:dyDescent="0.3">
      <c r="A746" t="s">
        <v>1026</v>
      </c>
      <c r="B746" s="1">
        <v>45209.724999999999</v>
      </c>
      <c r="C746" s="2">
        <v>45209.724999999999</v>
      </c>
      <c r="D746" t="s">
        <v>1050</v>
      </c>
      <c r="E746">
        <v>97</v>
      </c>
      <c r="F746" t="s">
        <v>739</v>
      </c>
      <c r="G746" t="b">
        <f>LEFT(Logs_Reseau_Part[[#This Row],[Cell_ID]],1)="A"</f>
        <v>1</v>
      </c>
    </row>
    <row r="747" spans="1:7" x14ac:dyDescent="0.3">
      <c r="A747" t="s">
        <v>1061</v>
      </c>
      <c r="B747" s="1">
        <v>45209.684027777781</v>
      </c>
      <c r="C747" s="2">
        <v>45209.684027777781</v>
      </c>
      <c r="D747" t="s">
        <v>933</v>
      </c>
      <c r="E747">
        <v>44</v>
      </c>
      <c r="F747" t="s">
        <v>739</v>
      </c>
      <c r="G747" t="b">
        <f>LEFT(Logs_Reseau_Part[[#This Row],[Cell_ID]],1)="A"</f>
        <v>1</v>
      </c>
    </row>
    <row r="748" spans="1:7" x14ac:dyDescent="0.3">
      <c r="A748" t="s">
        <v>825</v>
      </c>
      <c r="B748" s="1">
        <v>45209.679861111108</v>
      </c>
      <c r="C748" s="2">
        <v>45209.679861111108</v>
      </c>
      <c r="D748" t="s">
        <v>842</v>
      </c>
      <c r="E748">
        <v>115</v>
      </c>
      <c r="F748" t="s">
        <v>739</v>
      </c>
      <c r="G748" t="b">
        <f>LEFT(Logs_Reseau_Part[[#This Row],[Cell_ID]],1)="A"</f>
        <v>1</v>
      </c>
    </row>
    <row r="749" spans="1:7" x14ac:dyDescent="0.3">
      <c r="A749" t="s">
        <v>1195</v>
      </c>
      <c r="B749" s="1">
        <v>45209.659722222219</v>
      </c>
      <c r="C749" s="2">
        <v>45209.659722222219</v>
      </c>
      <c r="D749" t="s">
        <v>992</v>
      </c>
      <c r="E749">
        <v>67</v>
      </c>
      <c r="F749" t="s">
        <v>739</v>
      </c>
      <c r="G749" t="b">
        <f>LEFT(Logs_Reseau_Part[[#This Row],[Cell_ID]],1)="A"</f>
        <v>1</v>
      </c>
    </row>
    <row r="750" spans="1:7" x14ac:dyDescent="0.3">
      <c r="A750" t="s">
        <v>904</v>
      </c>
      <c r="B750" s="1">
        <v>45209.588194444441</v>
      </c>
      <c r="C750" s="2">
        <v>45209.588194444441</v>
      </c>
      <c r="D750" t="s">
        <v>855</v>
      </c>
      <c r="E750">
        <v>41</v>
      </c>
      <c r="F750" t="s">
        <v>737</v>
      </c>
      <c r="G750" t="b">
        <f>LEFT(Logs_Reseau_Part[[#This Row],[Cell_ID]],1)="A"</f>
        <v>1</v>
      </c>
    </row>
    <row r="751" spans="1:7" x14ac:dyDescent="0.3">
      <c r="A751" t="s">
        <v>1221</v>
      </c>
      <c r="B751" s="1">
        <v>45209.581944444442</v>
      </c>
      <c r="C751" s="2">
        <v>45209.581944444442</v>
      </c>
      <c r="D751" t="s">
        <v>1224</v>
      </c>
      <c r="E751">
        <v>93</v>
      </c>
      <c r="F751" t="s">
        <v>737</v>
      </c>
      <c r="G751" t="b">
        <f>LEFT(Logs_Reseau_Part[[#This Row],[Cell_ID]],1)="A"</f>
        <v>1</v>
      </c>
    </row>
    <row r="752" spans="1:7" x14ac:dyDescent="0.3">
      <c r="A752" t="s">
        <v>1195</v>
      </c>
      <c r="B752" s="1">
        <v>45209.558333333327</v>
      </c>
      <c r="C752" s="2">
        <v>45209.558333333327</v>
      </c>
      <c r="D752" t="s">
        <v>1215</v>
      </c>
      <c r="E752">
        <v>66</v>
      </c>
      <c r="F752" t="s">
        <v>737</v>
      </c>
      <c r="G752" t="b">
        <f>LEFT(Logs_Reseau_Part[[#This Row],[Cell_ID]],1)="A"</f>
        <v>1</v>
      </c>
    </row>
    <row r="753" spans="1:7" x14ac:dyDescent="0.3">
      <c r="A753" t="s">
        <v>1088</v>
      </c>
      <c r="B753" s="1">
        <v>45209.53125</v>
      </c>
      <c r="C753" s="2">
        <v>45209.53125</v>
      </c>
      <c r="D753" t="s">
        <v>1098</v>
      </c>
      <c r="E753">
        <v>63</v>
      </c>
      <c r="F753" t="s">
        <v>734</v>
      </c>
      <c r="G753" t="b">
        <f>LEFT(Logs_Reseau_Part[[#This Row],[Cell_ID]],1)="A"</f>
        <v>1</v>
      </c>
    </row>
    <row r="754" spans="1:7" x14ac:dyDescent="0.3">
      <c r="A754" t="s">
        <v>825</v>
      </c>
      <c r="B754" s="1">
        <v>45209.524305555547</v>
      </c>
      <c r="C754" s="2">
        <v>45209.524305555547</v>
      </c>
      <c r="D754" t="s">
        <v>849</v>
      </c>
      <c r="E754">
        <v>27</v>
      </c>
      <c r="F754" t="s">
        <v>739</v>
      </c>
      <c r="G754" t="b">
        <f>LEFT(Logs_Reseau_Part[[#This Row],[Cell_ID]],1)="A"</f>
        <v>1</v>
      </c>
    </row>
    <row r="755" spans="1:7" x14ac:dyDescent="0.3">
      <c r="A755" t="s">
        <v>1001</v>
      </c>
      <c r="B755" s="1">
        <v>45209.462500000001</v>
      </c>
      <c r="C755" s="2">
        <v>45209.462500000001</v>
      </c>
      <c r="D755" t="s">
        <v>1000</v>
      </c>
      <c r="E755">
        <v>102</v>
      </c>
      <c r="F755" t="s">
        <v>739</v>
      </c>
      <c r="G755" t="b">
        <f>LEFT(Logs_Reseau_Part[[#This Row],[Cell_ID]],1)="A"</f>
        <v>1</v>
      </c>
    </row>
    <row r="756" spans="1:7" x14ac:dyDescent="0.3">
      <c r="A756" t="s">
        <v>1263</v>
      </c>
      <c r="B756" s="1">
        <v>45209.388888888891</v>
      </c>
      <c r="C756" s="2">
        <v>45209.388888888891</v>
      </c>
      <c r="D756" t="s">
        <v>1288</v>
      </c>
      <c r="E756">
        <v>44</v>
      </c>
      <c r="F756" t="s">
        <v>734</v>
      </c>
      <c r="G756" t="b">
        <f>LEFT(Logs_Reseau_Part[[#This Row],[Cell_ID]],1)="A"</f>
        <v>1</v>
      </c>
    </row>
    <row r="757" spans="1:7" x14ac:dyDescent="0.3">
      <c r="A757" t="s">
        <v>1026</v>
      </c>
      <c r="B757" s="1">
        <v>45209.365277777782</v>
      </c>
      <c r="C757" s="2">
        <v>45209.365277777782</v>
      </c>
      <c r="D757" t="s">
        <v>1044</v>
      </c>
      <c r="E757">
        <v>120</v>
      </c>
      <c r="F757" t="s">
        <v>734</v>
      </c>
      <c r="G757" t="b">
        <f>LEFT(Logs_Reseau_Part[[#This Row],[Cell_ID]],1)="A"</f>
        <v>1</v>
      </c>
    </row>
    <row r="758" spans="1:7" x14ac:dyDescent="0.3">
      <c r="A758" t="s">
        <v>1195</v>
      </c>
      <c r="B758" s="1">
        <v>45209.354861111111</v>
      </c>
      <c r="C758" s="2">
        <v>45209.354861111111</v>
      </c>
      <c r="D758" t="s">
        <v>1150</v>
      </c>
      <c r="E758">
        <v>99</v>
      </c>
      <c r="F758" t="s">
        <v>737</v>
      </c>
      <c r="G758" t="b">
        <f>LEFT(Logs_Reseau_Part[[#This Row],[Cell_ID]],1)="A"</f>
        <v>1</v>
      </c>
    </row>
    <row r="759" spans="1:7" x14ac:dyDescent="0.3">
      <c r="A759" t="s">
        <v>825</v>
      </c>
      <c r="B759" s="1">
        <v>45209.32708333333</v>
      </c>
      <c r="C759" s="2">
        <v>45209.32708333333</v>
      </c>
      <c r="D759" t="s">
        <v>859</v>
      </c>
      <c r="E759">
        <v>107</v>
      </c>
      <c r="F759" t="s">
        <v>737</v>
      </c>
      <c r="G759" t="b">
        <f>LEFT(Logs_Reseau_Part[[#This Row],[Cell_ID]],1)="A"</f>
        <v>1</v>
      </c>
    </row>
    <row r="760" spans="1:7" x14ac:dyDescent="0.3">
      <c r="A760" t="s">
        <v>825</v>
      </c>
      <c r="B760" s="1">
        <v>45209.268750000003</v>
      </c>
      <c r="C760" s="2">
        <v>45209.268750000003</v>
      </c>
      <c r="D760" t="s">
        <v>851</v>
      </c>
      <c r="E760">
        <v>94</v>
      </c>
      <c r="F760" t="s">
        <v>737</v>
      </c>
      <c r="G760" t="b">
        <f>LEFT(Logs_Reseau_Part[[#This Row],[Cell_ID]],1)="A"</f>
        <v>1</v>
      </c>
    </row>
    <row r="761" spans="1:7" x14ac:dyDescent="0.3">
      <c r="A761" t="s">
        <v>1061</v>
      </c>
      <c r="B761" s="1">
        <v>45209.251388888893</v>
      </c>
      <c r="C761" s="2">
        <v>45209.251388888893</v>
      </c>
      <c r="D761" t="s">
        <v>988</v>
      </c>
      <c r="E761">
        <v>46</v>
      </c>
      <c r="F761" t="s">
        <v>737</v>
      </c>
      <c r="G761" t="b">
        <f>LEFT(Logs_Reseau_Part[[#This Row],[Cell_ID]],1)="A"</f>
        <v>1</v>
      </c>
    </row>
    <row r="762" spans="1:7" x14ac:dyDescent="0.3">
      <c r="A762" t="s">
        <v>1088</v>
      </c>
      <c r="B762" s="1">
        <v>45209.239583333343</v>
      </c>
      <c r="C762" s="2">
        <v>45209.239583333343</v>
      </c>
      <c r="D762" t="s">
        <v>1090</v>
      </c>
      <c r="E762">
        <v>42</v>
      </c>
      <c r="F762" t="s">
        <v>739</v>
      </c>
      <c r="G762" t="b">
        <f>LEFT(Logs_Reseau_Part[[#This Row],[Cell_ID]],1)="A"</f>
        <v>1</v>
      </c>
    </row>
    <row r="763" spans="1:7" x14ac:dyDescent="0.3">
      <c r="A763" t="s">
        <v>1088</v>
      </c>
      <c r="B763" s="1">
        <v>45209.215277777781</v>
      </c>
      <c r="C763" s="2">
        <v>45209.215277777781</v>
      </c>
      <c r="D763" t="s">
        <v>1078</v>
      </c>
      <c r="E763">
        <v>23</v>
      </c>
      <c r="F763" t="s">
        <v>739</v>
      </c>
      <c r="G763" t="b">
        <f>LEFT(Logs_Reseau_Part[[#This Row],[Cell_ID]],1)="A"</f>
        <v>1</v>
      </c>
    </row>
    <row r="764" spans="1:7" x14ac:dyDescent="0.3">
      <c r="A764" t="s">
        <v>1243</v>
      </c>
      <c r="B764" s="1">
        <v>45209.183333333327</v>
      </c>
      <c r="C764" s="2">
        <v>45209.183333333327</v>
      </c>
      <c r="D764" t="s">
        <v>1261</v>
      </c>
      <c r="E764">
        <v>81</v>
      </c>
      <c r="F764" t="s">
        <v>737</v>
      </c>
      <c r="G764" t="b">
        <f>LEFT(Logs_Reseau_Part[[#This Row],[Cell_ID]],1)="A"</f>
        <v>1</v>
      </c>
    </row>
    <row r="765" spans="1:7" x14ac:dyDescent="0.3">
      <c r="A765" t="s">
        <v>1310</v>
      </c>
      <c r="B765" s="1">
        <v>45209.174305555563</v>
      </c>
      <c r="C765" s="2">
        <v>45209.174305555563</v>
      </c>
      <c r="D765" t="s">
        <v>1286</v>
      </c>
      <c r="E765">
        <v>5</v>
      </c>
      <c r="F765" t="s">
        <v>734</v>
      </c>
      <c r="G765" t="b">
        <f>LEFT(Logs_Reseau_Part[[#This Row],[Cell_ID]],1)="A"</f>
        <v>1</v>
      </c>
    </row>
    <row r="766" spans="1:7" x14ac:dyDescent="0.3">
      <c r="A766" t="s">
        <v>1088</v>
      </c>
      <c r="B766" s="1">
        <v>45209.094444444447</v>
      </c>
      <c r="C766" s="2">
        <v>45209.094444444447</v>
      </c>
      <c r="D766" t="s">
        <v>1108</v>
      </c>
      <c r="E766">
        <v>96</v>
      </c>
      <c r="F766" t="s">
        <v>734</v>
      </c>
      <c r="G766" t="b">
        <f>LEFT(Logs_Reseau_Part[[#This Row],[Cell_ID]],1)="A"</f>
        <v>1</v>
      </c>
    </row>
    <row r="767" spans="1:7" x14ac:dyDescent="0.3">
      <c r="A767" t="s">
        <v>1332</v>
      </c>
      <c r="B767" s="1">
        <v>45209.01666666667</v>
      </c>
      <c r="C767" s="2">
        <v>45209.01666666667</v>
      </c>
      <c r="D767" t="s">
        <v>1345</v>
      </c>
      <c r="E767">
        <v>43</v>
      </c>
      <c r="F767" t="s">
        <v>734</v>
      </c>
      <c r="G767" t="b">
        <f>LEFT(Logs_Reseau_Part[[#This Row],[Cell_ID]],1)="A"</f>
        <v>1</v>
      </c>
    </row>
    <row r="768" spans="1:7" x14ac:dyDescent="0.3">
      <c r="A768" t="s">
        <v>1363</v>
      </c>
      <c r="B768" s="1">
        <v>45208.961805555547</v>
      </c>
      <c r="C768" s="2">
        <v>45208.961805555547</v>
      </c>
      <c r="D768" t="s">
        <v>1365</v>
      </c>
      <c r="E768">
        <v>68</v>
      </c>
      <c r="F768" t="s">
        <v>734</v>
      </c>
      <c r="G768" t="b">
        <f>LEFT(Logs_Reseau_Part[[#This Row],[Cell_ID]],1)="A"</f>
        <v>1</v>
      </c>
    </row>
    <row r="769" spans="1:7" x14ac:dyDescent="0.3">
      <c r="A769" t="s">
        <v>1061</v>
      </c>
      <c r="B769" s="1">
        <v>45208.959027777782</v>
      </c>
      <c r="C769" s="2">
        <v>45208.959027777782</v>
      </c>
      <c r="D769" t="s">
        <v>799</v>
      </c>
      <c r="E769">
        <v>98</v>
      </c>
      <c r="F769" t="s">
        <v>739</v>
      </c>
      <c r="G769" t="b">
        <f>LEFT(Logs_Reseau_Part[[#This Row],[Cell_ID]],1)="A"</f>
        <v>1</v>
      </c>
    </row>
    <row r="770" spans="1:7" x14ac:dyDescent="0.3">
      <c r="A770" t="s">
        <v>732</v>
      </c>
      <c r="B770" s="1">
        <v>45208.957638888889</v>
      </c>
      <c r="C770" s="2">
        <v>45208.957638888889</v>
      </c>
      <c r="D770" t="s">
        <v>766</v>
      </c>
      <c r="E770">
        <v>115</v>
      </c>
      <c r="F770" t="s">
        <v>734</v>
      </c>
      <c r="G770" t="b">
        <f>LEFT(Logs_Reseau_Part[[#This Row],[Cell_ID]],1)="A"</f>
        <v>1</v>
      </c>
    </row>
    <row r="771" spans="1:7" x14ac:dyDescent="0.3">
      <c r="A771" t="s">
        <v>732</v>
      </c>
      <c r="B771" s="1">
        <v>45208.863888888889</v>
      </c>
      <c r="C771" s="2">
        <v>45208.863888888889</v>
      </c>
      <c r="D771" t="s">
        <v>771</v>
      </c>
      <c r="E771">
        <v>92</v>
      </c>
      <c r="F771" t="s">
        <v>734</v>
      </c>
      <c r="G771" t="b">
        <f>LEFT(Logs_Reseau_Part[[#This Row],[Cell_ID]],1)="A"</f>
        <v>1</v>
      </c>
    </row>
    <row r="772" spans="1:7" x14ac:dyDescent="0.3">
      <c r="A772" t="s">
        <v>1347</v>
      </c>
      <c r="B772" s="1">
        <v>45208.762499999997</v>
      </c>
      <c r="C772" s="2">
        <v>45208.762499999997</v>
      </c>
      <c r="D772" t="s">
        <v>1349</v>
      </c>
      <c r="E772">
        <v>101</v>
      </c>
      <c r="F772" t="s">
        <v>734</v>
      </c>
      <c r="G772" t="b">
        <f>LEFT(Logs_Reseau_Part[[#This Row],[Cell_ID]],1)="A"</f>
        <v>1</v>
      </c>
    </row>
    <row r="773" spans="1:7" x14ac:dyDescent="0.3">
      <c r="A773" t="s">
        <v>1406</v>
      </c>
      <c r="B773" s="1">
        <v>45208.711111111108</v>
      </c>
      <c r="C773" s="2">
        <v>45208.711111111108</v>
      </c>
      <c r="D773" t="s">
        <v>1087</v>
      </c>
      <c r="E773">
        <v>75</v>
      </c>
      <c r="F773" t="s">
        <v>737</v>
      </c>
      <c r="G773" t="b">
        <f>LEFT(Logs_Reseau_Part[[#This Row],[Cell_ID]],1)="A"</f>
        <v>1</v>
      </c>
    </row>
    <row r="774" spans="1:7" x14ac:dyDescent="0.3">
      <c r="A774" t="s">
        <v>1332</v>
      </c>
      <c r="B774" s="1">
        <v>45208.662499999999</v>
      </c>
      <c r="C774" s="2">
        <v>45208.662499999999</v>
      </c>
      <c r="D774" t="s">
        <v>1338</v>
      </c>
      <c r="E774">
        <v>104</v>
      </c>
      <c r="F774" t="s">
        <v>739</v>
      </c>
      <c r="G774" t="b">
        <f>LEFT(Logs_Reseau_Part[[#This Row],[Cell_ID]],1)="A"</f>
        <v>1</v>
      </c>
    </row>
    <row r="775" spans="1:7" x14ac:dyDescent="0.3">
      <c r="A775" t="s">
        <v>941</v>
      </c>
      <c r="B775" s="1">
        <v>45208.594444444447</v>
      </c>
      <c r="C775" s="2">
        <v>45208.594444444447</v>
      </c>
      <c r="D775" t="s">
        <v>974</v>
      </c>
      <c r="E775">
        <v>50</v>
      </c>
      <c r="F775" t="s">
        <v>734</v>
      </c>
      <c r="G775" t="b">
        <f>LEFT(Logs_Reseau_Part[[#This Row],[Cell_ID]],1)="A"</f>
        <v>1</v>
      </c>
    </row>
    <row r="776" spans="1:7" x14ac:dyDescent="0.3">
      <c r="A776" t="s">
        <v>1406</v>
      </c>
      <c r="B776" s="1">
        <v>45208.558333333327</v>
      </c>
      <c r="C776" s="2">
        <v>45208.558333333327</v>
      </c>
      <c r="D776" t="s">
        <v>1399</v>
      </c>
      <c r="E776">
        <v>44</v>
      </c>
      <c r="F776" t="s">
        <v>739</v>
      </c>
      <c r="G776" t="b">
        <f>LEFT(Logs_Reseau_Part[[#This Row],[Cell_ID]],1)="A"</f>
        <v>1</v>
      </c>
    </row>
    <row r="777" spans="1:7" x14ac:dyDescent="0.3">
      <c r="A777" t="s">
        <v>1167</v>
      </c>
      <c r="B777" s="1">
        <v>45208.529861111107</v>
      </c>
      <c r="C777" s="2">
        <v>45208.529861111107</v>
      </c>
      <c r="D777" t="s">
        <v>1177</v>
      </c>
      <c r="E777">
        <v>72</v>
      </c>
      <c r="F777" t="s">
        <v>739</v>
      </c>
      <c r="G777" t="b">
        <f>LEFT(Logs_Reseau_Part[[#This Row],[Cell_ID]],1)="A"</f>
        <v>1</v>
      </c>
    </row>
    <row r="778" spans="1:7" x14ac:dyDescent="0.3">
      <c r="A778" t="s">
        <v>1332</v>
      </c>
      <c r="B778" s="1">
        <v>45208.52847222222</v>
      </c>
      <c r="C778" s="2">
        <v>45208.52847222222</v>
      </c>
      <c r="D778" t="s">
        <v>912</v>
      </c>
      <c r="E778">
        <v>33</v>
      </c>
      <c r="F778" t="s">
        <v>737</v>
      </c>
      <c r="G778" t="b">
        <f>LEFT(Logs_Reseau_Part[[#This Row],[Cell_ID]],1)="A"</f>
        <v>1</v>
      </c>
    </row>
    <row r="779" spans="1:7" x14ac:dyDescent="0.3">
      <c r="A779" t="s">
        <v>1332</v>
      </c>
      <c r="B779" s="1">
        <v>45208.506249999999</v>
      </c>
      <c r="C779" s="2">
        <v>45208.506249999999</v>
      </c>
      <c r="D779" t="s">
        <v>1334</v>
      </c>
      <c r="E779">
        <v>91</v>
      </c>
      <c r="F779" t="s">
        <v>739</v>
      </c>
      <c r="G779" t="b">
        <f>LEFT(Logs_Reseau_Part[[#This Row],[Cell_ID]],1)="A"</f>
        <v>1</v>
      </c>
    </row>
    <row r="780" spans="1:7" x14ac:dyDescent="0.3">
      <c r="A780" t="s">
        <v>781</v>
      </c>
      <c r="B780" s="1">
        <v>45208.505555555559</v>
      </c>
      <c r="C780" s="2">
        <v>45208.505555555559</v>
      </c>
      <c r="D780" t="s">
        <v>820</v>
      </c>
      <c r="E780">
        <v>31</v>
      </c>
      <c r="F780" t="s">
        <v>739</v>
      </c>
      <c r="G780" t="b">
        <f>LEFT(Logs_Reseau_Part[[#This Row],[Cell_ID]],1)="A"</f>
        <v>1</v>
      </c>
    </row>
    <row r="781" spans="1:7" x14ac:dyDescent="0.3">
      <c r="A781" t="s">
        <v>1332</v>
      </c>
      <c r="B781" s="1">
        <v>45208.494444444441</v>
      </c>
      <c r="C781" s="2">
        <v>45208.494444444441</v>
      </c>
      <c r="D781" t="s">
        <v>1079</v>
      </c>
      <c r="E781">
        <v>59</v>
      </c>
      <c r="F781" t="s">
        <v>737</v>
      </c>
      <c r="G781" t="b">
        <f>LEFT(Logs_Reseau_Part[[#This Row],[Cell_ID]],1)="A"</f>
        <v>1</v>
      </c>
    </row>
    <row r="782" spans="1:7" x14ac:dyDescent="0.3">
      <c r="A782" t="s">
        <v>941</v>
      </c>
      <c r="B782" s="1">
        <v>45208.443749999999</v>
      </c>
      <c r="C782" s="2">
        <v>45208.443749999999</v>
      </c>
      <c r="D782" t="s">
        <v>954</v>
      </c>
      <c r="E782">
        <v>7</v>
      </c>
      <c r="F782" t="s">
        <v>739</v>
      </c>
      <c r="G782" t="b">
        <f>LEFT(Logs_Reseau_Part[[#This Row],[Cell_ID]],1)="A"</f>
        <v>1</v>
      </c>
    </row>
    <row r="783" spans="1:7" x14ac:dyDescent="0.3">
      <c r="A783" t="s">
        <v>732</v>
      </c>
      <c r="B783" s="1">
        <v>45208.301388888889</v>
      </c>
      <c r="C783" s="2">
        <v>45208.301388888889</v>
      </c>
      <c r="D783" t="s">
        <v>735</v>
      </c>
      <c r="E783">
        <v>38</v>
      </c>
      <c r="F783" t="s">
        <v>734</v>
      </c>
      <c r="G783" t="b">
        <f>LEFT(Logs_Reseau_Part[[#This Row],[Cell_ID]],1)="A"</f>
        <v>1</v>
      </c>
    </row>
    <row r="784" spans="1:7" x14ac:dyDescent="0.3">
      <c r="A784" t="s">
        <v>781</v>
      </c>
      <c r="B784" s="1">
        <v>45208.279166666667</v>
      </c>
      <c r="C784" s="2">
        <v>45208.279166666667</v>
      </c>
      <c r="D784" t="s">
        <v>818</v>
      </c>
      <c r="E784">
        <v>41</v>
      </c>
      <c r="F784" t="s">
        <v>737</v>
      </c>
      <c r="G784" t="b">
        <f>LEFT(Logs_Reseau_Part[[#This Row],[Cell_ID]],1)="A"</f>
        <v>1</v>
      </c>
    </row>
    <row r="785" spans="1:7" x14ac:dyDescent="0.3">
      <c r="A785" t="s">
        <v>1088</v>
      </c>
      <c r="B785" s="1">
        <v>45208.194444444453</v>
      </c>
      <c r="C785" s="2">
        <v>45208.194444444453</v>
      </c>
      <c r="D785" t="s">
        <v>1109</v>
      </c>
      <c r="E785">
        <v>98</v>
      </c>
      <c r="F785" t="s">
        <v>737</v>
      </c>
      <c r="G785" t="b">
        <f>LEFT(Logs_Reseau_Part[[#This Row],[Cell_ID]],1)="A"</f>
        <v>1</v>
      </c>
    </row>
    <row r="786" spans="1:7" x14ac:dyDescent="0.3">
      <c r="A786" t="s">
        <v>980</v>
      </c>
      <c r="B786" s="1">
        <v>45208.172222222223</v>
      </c>
      <c r="C786" s="2">
        <v>45208.172222222223</v>
      </c>
      <c r="D786" t="s">
        <v>785</v>
      </c>
      <c r="E786">
        <v>87</v>
      </c>
      <c r="F786" t="s">
        <v>734</v>
      </c>
      <c r="G786" t="b">
        <f>LEFT(Logs_Reseau_Part[[#This Row],[Cell_ID]],1)="A"</f>
        <v>1</v>
      </c>
    </row>
    <row r="787" spans="1:7" x14ac:dyDescent="0.3">
      <c r="A787" t="s">
        <v>904</v>
      </c>
      <c r="B787" s="1">
        <v>45208.169444444437</v>
      </c>
      <c r="C787" s="2">
        <v>45208.169444444437</v>
      </c>
      <c r="D787" t="s">
        <v>932</v>
      </c>
      <c r="E787">
        <v>47</v>
      </c>
      <c r="F787" t="s">
        <v>734</v>
      </c>
      <c r="G787" t="b">
        <f>LEFT(Logs_Reseau_Part[[#This Row],[Cell_ID]],1)="A"</f>
        <v>1</v>
      </c>
    </row>
    <row r="788" spans="1:7" x14ac:dyDescent="0.3">
      <c r="A788" t="s">
        <v>1263</v>
      </c>
      <c r="B788" s="1">
        <v>45208.10833333333</v>
      </c>
      <c r="C788" s="2">
        <v>45208.10833333333</v>
      </c>
      <c r="D788" t="s">
        <v>1285</v>
      </c>
      <c r="E788">
        <v>102</v>
      </c>
      <c r="F788" t="s">
        <v>737</v>
      </c>
      <c r="G788" t="b">
        <f>LEFT(Logs_Reseau_Part[[#This Row],[Cell_ID]],1)="A"</f>
        <v>1</v>
      </c>
    </row>
    <row r="789" spans="1:7" x14ac:dyDescent="0.3">
      <c r="A789" t="s">
        <v>1290</v>
      </c>
      <c r="B789" s="1">
        <v>45208.084027777782</v>
      </c>
      <c r="C789" s="2">
        <v>45208.084027777782</v>
      </c>
      <c r="D789" t="s">
        <v>1297</v>
      </c>
      <c r="E789">
        <v>50</v>
      </c>
      <c r="F789" t="s">
        <v>737</v>
      </c>
      <c r="G789" t="b">
        <f>LEFT(Logs_Reseau_Part[[#This Row],[Cell_ID]],1)="A"</f>
        <v>1</v>
      </c>
    </row>
    <row r="790" spans="1:7" x14ac:dyDescent="0.3">
      <c r="A790" t="s">
        <v>1061</v>
      </c>
      <c r="B790" s="1">
        <v>45208.074999999997</v>
      </c>
      <c r="C790" s="2">
        <v>45208.074999999997</v>
      </c>
      <c r="D790" t="s">
        <v>990</v>
      </c>
      <c r="E790">
        <v>82</v>
      </c>
      <c r="F790" t="s">
        <v>739</v>
      </c>
      <c r="G790" t="b">
        <f>LEFT(Logs_Reseau_Part[[#This Row],[Cell_ID]],1)="A"</f>
        <v>1</v>
      </c>
    </row>
    <row r="791" spans="1:7" x14ac:dyDescent="0.3">
      <c r="A791" t="s">
        <v>732</v>
      </c>
      <c r="B791" s="1">
        <v>45208.073611111111</v>
      </c>
      <c r="C791" s="2">
        <v>45208.073611111111</v>
      </c>
      <c r="D791" t="s">
        <v>747</v>
      </c>
      <c r="E791">
        <v>85</v>
      </c>
      <c r="F791" t="s">
        <v>737</v>
      </c>
      <c r="G791" t="b">
        <f>LEFT(Logs_Reseau_Part[[#This Row],[Cell_ID]],1)="A"</f>
        <v>1</v>
      </c>
    </row>
    <row r="792" spans="1:7" x14ac:dyDescent="0.3">
      <c r="A792" t="s">
        <v>825</v>
      </c>
      <c r="B792" s="1">
        <v>45208.072916666657</v>
      </c>
      <c r="C792" s="2">
        <v>45208.072916666657</v>
      </c>
      <c r="D792" t="s">
        <v>834</v>
      </c>
      <c r="E792">
        <v>68</v>
      </c>
      <c r="F792" t="s">
        <v>734</v>
      </c>
      <c r="G792" t="b">
        <f>LEFT(Logs_Reseau_Part[[#This Row],[Cell_ID]],1)="A"</f>
        <v>1</v>
      </c>
    </row>
    <row r="793" spans="1:7" x14ac:dyDescent="0.3">
      <c r="A793" t="s">
        <v>980</v>
      </c>
      <c r="B793" s="1">
        <v>45208.047222222223</v>
      </c>
      <c r="C793" s="2">
        <v>45208.047222222223</v>
      </c>
      <c r="D793" t="s">
        <v>783</v>
      </c>
      <c r="E793">
        <v>92</v>
      </c>
      <c r="F793" t="s">
        <v>739</v>
      </c>
      <c r="G793" t="b">
        <f>LEFT(Logs_Reseau_Part[[#This Row],[Cell_ID]],1)="A"</f>
        <v>1</v>
      </c>
    </row>
    <row r="794" spans="1:7" x14ac:dyDescent="0.3">
      <c r="A794" t="s">
        <v>1061</v>
      </c>
      <c r="B794" s="1">
        <v>45207.987500000003</v>
      </c>
      <c r="C794" s="2">
        <v>45207.987500000003</v>
      </c>
      <c r="D794" t="s">
        <v>1074</v>
      </c>
      <c r="E794">
        <v>15</v>
      </c>
      <c r="F794" t="s">
        <v>737</v>
      </c>
      <c r="G794" t="b">
        <f>LEFT(Logs_Reseau_Part[[#This Row],[Cell_ID]],1)="A"</f>
        <v>1</v>
      </c>
    </row>
    <row r="795" spans="1:7" x14ac:dyDescent="0.3">
      <c r="A795" t="s">
        <v>732</v>
      </c>
      <c r="B795" s="1">
        <v>45207.982638888891</v>
      </c>
      <c r="C795" s="2">
        <v>45207.982638888891</v>
      </c>
      <c r="D795" t="s">
        <v>780</v>
      </c>
      <c r="E795">
        <v>25</v>
      </c>
      <c r="F795" t="s">
        <v>739</v>
      </c>
      <c r="G795" t="b">
        <f>LEFT(Logs_Reseau_Part[[#This Row],[Cell_ID]],1)="A"</f>
        <v>1</v>
      </c>
    </row>
    <row r="796" spans="1:7" x14ac:dyDescent="0.3">
      <c r="A796" t="s">
        <v>1116</v>
      </c>
      <c r="B796" s="1">
        <v>45207.960416666669</v>
      </c>
      <c r="C796" s="2">
        <v>45207.960416666669</v>
      </c>
      <c r="D796" t="s">
        <v>902</v>
      </c>
      <c r="E796">
        <v>23</v>
      </c>
      <c r="F796" t="s">
        <v>739</v>
      </c>
      <c r="G796" t="b">
        <f>LEFT(Logs_Reseau_Part[[#This Row],[Cell_ID]],1)="A"</f>
        <v>1</v>
      </c>
    </row>
    <row r="797" spans="1:7" x14ac:dyDescent="0.3">
      <c r="A797" t="s">
        <v>1347</v>
      </c>
      <c r="B797" s="1">
        <v>45207.955555555563</v>
      </c>
      <c r="C797" s="2">
        <v>45207.955555555563</v>
      </c>
      <c r="D797" t="s">
        <v>985</v>
      </c>
      <c r="E797">
        <v>73</v>
      </c>
      <c r="F797" t="s">
        <v>737</v>
      </c>
      <c r="G797" t="b">
        <f>LEFT(Logs_Reseau_Part[[#This Row],[Cell_ID]],1)="A"</f>
        <v>1</v>
      </c>
    </row>
    <row r="798" spans="1:7" x14ac:dyDescent="0.3">
      <c r="A798" t="s">
        <v>1310</v>
      </c>
      <c r="B798" s="1">
        <v>45207.919444444437</v>
      </c>
      <c r="C798" s="2">
        <v>45207.919444444437</v>
      </c>
      <c r="D798" t="s">
        <v>1318</v>
      </c>
      <c r="E798">
        <v>42</v>
      </c>
      <c r="F798" t="s">
        <v>734</v>
      </c>
      <c r="G798" t="b">
        <f>LEFT(Logs_Reseau_Part[[#This Row],[Cell_ID]],1)="A"</f>
        <v>1</v>
      </c>
    </row>
    <row r="799" spans="1:7" x14ac:dyDescent="0.3">
      <c r="A799" t="s">
        <v>1140</v>
      </c>
      <c r="B799" s="1">
        <v>45207.908333333333</v>
      </c>
      <c r="C799" s="2">
        <v>45207.908333333333</v>
      </c>
      <c r="D799" t="s">
        <v>1154</v>
      </c>
      <c r="E799">
        <v>103</v>
      </c>
      <c r="F799" t="s">
        <v>734</v>
      </c>
      <c r="G799" t="b">
        <f>LEFT(Logs_Reseau_Part[[#This Row],[Cell_ID]],1)="A"</f>
        <v>1</v>
      </c>
    </row>
    <row r="800" spans="1:7" x14ac:dyDescent="0.3">
      <c r="A800" t="s">
        <v>1290</v>
      </c>
      <c r="B800" s="1">
        <v>45207.845833333333</v>
      </c>
      <c r="C800" s="2">
        <v>45207.845833333333</v>
      </c>
      <c r="D800" t="s">
        <v>951</v>
      </c>
      <c r="E800">
        <v>12</v>
      </c>
      <c r="F800" t="s">
        <v>739</v>
      </c>
      <c r="G800" t="b">
        <f>LEFT(Logs_Reseau_Part[[#This Row],[Cell_ID]],1)="A"</f>
        <v>1</v>
      </c>
    </row>
    <row r="801" spans="1:7" x14ac:dyDescent="0.3">
      <c r="A801" t="s">
        <v>1195</v>
      </c>
      <c r="B801" s="1">
        <v>45207.772916666669</v>
      </c>
      <c r="C801" s="2">
        <v>45207.772916666669</v>
      </c>
      <c r="D801" t="s">
        <v>1185</v>
      </c>
      <c r="E801">
        <v>55</v>
      </c>
      <c r="F801" t="s">
        <v>737</v>
      </c>
      <c r="G801" t="b">
        <f>LEFT(Logs_Reseau_Part[[#This Row],[Cell_ID]],1)="A"</f>
        <v>1</v>
      </c>
    </row>
    <row r="802" spans="1:7" x14ac:dyDescent="0.3">
      <c r="A802" t="s">
        <v>980</v>
      </c>
      <c r="B802" s="1">
        <v>45207.713888888888</v>
      </c>
      <c r="C802" s="2">
        <v>45207.713888888888</v>
      </c>
      <c r="D802" t="s">
        <v>981</v>
      </c>
      <c r="E802">
        <v>99</v>
      </c>
      <c r="F802" t="s">
        <v>737</v>
      </c>
      <c r="G802" t="b">
        <f>LEFT(Logs_Reseau_Part[[#This Row],[Cell_ID]],1)="A"</f>
        <v>1</v>
      </c>
    </row>
    <row r="803" spans="1:7" x14ac:dyDescent="0.3">
      <c r="A803" t="s">
        <v>1384</v>
      </c>
      <c r="B803" s="1">
        <v>45207.701388888891</v>
      </c>
      <c r="C803" s="2">
        <v>45207.701388888891</v>
      </c>
      <c r="D803" t="s">
        <v>1405</v>
      </c>
      <c r="E803">
        <v>27</v>
      </c>
      <c r="F803" t="s">
        <v>739</v>
      </c>
      <c r="G803" t="b">
        <f>LEFT(Logs_Reseau_Part[[#This Row],[Cell_ID]],1)="A"</f>
        <v>1</v>
      </c>
    </row>
    <row r="804" spans="1:7" x14ac:dyDescent="0.3">
      <c r="A804" t="s">
        <v>1263</v>
      </c>
      <c r="B804" s="1">
        <v>45207.668055555558</v>
      </c>
      <c r="C804" s="2">
        <v>45207.668055555558</v>
      </c>
      <c r="D804" t="s">
        <v>1287</v>
      </c>
      <c r="E804">
        <v>113</v>
      </c>
      <c r="F804" t="s">
        <v>734</v>
      </c>
      <c r="G804" t="b">
        <f>LEFT(Logs_Reseau_Part[[#This Row],[Cell_ID]],1)="A"</f>
        <v>1</v>
      </c>
    </row>
    <row r="805" spans="1:7" x14ac:dyDescent="0.3">
      <c r="A805" t="s">
        <v>941</v>
      </c>
      <c r="B805" s="1">
        <v>45207.611111111109</v>
      </c>
      <c r="C805" s="2">
        <v>45207.611111111109</v>
      </c>
      <c r="D805" t="s">
        <v>838</v>
      </c>
      <c r="E805">
        <v>107</v>
      </c>
      <c r="F805" t="s">
        <v>737</v>
      </c>
      <c r="G805" t="b">
        <f>LEFT(Logs_Reseau_Part[[#This Row],[Cell_ID]],1)="A"</f>
        <v>1</v>
      </c>
    </row>
    <row r="806" spans="1:7" x14ac:dyDescent="0.3">
      <c r="A806" t="s">
        <v>1221</v>
      </c>
      <c r="B806" s="1">
        <v>45207.599305555559</v>
      </c>
      <c r="C806" s="2">
        <v>45207.599305555559</v>
      </c>
      <c r="D806" t="s">
        <v>858</v>
      </c>
      <c r="E806">
        <v>59</v>
      </c>
      <c r="F806" t="s">
        <v>734</v>
      </c>
      <c r="G806" t="b">
        <f>LEFT(Logs_Reseau_Part[[#This Row],[Cell_ID]],1)="A"</f>
        <v>1</v>
      </c>
    </row>
    <row r="807" spans="1:7" x14ac:dyDescent="0.3">
      <c r="A807" t="s">
        <v>1001</v>
      </c>
      <c r="B807" s="1">
        <v>45207.57916666667</v>
      </c>
      <c r="C807" s="2">
        <v>45207.57916666667</v>
      </c>
      <c r="D807" t="s">
        <v>1007</v>
      </c>
      <c r="E807">
        <v>68</v>
      </c>
      <c r="F807" t="s">
        <v>734</v>
      </c>
      <c r="G807" t="b">
        <f>LEFT(Logs_Reseau_Part[[#This Row],[Cell_ID]],1)="A"</f>
        <v>1</v>
      </c>
    </row>
    <row r="808" spans="1:7" x14ac:dyDescent="0.3">
      <c r="A808" t="s">
        <v>941</v>
      </c>
      <c r="B808" s="1">
        <v>45207.543055555558</v>
      </c>
      <c r="C808" s="2">
        <v>45207.543055555558</v>
      </c>
      <c r="D808" t="s">
        <v>944</v>
      </c>
      <c r="E808">
        <v>54</v>
      </c>
      <c r="F808" t="s">
        <v>734</v>
      </c>
      <c r="G808" t="b">
        <f>LEFT(Logs_Reseau_Part[[#This Row],[Cell_ID]],1)="A"</f>
        <v>1</v>
      </c>
    </row>
    <row r="809" spans="1:7" x14ac:dyDescent="0.3">
      <c r="A809" t="s">
        <v>1001</v>
      </c>
      <c r="B809" s="1">
        <v>45207.526388888888</v>
      </c>
      <c r="C809" s="2">
        <v>45207.526388888888</v>
      </c>
      <c r="D809" t="s">
        <v>1025</v>
      </c>
      <c r="E809">
        <v>78</v>
      </c>
      <c r="F809" t="s">
        <v>739</v>
      </c>
      <c r="G809" t="b">
        <f>LEFT(Logs_Reseau_Part[[#This Row],[Cell_ID]],1)="A"</f>
        <v>1</v>
      </c>
    </row>
    <row r="810" spans="1:7" x14ac:dyDescent="0.3">
      <c r="A810" t="s">
        <v>1167</v>
      </c>
      <c r="B810" s="1">
        <v>45207.525000000001</v>
      </c>
      <c r="C810" s="2">
        <v>45207.525000000001</v>
      </c>
      <c r="D810" t="s">
        <v>1191</v>
      </c>
      <c r="E810">
        <v>83</v>
      </c>
      <c r="F810" t="s">
        <v>734</v>
      </c>
      <c r="G810" t="b">
        <f>LEFT(Logs_Reseau_Part[[#This Row],[Cell_ID]],1)="A"</f>
        <v>1</v>
      </c>
    </row>
    <row r="811" spans="1:7" x14ac:dyDescent="0.3">
      <c r="A811" t="s">
        <v>1310</v>
      </c>
      <c r="B811" s="1">
        <v>45207.472222222219</v>
      </c>
      <c r="C811" s="2">
        <v>45207.472222222219</v>
      </c>
      <c r="D811" t="s">
        <v>1316</v>
      </c>
      <c r="E811">
        <v>30</v>
      </c>
      <c r="F811" t="s">
        <v>739</v>
      </c>
      <c r="G811" t="b">
        <f>LEFT(Logs_Reseau_Part[[#This Row],[Cell_ID]],1)="A"</f>
        <v>1</v>
      </c>
    </row>
    <row r="812" spans="1:7" x14ac:dyDescent="0.3">
      <c r="A812" t="s">
        <v>904</v>
      </c>
      <c r="B812" s="1">
        <v>45207.40625</v>
      </c>
      <c r="C812" s="2">
        <v>45207.40625</v>
      </c>
      <c r="D812" t="s">
        <v>802</v>
      </c>
      <c r="E812">
        <v>49</v>
      </c>
      <c r="F812" t="s">
        <v>737</v>
      </c>
      <c r="G812" t="b">
        <f>LEFT(Logs_Reseau_Part[[#This Row],[Cell_ID]],1)="A"</f>
        <v>1</v>
      </c>
    </row>
    <row r="813" spans="1:7" x14ac:dyDescent="0.3">
      <c r="A813" t="s">
        <v>1061</v>
      </c>
      <c r="B813" s="1">
        <v>45207.379861111112</v>
      </c>
      <c r="C813" s="2">
        <v>45207.379861111112</v>
      </c>
      <c r="D813" t="s">
        <v>983</v>
      </c>
      <c r="E813">
        <v>118</v>
      </c>
      <c r="F813" t="s">
        <v>739</v>
      </c>
      <c r="G813" t="b">
        <f>LEFT(Logs_Reseau_Part[[#This Row],[Cell_ID]],1)="A"</f>
        <v>1</v>
      </c>
    </row>
    <row r="814" spans="1:7" x14ac:dyDescent="0.3">
      <c r="A814" t="s">
        <v>904</v>
      </c>
      <c r="B814" s="1">
        <v>45207.368055555547</v>
      </c>
      <c r="C814" s="2">
        <v>45207.368055555547</v>
      </c>
      <c r="D814" t="s">
        <v>927</v>
      </c>
      <c r="E814">
        <v>46</v>
      </c>
      <c r="F814" t="s">
        <v>734</v>
      </c>
      <c r="G814" t="b">
        <f>LEFT(Logs_Reseau_Part[[#This Row],[Cell_ID]],1)="A"</f>
        <v>1</v>
      </c>
    </row>
    <row r="815" spans="1:7" x14ac:dyDescent="0.3">
      <c r="A815" t="s">
        <v>1384</v>
      </c>
      <c r="B815" s="1">
        <v>45207.350694444453</v>
      </c>
      <c r="C815" s="2">
        <v>45207.350694444453</v>
      </c>
      <c r="D815" t="s">
        <v>1391</v>
      </c>
      <c r="E815">
        <v>75</v>
      </c>
      <c r="F815" t="s">
        <v>739</v>
      </c>
      <c r="G815" t="b">
        <f>LEFT(Logs_Reseau_Part[[#This Row],[Cell_ID]],1)="A"</f>
        <v>1</v>
      </c>
    </row>
    <row r="816" spans="1:7" x14ac:dyDescent="0.3">
      <c r="A816" t="s">
        <v>1167</v>
      </c>
      <c r="B816" s="1">
        <v>45207.342361111107</v>
      </c>
      <c r="C816" s="2">
        <v>45207.342361111107</v>
      </c>
      <c r="D816" t="s">
        <v>1174</v>
      </c>
      <c r="E816">
        <v>28</v>
      </c>
      <c r="F816" t="s">
        <v>734</v>
      </c>
      <c r="G816" t="b">
        <f>LEFT(Logs_Reseau_Part[[#This Row],[Cell_ID]],1)="A"</f>
        <v>1</v>
      </c>
    </row>
    <row r="817" spans="1:7" x14ac:dyDescent="0.3">
      <c r="A817" t="s">
        <v>1167</v>
      </c>
      <c r="B817" s="1">
        <v>45207.304861111108</v>
      </c>
      <c r="C817" s="2">
        <v>45207.304861111108</v>
      </c>
      <c r="D817" t="s">
        <v>738</v>
      </c>
      <c r="E817">
        <v>50</v>
      </c>
      <c r="F817" t="s">
        <v>737</v>
      </c>
      <c r="G817" t="b">
        <f>LEFT(Logs_Reseau_Part[[#This Row],[Cell_ID]],1)="A"</f>
        <v>1</v>
      </c>
    </row>
    <row r="818" spans="1:7" x14ac:dyDescent="0.3">
      <c r="A818" t="s">
        <v>1406</v>
      </c>
      <c r="B818" s="1">
        <v>45207.199305555558</v>
      </c>
      <c r="C818" s="2">
        <v>45207.199305555558</v>
      </c>
      <c r="D818" t="s">
        <v>1343</v>
      </c>
      <c r="E818">
        <v>28</v>
      </c>
      <c r="F818" t="s">
        <v>737</v>
      </c>
      <c r="G818" t="b">
        <f>LEFT(Logs_Reseau_Part[[#This Row],[Cell_ID]],1)="A"</f>
        <v>1</v>
      </c>
    </row>
    <row r="819" spans="1:7" x14ac:dyDescent="0.3">
      <c r="A819" t="s">
        <v>1026</v>
      </c>
      <c r="B819" s="1">
        <v>45207.17291666667</v>
      </c>
      <c r="C819" s="2">
        <v>45207.17291666667</v>
      </c>
      <c r="D819" t="s">
        <v>1058</v>
      </c>
      <c r="E819">
        <v>73</v>
      </c>
      <c r="F819" t="s">
        <v>739</v>
      </c>
      <c r="G819" t="b">
        <f>LEFT(Logs_Reseau_Part[[#This Row],[Cell_ID]],1)="A"</f>
        <v>1</v>
      </c>
    </row>
    <row r="820" spans="1:7" x14ac:dyDescent="0.3">
      <c r="A820" t="s">
        <v>904</v>
      </c>
      <c r="B820" s="1">
        <v>45207.149305555547</v>
      </c>
      <c r="C820" s="2">
        <v>45207.149305555547</v>
      </c>
      <c r="D820" t="s">
        <v>912</v>
      </c>
      <c r="E820">
        <v>101</v>
      </c>
      <c r="F820" t="s">
        <v>739</v>
      </c>
      <c r="G820" t="b">
        <f>LEFT(Logs_Reseau_Part[[#This Row],[Cell_ID]],1)="A"</f>
        <v>1</v>
      </c>
    </row>
    <row r="821" spans="1:7" x14ac:dyDescent="0.3">
      <c r="A821" t="s">
        <v>1001</v>
      </c>
      <c r="B821" s="1">
        <v>45207.140277777777</v>
      </c>
      <c r="C821" s="2">
        <v>45207.140277777777</v>
      </c>
      <c r="D821" t="s">
        <v>1005</v>
      </c>
      <c r="E821">
        <v>46</v>
      </c>
      <c r="F821" t="s">
        <v>737</v>
      </c>
      <c r="G821" t="b">
        <f>LEFT(Logs_Reseau_Part[[#This Row],[Cell_ID]],1)="A"</f>
        <v>1</v>
      </c>
    </row>
    <row r="822" spans="1:7" x14ac:dyDescent="0.3">
      <c r="A822" t="s">
        <v>1088</v>
      </c>
      <c r="B822" s="1">
        <v>45207.133333333331</v>
      </c>
      <c r="C822" s="2">
        <v>45207.133333333331</v>
      </c>
      <c r="D822" t="s">
        <v>1092</v>
      </c>
      <c r="E822">
        <v>66</v>
      </c>
      <c r="F822" t="s">
        <v>737</v>
      </c>
      <c r="G822" t="b">
        <f>LEFT(Logs_Reseau_Part[[#This Row],[Cell_ID]],1)="A"</f>
        <v>1</v>
      </c>
    </row>
    <row r="823" spans="1:7" x14ac:dyDescent="0.3">
      <c r="A823" t="s">
        <v>1310</v>
      </c>
      <c r="B823" s="1">
        <v>45207.127083333333</v>
      </c>
      <c r="C823" s="2">
        <v>45207.127083333333</v>
      </c>
      <c r="D823" t="s">
        <v>871</v>
      </c>
      <c r="E823">
        <v>38</v>
      </c>
      <c r="F823" t="s">
        <v>734</v>
      </c>
      <c r="G823" t="b">
        <f>LEFT(Logs_Reseau_Part[[#This Row],[Cell_ID]],1)="A"</f>
        <v>1</v>
      </c>
    </row>
    <row r="824" spans="1:7" x14ac:dyDescent="0.3">
      <c r="A824" t="s">
        <v>1263</v>
      </c>
      <c r="B824" s="1">
        <v>45207.124305555553</v>
      </c>
      <c r="C824" s="2">
        <v>45207.124305555553</v>
      </c>
      <c r="D824" t="s">
        <v>1264</v>
      </c>
      <c r="E824">
        <v>77</v>
      </c>
      <c r="F824" t="s">
        <v>739</v>
      </c>
      <c r="G824" t="b">
        <f>LEFT(Logs_Reseau_Part[[#This Row],[Cell_ID]],1)="A"</f>
        <v>1</v>
      </c>
    </row>
    <row r="825" spans="1:7" x14ac:dyDescent="0.3">
      <c r="A825" t="s">
        <v>781</v>
      </c>
      <c r="B825" s="1">
        <v>45207.102777777778</v>
      </c>
      <c r="C825" s="2">
        <v>45207.102777777778</v>
      </c>
      <c r="D825" t="s">
        <v>793</v>
      </c>
      <c r="E825">
        <v>41</v>
      </c>
      <c r="F825" t="s">
        <v>734</v>
      </c>
      <c r="G825" t="b">
        <f>LEFT(Logs_Reseau_Part[[#This Row],[Cell_ID]],1)="A"</f>
        <v>1</v>
      </c>
    </row>
    <row r="826" spans="1:7" x14ac:dyDescent="0.3">
      <c r="A826" t="s">
        <v>1332</v>
      </c>
      <c r="B826" s="1">
        <v>45207.074305555558</v>
      </c>
      <c r="C826" s="2">
        <v>45207.074305555558</v>
      </c>
      <c r="D826" t="s">
        <v>1287</v>
      </c>
      <c r="E826">
        <v>57</v>
      </c>
      <c r="F826" t="s">
        <v>734</v>
      </c>
      <c r="G826" t="b">
        <f>LEFT(Logs_Reseau_Part[[#This Row],[Cell_ID]],1)="A"</f>
        <v>1</v>
      </c>
    </row>
    <row r="827" spans="1:7" x14ac:dyDescent="0.3">
      <c r="A827" t="s">
        <v>1140</v>
      </c>
      <c r="B827" s="1">
        <v>45207.070833333331</v>
      </c>
      <c r="C827" s="2">
        <v>45207.070833333331</v>
      </c>
      <c r="D827" t="s">
        <v>1147</v>
      </c>
      <c r="E827">
        <v>94</v>
      </c>
      <c r="F827" t="s">
        <v>737</v>
      </c>
      <c r="G827" t="b">
        <f>LEFT(Logs_Reseau_Part[[#This Row],[Cell_ID]],1)="A"</f>
        <v>1</v>
      </c>
    </row>
    <row r="828" spans="1:7" x14ac:dyDescent="0.3">
      <c r="A828" t="s">
        <v>1140</v>
      </c>
      <c r="B828" s="1">
        <v>45207.011111111111</v>
      </c>
      <c r="C828" s="2">
        <v>45207.011111111111</v>
      </c>
      <c r="D828" t="s">
        <v>1144</v>
      </c>
      <c r="E828">
        <v>32</v>
      </c>
      <c r="F828" t="s">
        <v>734</v>
      </c>
      <c r="G828" t="b">
        <f>LEFT(Logs_Reseau_Part[[#This Row],[Cell_ID]],1)="A"</f>
        <v>1</v>
      </c>
    </row>
    <row r="829" spans="1:7" x14ac:dyDescent="0.3">
      <c r="A829" t="s">
        <v>1347</v>
      </c>
      <c r="B829" s="1">
        <v>45206.974305555559</v>
      </c>
      <c r="C829" s="2">
        <v>45206.974305555559</v>
      </c>
      <c r="D829" t="s">
        <v>1360</v>
      </c>
      <c r="E829">
        <v>53</v>
      </c>
      <c r="F829" t="s">
        <v>737</v>
      </c>
      <c r="G829" t="b">
        <f>LEFT(Logs_Reseau_Part[[#This Row],[Cell_ID]],1)="A"</f>
        <v>1</v>
      </c>
    </row>
    <row r="830" spans="1:7" x14ac:dyDescent="0.3">
      <c r="A830" t="s">
        <v>1243</v>
      </c>
      <c r="B830" s="1">
        <v>45206.956944444442</v>
      </c>
      <c r="C830" s="2">
        <v>45206.956944444442</v>
      </c>
      <c r="D830" t="s">
        <v>919</v>
      </c>
      <c r="E830">
        <v>32</v>
      </c>
      <c r="F830" t="s">
        <v>737</v>
      </c>
      <c r="G830" t="b">
        <f>LEFT(Logs_Reseau_Part[[#This Row],[Cell_ID]],1)="A"</f>
        <v>1</v>
      </c>
    </row>
    <row r="831" spans="1:7" x14ac:dyDescent="0.3">
      <c r="A831" t="s">
        <v>732</v>
      </c>
      <c r="B831" s="1">
        <v>45206.919444444437</v>
      </c>
      <c r="C831" s="2">
        <v>45206.919444444437</v>
      </c>
      <c r="D831" t="s">
        <v>759</v>
      </c>
      <c r="E831">
        <v>13</v>
      </c>
      <c r="F831" t="s">
        <v>737</v>
      </c>
      <c r="G831" t="b">
        <f>LEFT(Logs_Reseau_Part[[#This Row],[Cell_ID]],1)="A"</f>
        <v>1</v>
      </c>
    </row>
    <row r="832" spans="1:7" x14ac:dyDescent="0.3">
      <c r="A832" t="s">
        <v>1406</v>
      </c>
      <c r="B832" s="1">
        <v>45206.902777777781</v>
      </c>
      <c r="C832" s="2">
        <v>45206.902777777781</v>
      </c>
      <c r="D832" t="s">
        <v>1407</v>
      </c>
      <c r="E832">
        <v>75</v>
      </c>
      <c r="F832" t="s">
        <v>739</v>
      </c>
      <c r="G832" t="b">
        <f>LEFT(Logs_Reseau_Part[[#This Row],[Cell_ID]],1)="A"</f>
        <v>1</v>
      </c>
    </row>
    <row r="833" spans="1:7" x14ac:dyDescent="0.3">
      <c r="A833" t="s">
        <v>1088</v>
      </c>
      <c r="B833" s="1">
        <v>45206.857638888891</v>
      </c>
      <c r="C833" s="2">
        <v>45206.857638888891</v>
      </c>
      <c r="D833" t="s">
        <v>925</v>
      </c>
      <c r="E833">
        <v>45</v>
      </c>
      <c r="F833" t="s">
        <v>739</v>
      </c>
      <c r="G833" t="b">
        <f>LEFT(Logs_Reseau_Part[[#This Row],[Cell_ID]],1)="A"</f>
        <v>1</v>
      </c>
    </row>
    <row r="834" spans="1:7" x14ac:dyDescent="0.3">
      <c r="A834" t="s">
        <v>1088</v>
      </c>
      <c r="B834" s="1">
        <v>45206.768055555563</v>
      </c>
      <c r="C834" s="2">
        <v>45206.768055555563</v>
      </c>
      <c r="D834" t="s">
        <v>1114</v>
      </c>
      <c r="E834">
        <v>35</v>
      </c>
      <c r="F834" t="s">
        <v>739</v>
      </c>
      <c r="G834" t="b">
        <f>LEFT(Logs_Reseau_Part[[#This Row],[Cell_ID]],1)="A"</f>
        <v>1</v>
      </c>
    </row>
    <row r="835" spans="1:7" x14ac:dyDescent="0.3">
      <c r="A835" t="s">
        <v>825</v>
      </c>
      <c r="B835" s="1">
        <v>45206.6875</v>
      </c>
      <c r="C835" s="2">
        <v>45206.6875</v>
      </c>
      <c r="D835" t="s">
        <v>853</v>
      </c>
      <c r="E835">
        <v>76</v>
      </c>
      <c r="F835" t="s">
        <v>739</v>
      </c>
      <c r="G835" t="b">
        <f>LEFT(Logs_Reseau_Part[[#This Row],[Cell_ID]],1)="A"</f>
        <v>1</v>
      </c>
    </row>
    <row r="836" spans="1:7" x14ac:dyDescent="0.3">
      <c r="A836" t="s">
        <v>1243</v>
      </c>
      <c r="B836" s="1">
        <v>45206.636805555558</v>
      </c>
      <c r="C836" s="2">
        <v>45206.636805555558</v>
      </c>
      <c r="D836" t="s">
        <v>1248</v>
      </c>
      <c r="E836">
        <v>32</v>
      </c>
      <c r="F836" t="s">
        <v>739</v>
      </c>
      <c r="G836" t="b">
        <f>LEFT(Logs_Reseau_Part[[#This Row],[Cell_ID]],1)="A"</f>
        <v>1</v>
      </c>
    </row>
    <row r="837" spans="1:7" x14ac:dyDescent="0.3">
      <c r="A837" t="s">
        <v>1310</v>
      </c>
      <c r="B837" s="1">
        <v>45206.572222222218</v>
      </c>
      <c r="C837" s="2">
        <v>45206.572222222218</v>
      </c>
      <c r="D837" t="s">
        <v>1084</v>
      </c>
      <c r="E837">
        <v>10</v>
      </c>
      <c r="F837" t="s">
        <v>734</v>
      </c>
      <c r="G837" t="b">
        <f>LEFT(Logs_Reseau_Part[[#This Row],[Cell_ID]],1)="A"</f>
        <v>1</v>
      </c>
    </row>
    <row r="838" spans="1:7" x14ac:dyDescent="0.3">
      <c r="A838" t="s">
        <v>1116</v>
      </c>
      <c r="B838" s="1">
        <v>45206.563888888893</v>
      </c>
      <c r="C838" s="2">
        <v>45206.563888888893</v>
      </c>
      <c r="D838" t="s">
        <v>1130</v>
      </c>
      <c r="E838">
        <v>37</v>
      </c>
      <c r="F838" t="s">
        <v>734</v>
      </c>
      <c r="G838" t="b">
        <f>LEFT(Logs_Reseau_Part[[#This Row],[Cell_ID]],1)="A"</f>
        <v>1</v>
      </c>
    </row>
    <row r="839" spans="1:7" x14ac:dyDescent="0.3">
      <c r="A839" t="s">
        <v>781</v>
      </c>
      <c r="B839" s="1">
        <v>45206.539583333331</v>
      </c>
      <c r="C839" s="2">
        <v>45206.539583333331</v>
      </c>
      <c r="D839" t="s">
        <v>798</v>
      </c>
      <c r="E839">
        <v>43</v>
      </c>
      <c r="F839" t="s">
        <v>734</v>
      </c>
      <c r="G839" t="b">
        <f>LEFT(Logs_Reseau_Part[[#This Row],[Cell_ID]],1)="A"</f>
        <v>1</v>
      </c>
    </row>
    <row r="840" spans="1:7" x14ac:dyDescent="0.3">
      <c r="A840" t="s">
        <v>1290</v>
      </c>
      <c r="B840" s="1">
        <v>45206.515972222223</v>
      </c>
      <c r="C840" s="2">
        <v>45206.515972222223</v>
      </c>
      <c r="D840" t="s">
        <v>1295</v>
      </c>
      <c r="E840">
        <v>108</v>
      </c>
      <c r="F840" t="s">
        <v>734</v>
      </c>
      <c r="G840" t="b">
        <f>LEFT(Logs_Reseau_Part[[#This Row],[Cell_ID]],1)="A"</f>
        <v>1</v>
      </c>
    </row>
    <row r="841" spans="1:7" x14ac:dyDescent="0.3">
      <c r="A841" t="s">
        <v>1167</v>
      </c>
      <c r="B841" s="1">
        <v>45206.472222222219</v>
      </c>
      <c r="C841" s="2">
        <v>45206.472222222219</v>
      </c>
      <c r="D841" t="s">
        <v>1187</v>
      </c>
      <c r="E841">
        <v>69</v>
      </c>
      <c r="F841" t="s">
        <v>739</v>
      </c>
      <c r="G841" t="b">
        <f>LEFT(Logs_Reseau_Part[[#This Row],[Cell_ID]],1)="A"</f>
        <v>1</v>
      </c>
    </row>
    <row r="842" spans="1:7" x14ac:dyDescent="0.3">
      <c r="A842" t="s">
        <v>1026</v>
      </c>
      <c r="B842" s="1">
        <v>45206.443055555559</v>
      </c>
      <c r="C842" s="2">
        <v>45206.443055555559</v>
      </c>
      <c r="D842" t="s">
        <v>1034</v>
      </c>
      <c r="E842">
        <v>48</v>
      </c>
      <c r="F842" t="s">
        <v>739</v>
      </c>
      <c r="G842" t="b">
        <f>LEFT(Logs_Reseau_Part[[#This Row],[Cell_ID]],1)="A"</f>
        <v>1</v>
      </c>
    </row>
    <row r="843" spans="1:7" x14ac:dyDescent="0.3">
      <c r="A843" t="s">
        <v>1347</v>
      </c>
      <c r="B843" s="1">
        <v>45206.43472222222</v>
      </c>
      <c r="C843" s="2">
        <v>45206.43472222222</v>
      </c>
      <c r="D843" t="s">
        <v>757</v>
      </c>
      <c r="E843">
        <v>98</v>
      </c>
      <c r="F843" t="s">
        <v>734</v>
      </c>
      <c r="G843" t="b">
        <f>LEFT(Logs_Reseau_Part[[#This Row],[Cell_ID]],1)="A"</f>
        <v>1</v>
      </c>
    </row>
    <row r="844" spans="1:7" x14ac:dyDescent="0.3">
      <c r="A844" t="s">
        <v>781</v>
      </c>
      <c r="B844" s="1">
        <v>45206.384027777778</v>
      </c>
      <c r="C844" s="2">
        <v>45206.384027777778</v>
      </c>
      <c r="D844" t="s">
        <v>804</v>
      </c>
      <c r="E844">
        <v>109</v>
      </c>
      <c r="F844" t="s">
        <v>739</v>
      </c>
      <c r="G844" t="b">
        <f>LEFT(Logs_Reseau_Part[[#This Row],[Cell_ID]],1)="A"</f>
        <v>1</v>
      </c>
    </row>
    <row r="845" spans="1:7" x14ac:dyDescent="0.3">
      <c r="A845" t="s">
        <v>1221</v>
      </c>
      <c r="B845" s="1">
        <v>45206.366666666669</v>
      </c>
      <c r="C845" s="2">
        <v>45206.366666666669</v>
      </c>
      <c r="D845" t="s">
        <v>953</v>
      </c>
      <c r="E845">
        <v>69</v>
      </c>
      <c r="F845" t="s">
        <v>737</v>
      </c>
      <c r="G845" t="b">
        <f>LEFT(Logs_Reseau_Part[[#This Row],[Cell_ID]],1)="A"</f>
        <v>1</v>
      </c>
    </row>
    <row r="846" spans="1:7" x14ac:dyDescent="0.3">
      <c r="A846" t="s">
        <v>1384</v>
      </c>
      <c r="B846" s="1">
        <v>45206.366666666669</v>
      </c>
      <c r="C846" s="2">
        <v>45206.366666666669</v>
      </c>
      <c r="D846" t="s">
        <v>1398</v>
      </c>
      <c r="E846">
        <v>30</v>
      </c>
      <c r="F846" t="s">
        <v>739</v>
      </c>
      <c r="G846" t="b">
        <f>LEFT(Logs_Reseau_Part[[#This Row],[Cell_ID]],1)="A"</f>
        <v>1</v>
      </c>
    </row>
    <row r="847" spans="1:7" x14ac:dyDescent="0.3">
      <c r="A847" t="s">
        <v>904</v>
      </c>
      <c r="B847" s="1">
        <v>45206.362500000003</v>
      </c>
      <c r="C847" s="2">
        <v>45206.362500000003</v>
      </c>
      <c r="D847" t="s">
        <v>921</v>
      </c>
      <c r="E847">
        <v>60</v>
      </c>
      <c r="F847" t="s">
        <v>739</v>
      </c>
      <c r="G847" t="b">
        <f>LEFT(Logs_Reseau_Part[[#This Row],[Cell_ID]],1)="A"</f>
        <v>1</v>
      </c>
    </row>
    <row r="848" spans="1:7" x14ac:dyDescent="0.3">
      <c r="A848" t="s">
        <v>1332</v>
      </c>
      <c r="B848" s="1">
        <v>45206.286805555559</v>
      </c>
      <c r="C848" s="2">
        <v>45206.286805555559</v>
      </c>
      <c r="D848" t="s">
        <v>794</v>
      </c>
      <c r="E848">
        <v>96</v>
      </c>
      <c r="F848" t="s">
        <v>737</v>
      </c>
      <c r="G848" t="b">
        <f>LEFT(Logs_Reseau_Part[[#This Row],[Cell_ID]],1)="A"</f>
        <v>1</v>
      </c>
    </row>
    <row r="849" spans="1:7" x14ac:dyDescent="0.3">
      <c r="A849" t="s">
        <v>781</v>
      </c>
      <c r="B849" s="1">
        <v>45206.273611111108</v>
      </c>
      <c r="C849" s="2">
        <v>45206.273611111108</v>
      </c>
      <c r="D849" t="s">
        <v>791</v>
      </c>
      <c r="E849">
        <v>117</v>
      </c>
      <c r="F849" t="s">
        <v>739</v>
      </c>
      <c r="G849" t="b">
        <f>LEFT(Logs_Reseau_Part[[#This Row],[Cell_ID]],1)="A"</f>
        <v>1</v>
      </c>
    </row>
    <row r="850" spans="1:7" x14ac:dyDescent="0.3">
      <c r="A850" t="s">
        <v>1384</v>
      </c>
      <c r="B850" s="1">
        <v>45206.259027777778</v>
      </c>
      <c r="C850" s="2">
        <v>45206.259027777778</v>
      </c>
      <c r="D850" t="s">
        <v>1393</v>
      </c>
      <c r="E850">
        <v>104</v>
      </c>
      <c r="F850" t="s">
        <v>734</v>
      </c>
      <c r="G850" t="b">
        <f>LEFT(Logs_Reseau_Part[[#This Row],[Cell_ID]],1)="A"</f>
        <v>1</v>
      </c>
    </row>
    <row r="851" spans="1:7" x14ac:dyDescent="0.3">
      <c r="A851" t="s">
        <v>1347</v>
      </c>
      <c r="B851" s="1">
        <v>45206.23333333333</v>
      </c>
      <c r="C851" s="2">
        <v>45206.23333333333</v>
      </c>
      <c r="D851" t="s">
        <v>1356</v>
      </c>
      <c r="E851">
        <v>26</v>
      </c>
      <c r="F851" t="s">
        <v>739</v>
      </c>
      <c r="G851" t="b">
        <f>LEFT(Logs_Reseau_Part[[#This Row],[Cell_ID]],1)="A"</f>
        <v>1</v>
      </c>
    </row>
    <row r="852" spans="1:7" x14ac:dyDescent="0.3">
      <c r="A852" t="s">
        <v>825</v>
      </c>
      <c r="B852" s="1">
        <v>45206.167361111111</v>
      </c>
      <c r="C852" s="2">
        <v>45206.167361111111</v>
      </c>
      <c r="D852" t="s">
        <v>860</v>
      </c>
      <c r="E852">
        <v>64</v>
      </c>
      <c r="F852" t="s">
        <v>737</v>
      </c>
      <c r="G852" t="b">
        <f>LEFT(Logs_Reseau_Part[[#This Row],[Cell_ID]],1)="A"</f>
        <v>1</v>
      </c>
    </row>
    <row r="853" spans="1:7" x14ac:dyDescent="0.3">
      <c r="A853" t="s">
        <v>980</v>
      </c>
      <c r="B853" s="1">
        <v>45206.162499999999</v>
      </c>
      <c r="C853" s="2">
        <v>45206.162499999999</v>
      </c>
      <c r="D853" t="s">
        <v>991</v>
      </c>
      <c r="E853">
        <v>69</v>
      </c>
      <c r="F853" t="s">
        <v>734</v>
      </c>
      <c r="G853" t="b">
        <f>LEFT(Logs_Reseau_Part[[#This Row],[Cell_ID]],1)="A"</f>
        <v>1</v>
      </c>
    </row>
    <row r="854" spans="1:7" x14ac:dyDescent="0.3">
      <c r="A854" t="s">
        <v>863</v>
      </c>
      <c r="B854" s="1">
        <v>45206.027083333327</v>
      </c>
      <c r="C854" s="2">
        <v>45206.027083333327</v>
      </c>
      <c r="D854" t="s">
        <v>880</v>
      </c>
      <c r="E854">
        <v>36</v>
      </c>
      <c r="F854" t="s">
        <v>739</v>
      </c>
      <c r="G854" t="b">
        <f>LEFT(Logs_Reseau_Part[[#This Row],[Cell_ID]],1)="A"</f>
        <v>1</v>
      </c>
    </row>
    <row r="855" spans="1:7" x14ac:dyDescent="0.3">
      <c r="A855" t="s">
        <v>1221</v>
      </c>
      <c r="B855" s="1">
        <v>45205.96875</v>
      </c>
      <c r="C855" s="2">
        <v>45205.96875</v>
      </c>
      <c r="D855" t="s">
        <v>1230</v>
      </c>
      <c r="E855">
        <v>84</v>
      </c>
      <c r="F855" t="s">
        <v>737</v>
      </c>
      <c r="G855" t="b">
        <f>LEFT(Logs_Reseau_Part[[#This Row],[Cell_ID]],1)="A"</f>
        <v>1</v>
      </c>
    </row>
    <row r="856" spans="1:7" x14ac:dyDescent="0.3">
      <c r="A856" t="s">
        <v>941</v>
      </c>
      <c r="B856" s="1">
        <v>45205.929861111108</v>
      </c>
      <c r="C856" s="2">
        <v>45205.929861111108</v>
      </c>
      <c r="D856" t="s">
        <v>965</v>
      </c>
      <c r="E856">
        <v>82</v>
      </c>
      <c r="F856" t="s">
        <v>739</v>
      </c>
      <c r="G856" t="b">
        <f>LEFT(Logs_Reseau_Part[[#This Row],[Cell_ID]],1)="A"</f>
        <v>1</v>
      </c>
    </row>
    <row r="857" spans="1:7" x14ac:dyDescent="0.3">
      <c r="A857" t="s">
        <v>1195</v>
      </c>
      <c r="B857" s="1">
        <v>45205.89166666667</v>
      </c>
      <c r="C857" s="2">
        <v>45205.89166666667</v>
      </c>
      <c r="D857" t="s">
        <v>1185</v>
      </c>
      <c r="E857">
        <v>45</v>
      </c>
      <c r="F857" t="s">
        <v>737</v>
      </c>
      <c r="G857" t="b">
        <f>LEFT(Logs_Reseau_Part[[#This Row],[Cell_ID]],1)="A"</f>
        <v>1</v>
      </c>
    </row>
    <row r="858" spans="1:7" x14ac:dyDescent="0.3">
      <c r="A858" t="s">
        <v>1310</v>
      </c>
      <c r="B858" s="1">
        <v>45205.87222222222</v>
      </c>
      <c r="C858" s="2">
        <v>45205.87222222222</v>
      </c>
      <c r="D858" t="s">
        <v>1317</v>
      </c>
      <c r="E858">
        <v>17</v>
      </c>
      <c r="F858" t="s">
        <v>734</v>
      </c>
      <c r="G858" t="b">
        <f>LEFT(Logs_Reseau_Part[[#This Row],[Cell_ID]],1)="A"</f>
        <v>1</v>
      </c>
    </row>
    <row r="859" spans="1:7" x14ac:dyDescent="0.3">
      <c r="A859" t="s">
        <v>1310</v>
      </c>
      <c r="B859" s="1">
        <v>45205.830555555563</v>
      </c>
      <c r="C859" s="2">
        <v>45205.830555555563</v>
      </c>
      <c r="D859" t="s">
        <v>1326</v>
      </c>
      <c r="E859">
        <v>52</v>
      </c>
      <c r="F859" t="s">
        <v>734</v>
      </c>
      <c r="G859" t="b">
        <f>LEFT(Logs_Reseau_Part[[#This Row],[Cell_ID]],1)="A"</f>
        <v>1</v>
      </c>
    </row>
    <row r="860" spans="1:7" x14ac:dyDescent="0.3">
      <c r="A860" t="s">
        <v>825</v>
      </c>
      <c r="B860" s="1">
        <v>45205.816666666673</v>
      </c>
      <c r="C860" s="2">
        <v>45205.816666666673</v>
      </c>
      <c r="D860" t="s">
        <v>848</v>
      </c>
      <c r="E860">
        <v>33</v>
      </c>
      <c r="F860" t="s">
        <v>739</v>
      </c>
      <c r="G860" t="b">
        <f>LEFT(Logs_Reseau_Part[[#This Row],[Cell_ID]],1)="A"</f>
        <v>1</v>
      </c>
    </row>
    <row r="861" spans="1:7" x14ac:dyDescent="0.3">
      <c r="A861" t="s">
        <v>1310</v>
      </c>
      <c r="B861" s="1">
        <v>45205.805555555547</v>
      </c>
      <c r="C861" s="2">
        <v>45205.805555555547</v>
      </c>
      <c r="D861" t="s">
        <v>1314</v>
      </c>
      <c r="E861">
        <v>110</v>
      </c>
      <c r="F861" t="s">
        <v>734</v>
      </c>
      <c r="G861" t="b">
        <f>LEFT(Logs_Reseau_Part[[#This Row],[Cell_ID]],1)="A"</f>
        <v>1</v>
      </c>
    </row>
    <row r="862" spans="1:7" x14ac:dyDescent="0.3">
      <c r="A862" t="s">
        <v>1001</v>
      </c>
      <c r="B862" s="1">
        <v>45205.793749999997</v>
      </c>
      <c r="C862" s="2">
        <v>45205.793749999997</v>
      </c>
      <c r="D862" t="s">
        <v>1020</v>
      </c>
      <c r="E862">
        <v>99</v>
      </c>
      <c r="F862" t="s">
        <v>737</v>
      </c>
      <c r="G862" t="b">
        <f>LEFT(Logs_Reseau_Part[[#This Row],[Cell_ID]],1)="A"</f>
        <v>1</v>
      </c>
    </row>
    <row r="863" spans="1:7" x14ac:dyDescent="0.3">
      <c r="A863" t="s">
        <v>1088</v>
      </c>
      <c r="B863" s="1">
        <v>45205.775694444441</v>
      </c>
      <c r="C863" s="2">
        <v>45205.775694444441</v>
      </c>
      <c r="D863" t="s">
        <v>1111</v>
      </c>
      <c r="E863">
        <v>56</v>
      </c>
      <c r="F863" t="s">
        <v>739</v>
      </c>
      <c r="G863" t="b">
        <f>LEFT(Logs_Reseau_Part[[#This Row],[Cell_ID]],1)="A"</f>
        <v>1</v>
      </c>
    </row>
    <row r="864" spans="1:7" x14ac:dyDescent="0.3">
      <c r="A864" t="s">
        <v>1290</v>
      </c>
      <c r="B864" s="1">
        <v>45205.768750000003</v>
      </c>
      <c r="C864" s="2">
        <v>45205.768750000003</v>
      </c>
      <c r="D864" t="s">
        <v>1299</v>
      </c>
      <c r="E864">
        <v>36</v>
      </c>
      <c r="F864" t="s">
        <v>734</v>
      </c>
      <c r="G864" t="b">
        <f>LEFT(Logs_Reseau_Part[[#This Row],[Cell_ID]],1)="A"</f>
        <v>1</v>
      </c>
    </row>
    <row r="865" spans="1:7" x14ac:dyDescent="0.3">
      <c r="A865" t="s">
        <v>1167</v>
      </c>
      <c r="B865" s="1">
        <v>45205.729166666657</v>
      </c>
      <c r="C865" s="2">
        <v>45205.729166666657</v>
      </c>
      <c r="D865" t="s">
        <v>1171</v>
      </c>
      <c r="E865">
        <v>106</v>
      </c>
      <c r="F865" t="s">
        <v>739</v>
      </c>
      <c r="G865" t="b">
        <f>LEFT(Logs_Reseau_Part[[#This Row],[Cell_ID]],1)="A"</f>
        <v>1</v>
      </c>
    </row>
    <row r="866" spans="1:7" x14ac:dyDescent="0.3">
      <c r="A866" t="s">
        <v>904</v>
      </c>
      <c r="B866" s="1">
        <v>45205.711111111108</v>
      </c>
      <c r="C866" s="2">
        <v>45205.711111111108</v>
      </c>
      <c r="D866" t="s">
        <v>923</v>
      </c>
      <c r="E866">
        <v>109</v>
      </c>
      <c r="F866" t="s">
        <v>739</v>
      </c>
      <c r="G866" t="b">
        <f>LEFT(Logs_Reseau_Part[[#This Row],[Cell_ID]],1)="A"</f>
        <v>1</v>
      </c>
    </row>
    <row r="867" spans="1:7" x14ac:dyDescent="0.3">
      <c r="A867" t="s">
        <v>1332</v>
      </c>
      <c r="B867" s="1">
        <v>45205.650694444441</v>
      </c>
      <c r="C867" s="2">
        <v>45205.650694444441</v>
      </c>
      <c r="D867" t="s">
        <v>1344</v>
      </c>
      <c r="E867">
        <v>63</v>
      </c>
      <c r="F867" t="s">
        <v>734</v>
      </c>
      <c r="G867" t="b">
        <f>LEFT(Logs_Reseau_Part[[#This Row],[Cell_ID]],1)="A"</f>
        <v>1</v>
      </c>
    </row>
    <row r="868" spans="1:7" x14ac:dyDescent="0.3">
      <c r="A868" t="s">
        <v>1263</v>
      </c>
      <c r="B868" s="1">
        <v>45205.640277777777</v>
      </c>
      <c r="C868" s="2">
        <v>45205.640277777777</v>
      </c>
      <c r="D868" t="s">
        <v>882</v>
      </c>
      <c r="E868">
        <v>52</v>
      </c>
      <c r="F868" t="s">
        <v>734</v>
      </c>
      <c r="G868" t="b">
        <f>LEFT(Logs_Reseau_Part[[#This Row],[Cell_ID]],1)="A"</f>
        <v>1</v>
      </c>
    </row>
    <row r="869" spans="1:7" x14ac:dyDescent="0.3">
      <c r="A869" t="s">
        <v>732</v>
      </c>
      <c r="B869" s="1">
        <v>45205.599999999999</v>
      </c>
      <c r="C869" s="2">
        <v>45205.599999999999</v>
      </c>
      <c r="D869" t="s">
        <v>770</v>
      </c>
      <c r="E869">
        <v>19</v>
      </c>
      <c r="F869" t="s">
        <v>737</v>
      </c>
      <c r="G869" t="b">
        <f>LEFT(Logs_Reseau_Part[[#This Row],[Cell_ID]],1)="A"</f>
        <v>1</v>
      </c>
    </row>
    <row r="870" spans="1:7" x14ac:dyDescent="0.3">
      <c r="A870" t="s">
        <v>1310</v>
      </c>
      <c r="B870" s="1">
        <v>45205.586111111108</v>
      </c>
      <c r="C870" s="2">
        <v>45205.586111111108</v>
      </c>
      <c r="D870" t="s">
        <v>1322</v>
      </c>
      <c r="E870">
        <v>89</v>
      </c>
      <c r="F870" t="s">
        <v>739</v>
      </c>
      <c r="G870" t="b">
        <f>LEFT(Logs_Reseau_Part[[#This Row],[Cell_ID]],1)="A"</f>
        <v>1</v>
      </c>
    </row>
    <row r="871" spans="1:7" x14ac:dyDescent="0.3">
      <c r="A871" t="s">
        <v>1140</v>
      </c>
      <c r="B871" s="1">
        <v>45205.529861111107</v>
      </c>
      <c r="C871" s="2">
        <v>45205.529861111107</v>
      </c>
      <c r="D871" t="s">
        <v>816</v>
      </c>
      <c r="E871">
        <v>74</v>
      </c>
      <c r="F871" t="s">
        <v>737</v>
      </c>
      <c r="G871" t="b">
        <f>LEFT(Logs_Reseau_Part[[#This Row],[Cell_ID]],1)="A"</f>
        <v>1</v>
      </c>
    </row>
    <row r="872" spans="1:7" x14ac:dyDescent="0.3">
      <c r="A872" t="s">
        <v>1116</v>
      </c>
      <c r="B872" s="1">
        <v>45205.527083333327</v>
      </c>
      <c r="C872" s="2">
        <v>45205.527083333327</v>
      </c>
      <c r="D872" t="s">
        <v>1121</v>
      </c>
      <c r="E872">
        <v>40</v>
      </c>
      <c r="F872" t="s">
        <v>739</v>
      </c>
      <c r="G872" t="b">
        <f>LEFT(Logs_Reseau_Part[[#This Row],[Cell_ID]],1)="A"</f>
        <v>1</v>
      </c>
    </row>
    <row r="873" spans="1:7" x14ac:dyDescent="0.3">
      <c r="A873" t="s">
        <v>1088</v>
      </c>
      <c r="B873" s="1">
        <v>45205.480555555558</v>
      </c>
      <c r="C873" s="2">
        <v>45205.480555555558</v>
      </c>
      <c r="D873" t="s">
        <v>1091</v>
      </c>
      <c r="E873">
        <v>43</v>
      </c>
      <c r="F873" t="s">
        <v>737</v>
      </c>
      <c r="G873" t="b">
        <f>LEFT(Logs_Reseau_Part[[#This Row],[Cell_ID]],1)="A"</f>
        <v>1</v>
      </c>
    </row>
    <row r="874" spans="1:7" x14ac:dyDescent="0.3">
      <c r="A874" t="s">
        <v>1026</v>
      </c>
      <c r="B874" s="1">
        <v>45205.474305555559</v>
      </c>
      <c r="C874" s="2">
        <v>45205.474305555559</v>
      </c>
      <c r="D874" t="s">
        <v>1039</v>
      </c>
      <c r="E874">
        <v>25</v>
      </c>
      <c r="F874" t="s">
        <v>734</v>
      </c>
      <c r="G874" t="b">
        <f>LEFT(Logs_Reseau_Part[[#This Row],[Cell_ID]],1)="A"</f>
        <v>1</v>
      </c>
    </row>
    <row r="875" spans="1:7" x14ac:dyDescent="0.3">
      <c r="A875" t="s">
        <v>1001</v>
      </c>
      <c r="B875" s="1">
        <v>45205.47152777778</v>
      </c>
      <c r="C875" s="2">
        <v>45205.47152777778</v>
      </c>
      <c r="D875" t="s">
        <v>1016</v>
      </c>
      <c r="E875">
        <v>50</v>
      </c>
      <c r="F875" t="s">
        <v>737</v>
      </c>
      <c r="G875" t="b">
        <f>LEFT(Logs_Reseau_Part[[#This Row],[Cell_ID]],1)="A"</f>
        <v>1</v>
      </c>
    </row>
    <row r="876" spans="1:7" x14ac:dyDescent="0.3">
      <c r="A876" t="s">
        <v>1263</v>
      </c>
      <c r="B876" s="1">
        <v>45205.463888888888</v>
      </c>
      <c r="C876" s="2">
        <v>45205.463888888888</v>
      </c>
      <c r="D876" t="s">
        <v>1269</v>
      </c>
      <c r="E876">
        <v>103</v>
      </c>
      <c r="F876" t="s">
        <v>734</v>
      </c>
      <c r="G876" t="b">
        <f>LEFT(Logs_Reseau_Part[[#This Row],[Cell_ID]],1)="A"</f>
        <v>1</v>
      </c>
    </row>
    <row r="877" spans="1:7" x14ac:dyDescent="0.3">
      <c r="A877" t="s">
        <v>1221</v>
      </c>
      <c r="B877" s="1">
        <v>45205.440972222219</v>
      </c>
      <c r="C877" s="2">
        <v>45205.440972222219</v>
      </c>
      <c r="D877" t="s">
        <v>1232</v>
      </c>
      <c r="E877">
        <v>115</v>
      </c>
      <c r="F877" t="s">
        <v>737</v>
      </c>
      <c r="G877" t="b">
        <f>LEFT(Logs_Reseau_Part[[#This Row],[Cell_ID]],1)="A"</f>
        <v>1</v>
      </c>
    </row>
    <row r="878" spans="1:7" x14ac:dyDescent="0.3">
      <c r="A878" t="s">
        <v>1332</v>
      </c>
      <c r="B878" s="1">
        <v>45205.365972222222</v>
      </c>
      <c r="C878" s="2">
        <v>45205.365972222222</v>
      </c>
      <c r="D878" t="s">
        <v>1162</v>
      </c>
      <c r="E878">
        <v>32</v>
      </c>
      <c r="F878" t="s">
        <v>734</v>
      </c>
      <c r="G878" t="b">
        <f>LEFT(Logs_Reseau_Part[[#This Row],[Cell_ID]],1)="A"</f>
        <v>1</v>
      </c>
    </row>
    <row r="879" spans="1:7" x14ac:dyDescent="0.3">
      <c r="A879" t="s">
        <v>781</v>
      </c>
      <c r="B879" s="1">
        <v>45205.353472222218</v>
      </c>
      <c r="C879" s="2">
        <v>45205.353472222218</v>
      </c>
      <c r="D879" t="s">
        <v>792</v>
      </c>
      <c r="E879">
        <v>52</v>
      </c>
      <c r="F879" t="s">
        <v>737</v>
      </c>
      <c r="G879" t="b">
        <f>LEFT(Logs_Reseau_Part[[#This Row],[Cell_ID]],1)="A"</f>
        <v>1</v>
      </c>
    </row>
    <row r="880" spans="1:7" x14ac:dyDescent="0.3">
      <c r="A880" t="s">
        <v>1290</v>
      </c>
      <c r="B880" s="1">
        <v>45205.345138888893</v>
      </c>
      <c r="C880" s="2">
        <v>45205.345138888893</v>
      </c>
      <c r="D880" t="s">
        <v>907</v>
      </c>
      <c r="E880">
        <v>109</v>
      </c>
      <c r="F880" t="s">
        <v>737</v>
      </c>
      <c r="G880" t="b">
        <f>LEFT(Logs_Reseau_Part[[#This Row],[Cell_ID]],1)="A"</f>
        <v>1</v>
      </c>
    </row>
    <row r="881" spans="1:7" x14ac:dyDescent="0.3">
      <c r="A881" t="s">
        <v>1243</v>
      </c>
      <c r="B881" s="1">
        <v>45205.336805555547</v>
      </c>
      <c r="C881" s="2">
        <v>45205.336805555547</v>
      </c>
      <c r="D881" t="s">
        <v>1253</v>
      </c>
      <c r="E881">
        <v>119</v>
      </c>
      <c r="F881" t="s">
        <v>739</v>
      </c>
      <c r="G881" t="b">
        <f>LEFT(Logs_Reseau_Part[[#This Row],[Cell_ID]],1)="A"</f>
        <v>1</v>
      </c>
    </row>
    <row r="882" spans="1:7" x14ac:dyDescent="0.3">
      <c r="A882" t="s">
        <v>1221</v>
      </c>
      <c r="B882" s="1">
        <v>45205.236111111109</v>
      </c>
      <c r="C882" s="2">
        <v>45205.236111111109</v>
      </c>
      <c r="D882" t="s">
        <v>916</v>
      </c>
      <c r="E882">
        <v>67</v>
      </c>
      <c r="F882" t="s">
        <v>737</v>
      </c>
      <c r="G882" t="b">
        <f>LEFT(Logs_Reseau_Part[[#This Row],[Cell_ID]],1)="A"</f>
        <v>1</v>
      </c>
    </row>
    <row r="883" spans="1:7" x14ac:dyDescent="0.3">
      <c r="A883" t="s">
        <v>1001</v>
      </c>
      <c r="B883" s="1">
        <v>45205.191666666673</v>
      </c>
      <c r="C883" s="2">
        <v>45205.191666666673</v>
      </c>
      <c r="D883" t="s">
        <v>1012</v>
      </c>
      <c r="E883">
        <v>34</v>
      </c>
      <c r="F883" t="s">
        <v>734</v>
      </c>
      <c r="G883" t="b">
        <f>LEFT(Logs_Reseau_Part[[#This Row],[Cell_ID]],1)="A"</f>
        <v>1</v>
      </c>
    </row>
    <row r="884" spans="1:7" x14ac:dyDescent="0.3">
      <c r="A884" t="s">
        <v>1195</v>
      </c>
      <c r="B884" s="1">
        <v>45205.178472222222</v>
      </c>
      <c r="C884" s="2">
        <v>45205.178472222222</v>
      </c>
      <c r="D884" t="s">
        <v>1217</v>
      </c>
      <c r="E884">
        <v>42</v>
      </c>
      <c r="F884" t="s">
        <v>737</v>
      </c>
      <c r="G884" t="b">
        <f>LEFT(Logs_Reseau_Part[[#This Row],[Cell_ID]],1)="A"</f>
        <v>1</v>
      </c>
    </row>
    <row r="885" spans="1:7" x14ac:dyDescent="0.3">
      <c r="A885" t="s">
        <v>1061</v>
      </c>
      <c r="B885" s="1">
        <v>45205.169444444437</v>
      </c>
      <c r="C885" s="2">
        <v>45205.169444444437</v>
      </c>
      <c r="D885" t="s">
        <v>1081</v>
      </c>
      <c r="E885">
        <v>18</v>
      </c>
      <c r="F885" t="s">
        <v>737</v>
      </c>
      <c r="G885" t="b">
        <f>LEFT(Logs_Reseau_Part[[#This Row],[Cell_ID]],1)="A"</f>
        <v>1</v>
      </c>
    </row>
    <row r="886" spans="1:7" x14ac:dyDescent="0.3">
      <c r="A886" t="s">
        <v>980</v>
      </c>
      <c r="B886" s="1">
        <v>45205.154166666667</v>
      </c>
      <c r="C886" s="2">
        <v>45205.154166666667</v>
      </c>
      <c r="D886" t="s">
        <v>821</v>
      </c>
      <c r="E886">
        <v>12</v>
      </c>
      <c r="F886" t="s">
        <v>734</v>
      </c>
      <c r="G886" t="b">
        <f>LEFT(Logs_Reseau_Part[[#This Row],[Cell_ID]],1)="A"</f>
        <v>1</v>
      </c>
    </row>
    <row r="887" spans="1:7" x14ac:dyDescent="0.3">
      <c r="A887" t="s">
        <v>941</v>
      </c>
      <c r="B887" s="1">
        <v>45205.11041666667</v>
      </c>
      <c r="C887" s="2">
        <v>45205.11041666667</v>
      </c>
      <c r="D887" t="s">
        <v>763</v>
      </c>
      <c r="E887">
        <v>104</v>
      </c>
      <c r="F887" t="s">
        <v>734</v>
      </c>
      <c r="G887" t="b">
        <f>LEFT(Logs_Reseau_Part[[#This Row],[Cell_ID]],1)="A"</f>
        <v>1</v>
      </c>
    </row>
    <row r="888" spans="1:7" x14ac:dyDescent="0.3">
      <c r="A888" t="s">
        <v>941</v>
      </c>
      <c r="B888" s="1">
        <v>45205.102777777778</v>
      </c>
      <c r="C888" s="2">
        <v>45205.102777777778</v>
      </c>
      <c r="D888" t="s">
        <v>976</v>
      </c>
      <c r="E888">
        <v>84</v>
      </c>
      <c r="F888" t="s">
        <v>739</v>
      </c>
      <c r="G888" t="b">
        <f>LEFT(Logs_Reseau_Part[[#This Row],[Cell_ID]],1)="A"</f>
        <v>1</v>
      </c>
    </row>
    <row r="889" spans="1:7" x14ac:dyDescent="0.3">
      <c r="A889" t="s">
        <v>904</v>
      </c>
      <c r="B889" s="1">
        <v>45205.052777777782</v>
      </c>
      <c r="C889" s="2">
        <v>45205.052777777782</v>
      </c>
      <c r="D889" t="s">
        <v>767</v>
      </c>
      <c r="E889">
        <v>102</v>
      </c>
      <c r="F889" t="s">
        <v>737</v>
      </c>
      <c r="G889" t="b">
        <f>LEFT(Logs_Reseau_Part[[#This Row],[Cell_ID]],1)="A"</f>
        <v>1</v>
      </c>
    </row>
    <row r="890" spans="1:7" x14ac:dyDescent="0.3">
      <c r="A890" t="s">
        <v>1026</v>
      </c>
      <c r="B890" s="1">
        <v>45205.052083333343</v>
      </c>
      <c r="C890" s="2">
        <v>45205.052083333343</v>
      </c>
      <c r="D890" t="s">
        <v>1037</v>
      </c>
      <c r="E890">
        <v>81</v>
      </c>
      <c r="F890" t="s">
        <v>739</v>
      </c>
      <c r="G890" t="b">
        <f>LEFT(Logs_Reseau_Part[[#This Row],[Cell_ID]],1)="A"</f>
        <v>1</v>
      </c>
    </row>
    <row r="891" spans="1:7" x14ac:dyDescent="0.3">
      <c r="A891" t="s">
        <v>904</v>
      </c>
      <c r="B891" s="1">
        <v>45205.018055555563</v>
      </c>
      <c r="C891" s="2">
        <v>45205.018055555563</v>
      </c>
      <c r="D891" t="s">
        <v>924</v>
      </c>
      <c r="E891">
        <v>67</v>
      </c>
      <c r="F891" t="s">
        <v>739</v>
      </c>
      <c r="G891" t="b">
        <f>LEFT(Logs_Reseau_Part[[#This Row],[Cell_ID]],1)="A"</f>
        <v>1</v>
      </c>
    </row>
    <row r="892" spans="1:7" x14ac:dyDescent="0.3">
      <c r="A892" t="s">
        <v>1290</v>
      </c>
      <c r="B892" s="1">
        <v>45205.013888888891</v>
      </c>
      <c r="C892" s="2">
        <v>45205.013888888891</v>
      </c>
      <c r="D892" t="s">
        <v>765</v>
      </c>
      <c r="E892">
        <v>35</v>
      </c>
      <c r="F892" t="s">
        <v>737</v>
      </c>
      <c r="G892" t="b">
        <f>LEFT(Logs_Reseau_Part[[#This Row],[Cell_ID]],1)="A"</f>
        <v>1</v>
      </c>
    </row>
    <row r="893" spans="1:7" x14ac:dyDescent="0.3">
      <c r="A893" t="s">
        <v>1001</v>
      </c>
      <c r="B893" s="1">
        <v>45204.986111111109</v>
      </c>
      <c r="C893" s="2">
        <v>45204.986111111109</v>
      </c>
      <c r="D893" t="s">
        <v>1014</v>
      </c>
      <c r="E893">
        <v>76</v>
      </c>
      <c r="F893" t="s">
        <v>737</v>
      </c>
      <c r="G893" t="b">
        <f>LEFT(Logs_Reseau_Part[[#This Row],[Cell_ID]],1)="A"</f>
        <v>1</v>
      </c>
    </row>
    <row r="894" spans="1:7" x14ac:dyDescent="0.3">
      <c r="A894" t="s">
        <v>732</v>
      </c>
      <c r="B894" s="1">
        <v>45204.962500000001</v>
      </c>
      <c r="C894" s="2">
        <v>45204.962500000001</v>
      </c>
      <c r="D894" t="s">
        <v>736</v>
      </c>
      <c r="E894">
        <v>100</v>
      </c>
      <c r="F894" t="s">
        <v>737</v>
      </c>
      <c r="G894" t="b">
        <f>LEFT(Logs_Reseau_Part[[#This Row],[Cell_ID]],1)="A"</f>
        <v>1</v>
      </c>
    </row>
    <row r="895" spans="1:7" x14ac:dyDescent="0.3">
      <c r="A895" t="s">
        <v>1363</v>
      </c>
      <c r="B895" s="1">
        <v>45204.948611111111</v>
      </c>
      <c r="C895" s="2">
        <v>45204.948611111111</v>
      </c>
      <c r="D895" t="s">
        <v>1370</v>
      </c>
      <c r="E895">
        <v>47</v>
      </c>
      <c r="F895" t="s">
        <v>737</v>
      </c>
      <c r="G895" t="b">
        <f>LEFT(Logs_Reseau_Part[[#This Row],[Cell_ID]],1)="A"</f>
        <v>1</v>
      </c>
    </row>
    <row r="896" spans="1:7" x14ac:dyDescent="0.3">
      <c r="A896" t="s">
        <v>1116</v>
      </c>
      <c r="B896" s="1">
        <v>45204.931250000001</v>
      </c>
      <c r="C896" s="2">
        <v>45204.931250000001</v>
      </c>
      <c r="D896" t="s">
        <v>1117</v>
      </c>
      <c r="E896">
        <v>66</v>
      </c>
      <c r="F896" t="s">
        <v>734</v>
      </c>
      <c r="G896" t="b">
        <f>LEFT(Logs_Reseau_Part[[#This Row],[Cell_ID]],1)="A"</f>
        <v>1</v>
      </c>
    </row>
    <row r="897" spans="1:7" x14ac:dyDescent="0.3">
      <c r="A897" t="s">
        <v>1263</v>
      </c>
      <c r="B897" s="1">
        <v>45204.916666666657</v>
      </c>
      <c r="C897" s="2">
        <v>45204.916666666657</v>
      </c>
      <c r="D897" t="s">
        <v>1268</v>
      </c>
      <c r="E897">
        <v>64</v>
      </c>
      <c r="F897" t="s">
        <v>739</v>
      </c>
      <c r="G897" t="b">
        <f>LEFT(Logs_Reseau_Part[[#This Row],[Cell_ID]],1)="A"</f>
        <v>1</v>
      </c>
    </row>
    <row r="898" spans="1:7" x14ac:dyDescent="0.3">
      <c r="A898" t="s">
        <v>1026</v>
      </c>
      <c r="B898" s="1">
        <v>45204.905555555553</v>
      </c>
      <c r="C898" s="2">
        <v>45204.905555555553</v>
      </c>
      <c r="D898" t="s">
        <v>1052</v>
      </c>
      <c r="E898">
        <v>61</v>
      </c>
      <c r="F898" t="s">
        <v>734</v>
      </c>
      <c r="G898" t="b">
        <f>LEFT(Logs_Reseau_Part[[#This Row],[Cell_ID]],1)="A"</f>
        <v>1</v>
      </c>
    </row>
    <row r="899" spans="1:7" x14ac:dyDescent="0.3">
      <c r="A899" t="s">
        <v>1001</v>
      </c>
      <c r="B899" s="1">
        <v>45204.895833333343</v>
      </c>
      <c r="C899" s="2">
        <v>45204.895833333343</v>
      </c>
      <c r="D899" t="s">
        <v>1004</v>
      </c>
      <c r="E899">
        <v>42</v>
      </c>
      <c r="F899" t="s">
        <v>737</v>
      </c>
      <c r="G899" t="b">
        <f>LEFT(Logs_Reseau_Part[[#This Row],[Cell_ID]],1)="A"</f>
        <v>1</v>
      </c>
    </row>
    <row r="900" spans="1:7" x14ac:dyDescent="0.3">
      <c r="A900" t="s">
        <v>1243</v>
      </c>
      <c r="B900" s="1">
        <v>45204.84652777778</v>
      </c>
      <c r="C900" s="2">
        <v>45204.84652777778</v>
      </c>
      <c r="D900" t="s">
        <v>1252</v>
      </c>
      <c r="E900">
        <v>16</v>
      </c>
      <c r="F900" t="s">
        <v>739</v>
      </c>
      <c r="G900" t="b">
        <f>LEFT(Logs_Reseau_Part[[#This Row],[Cell_ID]],1)="A"</f>
        <v>1</v>
      </c>
    </row>
    <row r="901" spans="1:7" x14ac:dyDescent="0.3">
      <c r="A901" t="s">
        <v>863</v>
      </c>
      <c r="B901" s="1">
        <v>45204.81527777778</v>
      </c>
      <c r="C901" s="2">
        <v>45204.81527777778</v>
      </c>
      <c r="D901" t="s">
        <v>865</v>
      </c>
      <c r="E901">
        <v>71</v>
      </c>
      <c r="F901" t="s">
        <v>739</v>
      </c>
      <c r="G901" t="b">
        <f>LEFT(Logs_Reseau_Part[[#This Row],[Cell_ID]],1)="A"</f>
        <v>1</v>
      </c>
    </row>
    <row r="902" spans="1:7" x14ac:dyDescent="0.3">
      <c r="A902" t="s">
        <v>1221</v>
      </c>
      <c r="B902" s="1">
        <v>45204.76666666667</v>
      </c>
      <c r="C902" s="2">
        <v>45204.76666666667</v>
      </c>
      <c r="D902" t="s">
        <v>1242</v>
      </c>
      <c r="E902">
        <v>9</v>
      </c>
      <c r="F902" t="s">
        <v>739</v>
      </c>
      <c r="G902" t="b">
        <f>LEFT(Logs_Reseau_Part[[#This Row],[Cell_ID]],1)="A"</f>
        <v>1</v>
      </c>
    </row>
    <row r="903" spans="1:7" x14ac:dyDescent="0.3">
      <c r="A903" t="s">
        <v>980</v>
      </c>
      <c r="B903" s="1">
        <v>45204.759027777778</v>
      </c>
      <c r="C903" s="2">
        <v>45204.759027777778</v>
      </c>
      <c r="D903" t="s">
        <v>994</v>
      </c>
      <c r="E903">
        <v>105</v>
      </c>
      <c r="F903" t="s">
        <v>739</v>
      </c>
      <c r="G903" t="b">
        <f>LEFT(Logs_Reseau_Part[[#This Row],[Cell_ID]],1)="A"</f>
        <v>1</v>
      </c>
    </row>
    <row r="904" spans="1:7" x14ac:dyDescent="0.3">
      <c r="A904" t="s">
        <v>1140</v>
      </c>
      <c r="B904" s="1">
        <v>45204.68472222222</v>
      </c>
      <c r="C904" s="2">
        <v>45204.68472222222</v>
      </c>
      <c r="D904" t="s">
        <v>1163</v>
      </c>
      <c r="E904">
        <v>92</v>
      </c>
      <c r="F904" t="s">
        <v>734</v>
      </c>
      <c r="G904" t="b">
        <f>LEFT(Logs_Reseau_Part[[#This Row],[Cell_ID]],1)="A"</f>
        <v>1</v>
      </c>
    </row>
    <row r="905" spans="1:7" x14ac:dyDescent="0.3">
      <c r="A905" t="s">
        <v>1363</v>
      </c>
      <c r="B905" s="1">
        <v>45204.665277777778</v>
      </c>
      <c r="C905" s="2">
        <v>45204.665277777778</v>
      </c>
      <c r="D905" t="s">
        <v>1072</v>
      </c>
      <c r="E905">
        <v>56</v>
      </c>
      <c r="F905" t="s">
        <v>734</v>
      </c>
      <c r="G905" t="b">
        <f>LEFT(Logs_Reseau_Part[[#This Row],[Cell_ID]],1)="A"</f>
        <v>1</v>
      </c>
    </row>
    <row r="906" spans="1:7" x14ac:dyDescent="0.3">
      <c r="A906" t="s">
        <v>1384</v>
      </c>
      <c r="B906" s="1">
        <v>45204.625</v>
      </c>
      <c r="C906" s="2">
        <v>45204.625</v>
      </c>
      <c r="D906" t="s">
        <v>1386</v>
      </c>
      <c r="E906">
        <v>94</v>
      </c>
      <c r="F906" t="s">
        <v>739</v>
      </c>
      <c r="G906" t="b">
        <f>LEFT(Logs_Reseau_Part[[#This Row],[Cell_ID]],1)="A"</f>
        <v>1</v>
      </c>
    </row>
    <row r="907" spans="1:7" x14ac:dyDescent="0.3">
      <c r="A907" t="s">
        <v>1140</v>
      </c>
      <c r="B907" s="1">
        <v>45204.615972222222</v>
      </c>
      <c r="C907" s="2">
        <v>45204.615972222222</v>
      </c>
      <c r="D907" t="s">
        <v>1150</v>
      </c>
      <c r="E907">
        <v>41</v>
      </c>
      <c r="F907" t="s">
        <v>739</v>
      </c>
      <c r="G907" t="b">
        <f>LEFT(Logs_Reseau_Part[[#This Row],[Cell_ID]],1)="A"</f>
        <v>1</v>
      </c>
    </row>
    <row r="908" spans="1:7" x14ac:dyDescent="0.3">
      <c r="A908" t="s">
        <v>863</v>
      </c>
      <c r="B908" s="1">
        <v>45204.59097222222</v>
      </c>
      <c r="C908" s="2">
        <v>45204.59097222222</v>
      </c>
      <c r="D908" t="s">
        <v>871</v>
      </c>
      <c r="E908">
        <v>108</v>
      </c>
      <c r="F908" t="s">
        <v>737</v>
      </c>
      <c r="G908" t="b">
        <f>LEFT(Logs_Reseau_Part[[#This Row],[Cell_ID]],1)="A"</f>
        <v>1</v>
      </c>
    </row>
    <row r="909" spans="1:7" x14ac:dyDescent="0.3">
      <c r="A909" t="s">
        <v>1116</v>
      </c>
      <c r="B909" s="1">
        <v>45204.572222222218</v>
      </c>
      <c r="C909" s="2">
        <v>45204.572222222218</v>
      </c>
      <c r="D909" t="s">
        <v>880</v>
      </c>
      <c r="E909">
        <v>88</v>
      </c>
      <c r="F909" t="s">
        <v>739</v>
      </c>
      <c r="G909" t="b">
        <f>LEFT(Logs_Reseau_Part[[#This Row],[Cell_ID]],1)="A"</f>
        <v>1</v>
      </c>
    </row>
    <row r="910" spans="1:7" x14ac:dyDescent="0.3">
      <c r="A910" t="s">
        <v>980</v>
      </c>
      <c r="B910" s="1">
        <v>45204.570138888892</v>
      </c>
      <c r="C910" s="2">
        <v>45204.570138888892</v>
      </c>
      <c r="D910" t="s">
        <v>984</v>
      </c>
      <c r="E910">
        <v>13</v>
      </c>
      <c r="F910" t="s">
        <v>739</v>
      </c>
      <c r="G910" t="b">
        <f>LEFT(Logs_Reseau_Part[[#This Row],[Cell_ID]],1)="A"</f>
        <v>1</v>
      </c>
    </row>
    <row r="911" spans="1:7" x14ac:dyDescent="0.3">
      <c r="A911" t="s">
        <v>1290</v>
      </c>
      <c r="B911" s="1">
        <v>45204.55</v>
      </c>
      <c r="C911" s="2">
        <v>45204.55</v>
      </c>
      <c r="D911" t="s">
        <v>958</v>
      </c>
      <c r="E911">
        <v>113</v>
      </c>
      <c r="F911" t="s">
        <v>737</v>
      </c>
      <c r="G911" t="b">
        <f>LEFT(Logs_Reseau_Part[[#This Row],[Cell_ID]],1)="A"</f>
        <v>1</v>
      </c>
    </row>
    <row r="912" spans="1:7" x14ac:dyDescent="0.3">
      <c r="A912" t="s">
        <v>1195</v>
      </c>
      <c r="B912" s="1">
        <v>45204.53125</v>
      </c>
      <c r="C912" s="2">
        <v>45204.53125</v>
      </c>
      <c r="D912" t="s">
        <v>902</v>
      </c>
      <c r="E912">
        <v>47</v>
      </c>
      <c r="F912" t="s">
        <v>734</v>
      </c>
      <c r="G912" t="b">
        <f>LEFT(Logs_Reseau_Part[[#This Row],[Cell_ID]],1)="A"</f>
        <v>1</v>
      </c>
    </row>
    <row r="913" spans="1:7" x14ac:dyDescent="0.3">
      <c r="A913" t="s">
        <v>1026</v>
      </c>
      <c r="B913" s="1">
        <v>45204.47152777778</v>
      </c>
      <c r="C913" s="2">
        <v>45204.47152777778</v>
      </c>
      <c r="D913" t="s">
        <v>1046</v>
      </c>
      <c r="E913">
        <v>10</v>
      </c>
      <c r="F913" t="s">
        <v>734</v>
      </c>
      <c r="G913" t="b">
        <f>LEFT(Logs_Reseau_Part[[#This Row],[Cell_ID]],1)="A"</f>
        <v>1</v>
      </c>
    </row>
    <row r="914" spans="1:7" x14ac:dyDescent="0.3">
      <c r="A914" t="s">
        <v>1167</v>
      </c>
      <c r="B914" s="1">
        <v>45204.39166666667</v>
      </c>
      <c r="C914" s="2">
        <v>45204.39166666667</v>
      </c>
      <c r="D914" t="s">
        <v>886</v>
      </c>
      <c r="E914">
        <v>98</v>
      </c>
      <c r="F914" t="s">
        <v>739</v>
      </c>
      <c r="G914" t="b">
        <f>LEFT(Logs_Reseau_Part[[#This Row],[Cell_ID]],1)="A"</f>
        <v>1</v>
      </c>
    </row>
    <row r="915" spans="1:7" x14ac:dyDescent="0.3">
      <c r="A915" t="s">
        <v>732</v>
      </c>
      <c r="B915" s="1">
        <v>45204.338888888888</v>
      </c>
      <c r="C915" s="2">
        <v>45204.338888888888</v>
      </c>
      <c r="D915" t="s">
        <v>779</v>
      </c>
      <c r="E915">
        <v>60</v>
      </c>
      <c r="F915" t="s">
        <v>734</v>
      </c>
      <c r="G915" t="b">
        <f>LEFT(Logs_Reseau_Part[[#This Row],[Cell_ID]],1)="A"</f>
        <v>1</v>
      </c>
    </row>
    <row r="916" spans="1:7" x14ac:dyDescent="0.3">
      <c r="A916" t="s">
        <v>941</v>
      </c>
      <c r="B916" s="1">
        <v>45204.314583333333</v>
      </c>
      <c r="C916" s="2">
        <v>45204.314583333333</v>
      </c>
      <c r="D916" t="s">
        <v>968</v>
      </c>
      <c r="E916">
        <v>120</v>
      </c>
      <c r="F916" t="s">
        <v>737</v>
      </c>
      <c r="G916" t="b">
        <f>LEFT(Logs_Reseau_Part[[#This Row],[Cell_ID]],1)="A"</f>
        <v>1</v>
      </c>
    </row>
    <row r="917" spans="1:7" x14ac:dyDescent="0.3">
      <c r="A917" t="s">
        <v>863</v>
      </c>
      <c r="B917" s="1">
        <v>45204.297222222223</v>
      </c>
      <c r="C917" s="2">
        <v>45204.297222222223</v>
      </c>
      <c r="D917" t="s">
        <v>881</v>
      </c>
      <c r="E917">
        <v>111</v>
      </c>
      <c r="F917" t="s">
        <v>737</v>
      </c>
      <c r="G917" t="b">
        <f>LEFT(Logs_Reseau_Part[[#This Row],[Cell_ID]],1)="A"</f>
        <v>1</v>
      </c>
    </row>
    <row r="918" spans="1:7" x14ac:dyDescent="0.3">
      <c r="A918" t="s">
        <v>732</v>
      </c>
      <c r="B918" s="1">
        <v>45204.283333333333</v>
      </c>
      <c r="C918" s="2">
        <v>45204.283333333333</v>
      </c>
      <c r="D918" t="s">
        <v>751</v>
      </c>
      <c r="E918">
        <v>11</v>
      </c>
      <c r="F918" t="s">
        <v>739</v>
      </c>
      <c r="G918" t="b">
        <f>LEFT(Logs_Reseau_Part[[#This Row],[Cell_ID]],1)="A"</f>
        <v>1</v>
      </c>
    </row>
    <row r="919" spans="1:7" x14ac:dyDescent="0.3">
      <c r="A919" t="s">
        <v>1167</v>
      </c>
      <c r="B919" s="1">
        <v>45204.26458333333</v>
      </c>
      <c r="C919" s="2">
        <v>45204.26458333333</v>
      </c>
      <c r="D919" t="s">
        <v>1119</v>
      </c>
      <c r="E919">
        <v>90</v>
      </c>
      <c r="F919" t="s">
        <v>739</v>
      </c>
      <c r="G919" t="b">
        <f>LEFT(Logs_Reseau_Part[[#This Row],[Cell_ID]],1)="A"</f>
        <v>1</v>
      </c>
    </row>
    <row r="920" spans="1:7" x14ac:dyDescent="0.3">
      <c r="A920" t="s">
        <v>1088</v>
      </c>
      <c r="B920" s="1">
        <v>45204.237500000003</v>
      </c>
      <c r="C920" s="2">
        <v>45204.237500000003</v>
      </c>
      <c r="D920" t="s">
        <v>958</v>
      </c>
      <c r="E920">
        <v>21</v>
      </c>
      <c r="F920" t="s">
        <v>737</v>
      </c>
      <c r="G920" t="b">
        <f>LEFT(Logs_Reseau_Part[[#This Row],[Cell_ID]],1)="A"</f>
        <v>1</v>
      </c>
    </row>
    <row r="921" spans="1:7" x14ac:dyDescent="0.3">
      <c r="A921" t="s">
        <v>904</v>
      </c>
      <c r="B921" s="1">
        <v>45204.20208333333</v>
      </c>
      <c r="C921" s="2">
        <v>45204.20208333333</v>
      </c>
      <c r="D921" t="s">
        <v>910</v>
      </c>
      <c r="E921">
        <v>10</v>
      </c>
      <c r="F921" t="s">
        <v>734</v>
      </c>
      <c r="G921" t="b">
        <f>LEFT(Logs_Reseau_Part[[#This Row],[Cell_ID]],1)="A"</f>
        <v>1</v>
      </c>
    </row>
    <row r="922" spans="1:7" x14ac:dyDescent="0.3">
      <c r="A922" t="s">
        <v>1290</v>
      </c>
      <c r="B922" s="1">
        <v>45204.122916666667</v>
      </c>
      <c r="C922" s="2">
        <v>45204.122916666667</v>
      </c>
      <c r="D922" t="s">
        <v>1202</v>
      </c>
      <c r="E922">
        <v>34</v>
      </c>
      <c r="F922" t="s">
        <v>734</v>
      </c>
      <c r="G922" t="b">
        <f>LEFT(Logs_Reseau_Part[[#This Row],[Cell_ID]],1)="A"</f>
        <v>1</v>
      </c>
    </row>
    <row r="923" spans="1:7" x14ac:dyDescent="0.3">
      <c r="A923" t="s">
        <v>1195</v>
      </c>
      <c r="B923" s="1">
        <v>45204.09097222222</v>
      </c>
      <c r="C923" s="2">
        <v>45204.09097222222</v>
      </c>
      <c r="D923" t="s">
        <v>1210</v>
      </c>
      <c r="E923">
        <v>81</v>
      </c>
      <c r="F923" t="s">
        <v>734</v>
      </c>
      <c r="G923" t="b">
        <f>LEFT(Logs_Reseau_Part[[#This Row],[Cell_ID]],1)="A"</f>
        <v>1</v>
      </c>
    </row>
    <row r="924" spans="1:7" x14ac:dyDescent="0.3">
      <c r="A924" t="s">
        <v>1195</v>
      </c>
      <c r="B924" s="1">
        <v>45204.090277777781</v>
      </c>
      <c r="C924" s="2">
        <v>45204.090277777781</v>
      </c>
      <c r="D924" t="s">
        <v>1218</v>
      </c>
      <c r="E924">
        <v>93</v>
      </c>
      <c r="F924" t="s">
        <v>739</v>
      </c>
      <c r="G924" t="b">
        <f>LEFT(Logs_Reseau_Part[[#This Row],[Cell_ID]],1)="A"</f>
        <v>1</v>
      </c>
    </row>
    <row r="925" spans="1:7" x14ac:dyDescent="0.3">
      <c r="A925" t="s">
        <v>1167</v>
      </c>
      <c r="B925" s="1">
        <v>45204.011111111111</v>
      </c>
      <c r="C925" s="2">
        <v>45204.011111111111</v>
      </c>
      <c r="D925" t="s">
        <v>1189</v>
      </c>
      <c r="E925">
        <v>12</v>
      </c>
      <c r="F925" t="s">
        <v>737</v>
      </c>
      <c r="G925" t="b">
        <f>LEFT(Logs_Reseau_Part[[#This Row],[Cell_ID]],1)="A"</f>
        <v>1</v>
      </c>
    </row>
    <row r="926" spans="1:7" x14ac:dyDescent="0.3">
      <c r="A926" t="s">
        <v>825</v>
      </c>
      <c r="B926" s="1">
        <v>45203.997916666667</v>
      </c>
      <c r="C926" s="2">
        <v>45203.997916666667</v>
      </c>
      <c r="D926" t="s">
        <v>841</v>
      </c>
      <c r="E926">
        <v>101</v>
      </c>
      <c r="F926" t="s">
        <v>739</v>
      </c>
      <c r="G926" t="b">
        <f>LEFT(Logs_Reseau_Part[[#This Row],[Cell_ID]],1)="A"</f>
        <v>1</v>
      </c>
    </row>
    <row r="927" spans="1:7" x14ac:dyDescent="0.3">
      <c r="A927" t="s">
        <v>1167</v>
      </c>
      <c r="B927" s="1">
        <v>45203.991666666669</v>
      </c>
      <c r="C927" s="2">
        <v>45203.991666666669</v>
      </c>
      <c r="D927" t="s">
        <v>1181</v>
      </c>
      <c r="E927">
        <v>5</v>
      </c>
      <c r="F927" t="s">
        <v>739</v>
      </c>
      <c r="G927" t="b">
        <f>LEFT(Logs_Reseau_Part[[#This Row],[Cell_ID]],1)="A"</f>
        <v>1</v>
      </c>
    </row>
    <row r="928" spans="1:7" x14ac:dyDescent="0.3">
      <c r="A928" t="s">
        <v>1310</v>
      </c>
      <c r="B928" s="1">
        <v>45203.958333333343</v>
      </c>
      <c r="C928" s="2">
        <v>45203.958333333343</v>
      </c>
      <c r="D928" t="s">
        <v>1319</v>
      </c>
      <c r="E928">
        <v>65</v>
      </c>
      <c r="F928" t="s">
        <v>739</v>
      </c>
      <c r="G928" t="b">
        <f>LEFT(Logs_Reseau_Part[[#This Row],[Cell_ID]],1)="A"</f>
        <v>1</v>
      </c>
    </row>
    <row r="929" spans="1:7" x14ac:dyDescent="0.3">
      <c r="A929" t="s">
        <v>863</v>
      </c>
      <c r="B929" s="1">
        <v>45203.950694444437</v>
      </c>
      <c r="C929" s="2">
        <v>45203.950694444437</v>
      </c>
      <c r="D929" t="s">
        <v>894</v>
      </c>
      <c r="E929">
        <v>8</v>
      </c>
      <c r="F929" t="s">
        <v>737</v>
      </c>
      <c r="G929" t="b">
        <f>LEFT(Logs_Reseau_Part[[#This Row],[Cell_ID]],1)="A"</f>
        <v>1</v>
      </c>
    </row>
    <row r="930" spans="1:7" x14ac:dyDescent="0.3">
      <c r="A930" t="s">
        <v>1221</v>
      </c>
      <c r="B930" s="1">
        <v>45203.910416666673</v>
      </c>
      <c r="C930" s="2">
        <v>45203.910416666673</v>
      </c>
      <c r="D930" t="s">
        <v>1200</v>
      </c>
      <c r="E930">
        <v>62</v>
      </c>
      <c r="F930" t="s">
        <v>734</v>
      </c>
      <c r="G930" t="b">
        <f>LEFT(Logs_Reseau_Part[[#This Row],[Cell_ID]],1)="A"</f>
        <v>1</v>
      </c>
    </row>
    <row r="931" spans="1:7" x14ac:dyDescent="0.3">
      <c r="A931" t="s">
        <v>781</v>
      </c>
      <c r="B931" s="1">
        <v>45203.893750000003</v>
      </c>
      <c r="C931" s="2">
        <v>45203.893750000003</v>
      </c>
      <c r="D931" t="s">
        <v>785</v>
      </c>
      <c r="E931">
        <v>32</v>
      </c>
      <c r="F931" t="s">
        <v>734</v>
      </c>
      <c r="G931" t="b">
        <f>LEFT(Logs_Reseau_Part[[#This Row],[Cell_ID]],1)="A"</f>
        <v>1</v>
      </c>
    </row>
    <row r="932" spans="1:7" x14ac:dyDescent="0.3">
      <c r="A932" t="s">
        <v>1347</v>
      </c>
      <c r="B932" s="1">
        <v>45203.89166666667</v>
      </c>
      <c r="C932" s="2">
        <v>45203.89166666667</v>
      </c>
      <c r="D932" t="s">
        <v>905</v>
      </c>
      <c r="E932">
        <v>7</v>
      </c>
      <c r="F932" t="s">
        <v>737</v>
      </c>
      <c r="G932" t="b">
        <f>LEFT(Logs_Reseau_Part[[#This Row],[Cell_ID]],1)="A"</f>
        <v>1</v>
      </c>
    </row>
    <row r="933" spans="1:7" x14ac:dyDescent="0.3">
      <c r="A933" t="s">
        <v>1140</v>
      </c>
      <c r="B933" s="1">
        <v>45203.884027777778</v>
      </c>
      <c r="C933" s="2">
        <v>45203.884027777778</v>
      </c>
      <c r="D933" t="s">
        <v>1160</v>
      </c>
      <c r="E933">
        <v>116</v>
      </c>
      <c r="F933" t="s">
        <v>737</v>
      </c>
      <c r="G933" t="b">
        <f>LEFT(Logs_Reseau_Part[[#This Row],[Cell_ID]],1)="A"</f>
        <v>1</v>
      </c>
    </row>
    <row r="934" spans="1:7" x14ac:dyDescent="0.3">
      <c r="A934" t="s">
        <v>941</v>
      </c>
      <c r="B934" s="1">
        <v>45203.864583333343</v>
      </c>
      <c r="C934" s="2">
        <v>45203.864583333343</v>
      </c>
      <c r="D934" t="s">
        <v>963</v>
      </c>
      <c r="E934">
        <v>100</v>
      </c>
      <c r="F934" t="s">
        <v>739</v>
      </c>
      <c r="G934" t="b">
        <f>LEFT(Logs_Reseau_Part[[#This Row],[Cell_ID]],1)="A"</f>
        <v>1</v>
      </c>
    </row>
    <row r="935" spans="1:7" x14ac:dyDescent="0.3">
      <c r="A935" t="s">
        <v>825</v>
      </c>
      <c r="B935" s="1">
        <v>45203.810416666667</v>
      </c>
      <c r="C935" s="2">
        <v>45203.810416666667</v>
      </c>
      <c r="D935" t="s">
        <v>829</v>
      </c>
      <c r="E935">
        <v>78</v>
      </c>
      <c r="F935" t="s">
        <v>739</v>
      </c>
      <c r="G935" t="b">
        <f>LEFT(Logs_Reseau_Part[[#This Row],[Cell_ID]],1)="A"</f>
        <v>1</v>
      </c>
    </row>
    <row r="936" spans="1:7" x14ac:dyDescent="0.3">
      <c r="A936" t="s">
        <v>781</v>
      </c>
      <c r="B936" s="1">
        <v>45203.760416666657</v>
      </c>
      <c r="C936" s="2">
        <v>45203.760416666657</v>
      </c>
      <c r="D936" t="s">
        <v>813</v>
      </c>
      <c r="E936">
        <v>18</v>
      </c>
      <c r="F936" t="s">
        <v>739</v>
      </c>
      <c r="G936" t="b">
        <f>LEFT(Logs_Reseau_Part[[#This Row],[Cell_ID]],1)="A"</f>
        <v>1</v>
      </c>
    </row>
    <row r="937" spans="1:7" x14ac:dyDescent="0.3">
      <c r="A937" t="s">
        <v>863</v>
      </c>
      <c r="B937" s="1">
        <v>45203.750694444447</v>
      </c>
      <c r="C937" s="2">
        <v>45203.750694444447</v>
      </c>
      <c r="D937" t="s">
        <v>888</v>
      </c>
      <c r="E937">
        <v>64</v>
      </c>
      <c r="F937" t="s">
        <v>739</v>
      </c>
      <c r="G937" t="b">
        <f>LEFT(Logs_Reseau_Part[[#This Row],[Cell_ID]],1)="A"</f>
        <v>1</v>
      </c>
    </row>
    <row r="938" spans="1:7" x14ac:dyDescent="0.3">
      <c r="A938" t="s">
        <v>904</v>
      </c>
      <c r="B938" s="1">
        <v>45203.718055555553</v>
      </c>
      <c r="C938" s="2">
        <v>45203.718055555553</v>
      </c>
      <c r="D938" t="s">
        <v>930</v>
      </c>
      <c r="E938">
        <v>114</v>
      </c>
      <c r="F938" t="s">
        <v>737</v>
      </c>
      <c r="G938" t="b">
        <f>LEFT(Logs_Reseau_Part[[#This Row],[Cell_ID]],1)="A"</f>
        <v>1</v>
      </c>
    </row>
    <row r="939" spans="1:7" x14ac:dyDescent="0.3">
      <c r="A939" t="s">
        <v>1221</v>
      </c>
      <c r="B939" s="1">
        <v>45203.71597222222</v>
      </c>
      <c r="C939" s="2">
        <v>45203.71597222222</v>
      </c>
      <c r="D939" t="s">
        <v>1236</v>
      </c>
      <c r="E939">
        <v>68</v>
      </c>
      <c r="F939" t="s">
        <v>737</v>
      </c>
      <c r="G939" t="b">
        <f>LEFT(Logs_Reseau_Part[[#This Row],[Cell_ID]],1)="A"</f>
        <v>1</v>
      </c>
    </row>
    <row r="940" spans="1:7" x14ac:dyDescent="0.3">
      <c r="A940" t="s">
        <v>1088</v>
      </c>
      <c r="B940" s="1">
        <v>45203.67291666667</v>
      </c>
      <c r="C940" s="2">
        <v>45203.67291666667</v>
      </c>
      <c r="D940" t="s">
        <v>1106</v>
      </c>
      <c r="E940">
        <v>82</v>
      </c>
      <c r="F940" t="s">
        <v>734</v>
      </c>
      <c r="G940" t="b">
        <f>LEFT(Logs_Reseau_Part[[#This Row],[Cell_ID]],1)="A"</f>
        <v>1</v>
      </c>
    </row>
    <row r="941" spans="1:7" x14ac:dyDescent="0.3">
      <c r="A941" t="s">
        <v>980</v>
      </c>
      <c r="B941" s="1">
        <v>45203.652083333327</v>
      </c>
      <c r="C941" s="2">
        <v>45203.652083333327</v>
      </c>
      <c r="D941" t="s">
        <v>985</v>
      </c>
      <c r="E941">
        <v>65</v>
      </c>
      <c r="F941" t="s">
        <v>739</v>
      </c>
      <c r="G941" t="b">
        <f>LEFT(Logs_Reseau_Part[[#This Row],[Cell_ID]],1)="A"</f>
        <v>1</v>
      </c>
    </row>
    <row r="942" spans="1:7" x14ac:dyDescent="0.3">
      <c r="A942" t="s">
        <v>1221</v>
      </c>
      <c r="B942" s="1">
        <v>45203.615277777782</v>
      </c>
      <c r="C942" s="2">
        <v>45203.615277777782</v>
      </c>
      <c r="D942" t="s">
        <v>1227</v>
      </c>
      <c r="E942">
        <v>41</v>
      </c>
      <c r="F942" t="s">
        <v>734</v>
      </c>
      <c r="G942" t="b">
        <f>LEFT(Logs_Reseau_Part[[#This Row],[Cell_ID]],1)="A"</f>
        <v>1</v>
      </c>
    </row>
    <row r="943" spans="1:7" x14ac:dyDescent="0.3">
      <c r="A943" t="s">
        <v>1384</v>
      </c>
      <c r="B943" s="1">
        <v>45203.603472222218</v>
      </c>
      <c r="C943" s="2">
        <v>45203.603472222218</v>
      </c>
      <c r="D943" t="s">
        <v>1385</v>
      </c>
      <c r="E943">
        <v>106</v>
      </c>
      <c r="F943" t="s">
        <v>737</v>
      </c>
      <c r="G943" t="b">
        <f>LEFT(Logs_Reseau_Part[[#This Row],[Cell_ID]],1)="A"</f>
        <v>1</v>
      </c>
    </row>
    <row r="944" spans="1:7" x14ac:dyDescent="0.3">
      <c r="A944" t="s">
        <v>1140</v>
      </c>
      <c r="B944" s="1">
        <v>45203.59652777778</v>
      </c>
      <c r="C944" s="2">
        <v>45203.59652777778</v>
      </c>
      <c r="D944" t="s">
        <v>1148</v>
      </c>
      <c r="E944">
        <v>13</v>
      </c>
      <c r="F944" t="s">
        <v>737</v>
      </c>
      <c r="G944" t="b">
        <f>LEFT(Logs_Reseau_Part[[#This Row],[Cell_ID]],1)="A"</f>
        <v>1</v>
      </c>
    </row>
    <row r="945" spans="1:7" x14ac:dyDescent="0.3">
      <c r="A945" t="s">
        <v>1363</v>
      </c>
      <c r="B945" s="1">
        <v>45203.570833333331</v>
      </c>
      <c r="C945" s="2">
        <v>45203.570833333331</v>
      </c>
      <c r="D945" t="s">
        <v>1381</v>
      </c>
      <c r="E945">
        <v>68</v>
      </c>
      <c r="F945" t="s">
        <v>739</v>
      </c>
      <c r="G945" t="b">
        <f>LEFT(Logs_Reseau_Part[[#This Row],[Cell_ID]],1)="A"</f>
        <v>1</v>
      </c>
    </row>
    <row r="946" spans="1:7" x14ac:dyDescent="0.3">
      <c r="A946" t="s">
        <v>1347</v>
      </c>
      <c r="B946" s="1">
        <v>45203.522222222222</v>
      </c>
      <c r="C946" s="2">
        <v>45203.522222222222</v>
      </c>
      <c r="D946" t="s">
        <v>1228</v>
      </c>
      <c r="E946">
        <v>11</v>
      </c>
      <c r="F946" t="s">
        <v>737</v>
      </c>
      <c r="G946" t="b">
        <f>LEFT(Logs_Reseau_Part[[#This Row],[Cell_ID]],1)="A"</f>
        <v>1</v>
      </c>
    </row>
    <row r="947" spans="1:7" x14ac:dyDescent="0.3">
      <c r="A947" t="s">
        <v>1363</v>
      </c>
      <c r="B947" s="1">
        <v>45203.517361111109</v>
      </c>
      <c r="C947" s="2">
        <v>45203.517361111109</v>
      </c>
      <c r="D947" t="s">
        <v>765</v>
      </c>
      <c r="E947">
        <v>26</v>
      </c>
      <c r="F947" t="s">
        <v>734</v>
      </c>
      <c r="G947" t="b">
        <f>LEFT(Logs_Reseau_Part[[#This Row],[Cell_ID]],1)="A"</f>
        <v>1</v>
      </c>
    </row>
    <row r="948" spans="1:7" x14ac:dyDescent="0.3">
      <c r="A948" t="s">
        <v>732</v>
      </c>
      <c r="B948" s="1">
        <v>45203.511805555558</v>
      </c>
      <c r="C948" s="2">
        <v>45203.511805555558</v>
      </c>
      <c r="D948" t="s">
        <v>762</v>
      </c>
      <c r="E948">
        <v>64</v>
      </c>
      <c r="F948" t="s">
        <v>739</v>
      </c>
      <c r="G948" t="b">
        <f>LEFT(Logs_Reseau_Part[[#This Row],[Cell_ID]],1)="A"</f>
        <v>1</v>
      </c>
    </row>
    <row r="949" spans="1:7" x14ac:dyDescent="0.3">
      <c r="A949" t="s">
        <v>1061</v>
      </c>
      <c r="B949" s="1">
        <v>45203.477083333331</v>
      </c>
      <c r="C949" s="2">
        <v>45203.477083333331</v>
      </c>
      <c r="D949" t="s">
        <v>1087</v>
      </c>
      <c r="E949">
        <v>93</v>
      </c>
      <c r="F949" t="s">
        <v>737</v>
      </c>
      <c r="G949" t="b">
        <f>LEFT(Logs_Reseau_Part[[#This Row],[Cell_ID]],1)="A"</f>
        <v>1</v>
      </c>
    </row>
    <row r="950" spans="1:7" x14ac:dyDescent="0.3">
      <c r="A950" t="s">
        <v>1026</v>
      </c>
      <c r="B950" s="1">
        <v>45203.447916666657</v>
      </c>
      <c r="C950" s="2">
        <v>45203.447916666657</v>
      </c>
      <c r="D950" t="s">
        <v>953</v>
      </c>
      <c r="E950">
        <v>84</v>
      </c>
      <c r="F950" t="s">
        <v>739</v>
      </c>
      <c r="G950" t="b">
        <f>LEFT(Logs_Reseau_Part[[#This Row],[Cell_ID]],1)="A"</f>
        <v>1</v>
      </c>
    </row>
    <row r="951" spans="1:7" x14ac:dyDescent="0.3">
      <c r="A951" t="s">
        <v>1310</v>
      </c>
      <c r="B951" s="1">
        <v>45203.425694444442</v>
      </c>
      <c r="C951" s="2">
        <v>45203.425694444442</v>
      </c>
      <c r="D951" t="s">
        <v>1328</v>
      </c>
      <c r="E951">
        <v>62</v>
      </c>
      <c r="F951" t="s">
        <v>734</v>
      </c>
      <c r="G951" t="b">
        <f>LEFT(Logs_Reseau_Part[[#This Row],[Cell_ID]],1)="A"</f>
        <v>1</v>
      </c>
    </row>
    <row r="952" spans="1:7" x14ac:dyDescent="0.3">
      <c r="A952" t="s">
        <v>1001</v>
      </c>
      <c r="B952" s="1">
        <v>45203.35833333333</v>
      </c>
      <c r="C952" s="2">
        <v>45203.35833333333</v>
      </c>
      <c r="D952" t="s">
        <v>1006</v>
      </c>
      <c r="E952">
        <v>5</v>
      </c>
      <c r="F952" t="s">
        <v>734</v>
      </c>
      <c r="G952" t="b">
        <f>LEFT(Logs_Reseau_Part[[#This Row],[Cell_ID]],1)="A"</f>
        <v>1</v>
      </c>
    </row>
    <row r="953" spans="1:7" x14ac:dyDescent="0.3">
      <c r="A953" t="s">
        <v>1263</v>
      </c>
      <c r="B953" s="1">
        <v>45203.324305555558</v>
      </c>
      <c r="C953" s="2">
        <v>45203.324305555558</v>
      </c>
      <c r="D953" t="s">
        <v>1279</v>
      </c>
      <c r="E953">
        <v>34</v>
      </c>
      <c r="F953" t="s">
        <v>734</v>
      </c>
      <c r="G953" t="b">
        <f>LEFT(Logs_Reseau_Part[[#This Row],[Cell_ID]],1)="A"</f>
        <v>1</v>
      </c>
    </row>
    <row r="954" spans="1:7" x14ac:dyDescent="0.3">
      <c r="A954" t="s">
        <v>1221</v>
      </c>
      <c r="B954" s="1">
        <v>45203.304861111108</v>
      </c>
      <c r="C954" s="2">
        <v>45203.304861111108</v>
      </c>
      <c r="D954" t="s">
        <v>1143</v>
      </c>
      <c r="E954">
        <v>106</v>
      </c>
      <c r="F954" t="s">
        <v>737</v>
      </c>
      <c r="G954" t="b">
        <f>LEFT(Logs_Reseau_Part[[#This Row],[Cell_ID]],1)="A"</f>
        <v>1</v>
      </c>
    </row>
    <row r="955" spans="1:7" x14ac:dyDescent="0.3">
      <c r="A955" t="s">
        <v>904</v>
      </c>
      <c r="B955" s="1">
        <v>45203.277777777781</v>
      </c>
      <c r="C955" s="2">
        <v>45203.277777777781</v>
      </c>
      <c r="D955" t="s">
        <v>920</v>
      </c>
      <c r="E955">
        <v>79</v>
      </c>
      <c r="F955" t="s">
        <v>737</v>
      </c>
      <c r="G955" t="b">
        <f>LEFT(Logs_Reseau_Part[[#This Row],[Cell_ID]],1)="A"</f>
        <v>1</v>
      </c>
    </row>
    <row r="956" spans="1:7" x14ac:dyDescent="0.3">
      <c r="A956" t="s">
        <v>1406</v>
      </c>
      <c r="B956" s="1">
        <v>45203.273611111108</v>
      </c>
      <c r="C956" s="2">
        <v>45203.273611111108</v>
      </c>
      <c r="D956" t="s">
        <v>779</v>
      </c>
      <c r="E956">
        <v>23</v>
      </c>
      <c r="F956" t="s">
        <v>739</v>
      </c>
      <c r="G956" t="b">
        <f>LEFT(Logs_Reseau_Part[[#This Row],[Cell_ID]],1)="A"</f>
        <v>1</v>
      </c>
    </row>
    <row r="957" spans="1:7" x14ac:dyDescent="0.3">
      <c r="A957" t="s">
        <v>1116</v>
      </c>
      <c r="B957" s="1">
        <v>45203.250694444447</v>
      </c>
      <c r="C957" s="2">
        <v>45203.250694444447</v>
      </c>
      <c r="D957" t="s">
        <v>865</v>
      </c>
      <c r="E957">
        <v>49</v>
      </c>
      <c r="F957" t="s">
        <v>737</v>
      </c>
      <c r="G957" t="b">
        <f>LEFT(Logs_Reseau_Part[[#This Row],[Cell_ID]],1)="A"</f>
        <v>1</v>
      </c>
    </row>
    <row r="958" spans="1:7" x14ac:dyDescent="0.3">
      <c r="A958" t="s">
        <v>1243</v>
      </c>
      <c r="B958" s="1">
        <v>45203.227777777778</v>
      </c>
      <c r="C958" s="2">
        <v>45203.227777777778</v>
      </c>
      <c r="D958" t="s">
        <v>960</v>
      </c>
      <c r="E958">
        <v>61</v>
      </c>
      <c r="F958" t="s">
        <v>737</v>
      </c>
      <c r="G958" t="b">
        <f>LEFT(Logs_Reseau_Part[[#This Row],[Cell_ID]],1)="A"</f>
        <v>1</v>
      </c>
    </row>
    <row r="959" spans="1:7" x14ac:dyDescent="0.3">
      <c r="A959" t="s">
        <v>1221</v>
      </c>
      <c r="B959" s="1">
        <v>45203.224305555559</v>
      </c>
      <c r="C959" s="2">
        <v>45203.224305555559</v>
      </c>
      <c r="D959" t="s">
        <v>845</v>
      </c>
      <c r="E959">
        <v>102</v>
      </c>
      <c r="F959" t="s">
        <v>739</v>
      </c>
      <c r="G959" t="b">
        <f>LEFT(Logs_Reseau_Part[[#This Row],[Cell_ID]],1)="A"</f>
        <v>1</v>
      </c>
    </row>
    <row r="960" spans="1:7" x14ac:dyDescent="0.3">
      <c r="A960" t="s">
        <v>863</v>
      </c>
      <c r="B960" s="1">
        <v>45203.22152777778</v>
      </c>
      <c r="C960" s="2">
        <v>45203.22152777778</v>
      </c>
      <c r="D960" t="s">
        <v>887</v>
      </c>
      <c r="E960">
        <v>101</v>
      </c>
      <c r="F960" t="s">
        <v>734</v>
      </c>
      <c r="G960" t="b">
        <f>LEFT(Logs_Reseau_Part[[#This Row],[Cell_ID]],1)="A"</f>
        <v>1</v>
      </c>
    </row>
    <row r="961" spans="1:7" x14ac:dyDescent="0.3">
      <c r="A961" t="s">
        <v>1140</v>
      </c>
      <c r="B961" s="1">
        <v>45203.213888888888</v>
      </c>
      <c r="C961" s="2">
        <v>45203.213888888888</v>
      </c>
      <c r="D961" t="s">
        <v>1142</v>
      </c>
      <c r="E961">
        <v>5</v>
      </c>
      <c r="F961" t="s">
        <v>734</v>
      </c>
      <c r="G961" t="b">
        <f>LEFT(Logs_Reseau_Part[[#This Row],[Cell_ID]],1)="A"</f>
        <v>1</v>
      </c>
    </row>
    <row r="962" spans="1:7" x14ac:dyDescent="0.3">
      <c r="A962" t="s">
        <v>781</v>
      </c>
      <c r="B962" s="1">
        <v>45203.059027777781</v>
      </c>
      <c r="C962" s="2">
        <v>45203.059027777781</v>
      </c>
      <c r="D962" t="s">
        <v>788</v>
      </c>
      <c r="E962">
        <v>49</v>
      </c>
      <c r="F962" t="s">
        <v>734</v>
      </c>
      <c r="G962" t="b">
        <f>LEFT(Logs_Reseau_Part[[#This Row],[Cell_ID]],1)="A"</f>
        <v>1</v>
      </c>
    </row>
    <row r="963" spans="1:7" x14ac:dyDescent="0.3">
      <c r="A963" t="s">
        <v>1363</v>
      </c>
      <c r="B963" s="1">
        <v>45203.041666666657</v>
      </c>
      <c r="C963" s="2">
        <v>45203.041666666657</v>
      </c>
      <c r="D963" t="s">
        <v>1055</v>
      </c>
      <c r="E963">
        <v>69</v>
      </c>
      <c r="F963" t="s">
        <v>739</v>
      </c>
      <c r="G963" t="b">
        <f>LEFT(Logs_Reseau_Part[[#This Row],[Cell_ID]],1)="A"</f>
        <v>1</v>
      </c>
    </row>
    <row r="964" spans="1:7" x14ac:dyDescent="0.3">
      <c r="A964" t="s">
        <v>732</v>
      </c>
      <c r="B964" s="1">
        <v>45203.032638888893</v>
      </c>
      <c r="C964" s="2">
        <v>45203.032638888893</v>
      </c>
      <c r="D964" t="s">
        <v>733</v>
      </c>
      <c r="E964">
        <v>73</v>
      </c>
      <c r="F964" t="s">
        <v>734</v>
      </c>
      <c r="G964" t="b">
        <f>LEFT(Logs_Reseau_Part[[#This Row],[Cell_ID]],1)="A"</f>
        <v>1</v>
      </c>
    </row>
    <row r="965" spans="1:7" x14ac:dyDescent="0.3">
      <c r="A965" t="s">
        <v>1263</v>
      </c>
      <c r="B965" s="1">
        <v>45203.03125</v>
      </c>
      <c r="C965" s="2">
        <v>45203.03125</v>
      </c>
      <c r="D965" t="s">
        <v>743</v>
      </c>
      <c r="E965">
        <v>36</v>
      </c>
      <c r="F965" t="s">
        <v>739</v>
      </c>
      <c r="G965" t="b">
        <f>LEFT(Logs_Reseau_Part[[#This Row],[Cell_ID]],1)="A"</f>
        <v>1</v>
      </c>
    </row>
    <row r="966" spans="1:7" x14ac:dyDescent="0.3">
      <c r="A966" t="s">
        <v>1243</v>
      </c>
      <c r="B966" s="1">
        <v>45203.009027777778</v>
      </c>
      <c r="C966" s="2">
        <v>45203.009027777778</v>
      </c>
      <c r="D966" t="s">
        <v>1218</v>
      </c>
      <c r="E966">
        <v>49</v>
      </c>
      <c r="F966" t="s">
        <v>734</v>
      </c>
      <c r="G966" t="b">
        <f>LEFT(Logs_Reseau_Part[[#This Row],[Cell_ID]],1)="A"</f>
        <v>1</v>
      </c>
    </row>
    <row r="967" spans="1:7" x14ac:dyDescent="0.3">
      <c r="A967" t="s">
        <v>1195</v>
      </c>
      <c r="B967" s="1">
        <v>45203.003472222219</v>
      </c>
      <c r="C967" s="2">
        <v>45203.003472222219</v>
      </c>
      <c r="D967" t="s">
        <v>1212</v>
      </c>
      <c r="E967">
        <v>46</v>
      </c>
      <c r="F967" t="s">
        <v>737</v>
      </c>
      <c r="G967" t="b">
        <f>LEFT(Logs_Reseau_Part[[#This Row],[Cell_ID]],1)="A"</f>
        <v>1</v>
      </c>
    </row>
    <row r="968" spans="1:7" x14ac:dyDescent="0.3">
      <c r="A968" t="s">
        <v>1088</v>
      </c>
      <c r="B968" s="1">
        <v>45202.912499999999</v>
      </c>
      <c r="C968" s="2">
        <v>45202.912499999999</v>
      </c>
      <c r="D968" t="s">
        <v>1089</v>
      </c>
      <c r="E968">
        <v>68</v>
      </c>
      <c r="F968" t="s">
        <v>739</v>
      </c>
      <c r="G968" t="b">
        <f>LEFT(Logs_Reseau_Part[[#This Row],[Cell_ID]],1)="A"</f>
        <v>1</v>
      </c>
    </row>
    <row r="969" spans="1:7" x14ac:dyDescent="0.3">
      <c r="A969" t="s">
        <v>1243</v>
      </c>
      <c r="B969" s="1">
        <v>45202.868055555547</v>
      </c>
      <c r="C969" s="2">
        <v>45202.868055555547</v>
      </c>
      <c r="D969" t="s">
        <v>942</v>
      </c>
      <c r="E969">
        <v>91</v>
      </c>
      <c r="F969" t="s">
        <v>737</v>
      </c>
      <c r="G969" t="b">
        <f>LEFT(Logs_Reseau_Part[[#This Row],[Cell_ID]],1)="A"</f>
        <v>1</v>
      </c>
    </row>
    <row r="970" spans="1:7" x14ac:dyDescent="0.3">
      <c r="A970" t="s">
        <v>863</v>
      </c>
      <c r="B970" s="1">
        <v>45202.852083333331</v>
      </c>
      <c r="C970" s="2">
        <v>45202.852083333331</v>
      </c>
      <c r="D970" t="s">
        <v>870</v>
      </c>
      <c r="E970">
        <v>83</v>
      </c>
      <c r="F970" t="s">
        <v>734</v>
      </c>
      <c r="G970" t="b">
        <f>LEFT(Logs_Reseau_Part[[#This Row],[Cell_ID]],1)="A"</f>
        <v>1</v>
      </c>
    </row>
    <row r="971" spans="1:7" x14ac:dyDescent="0.3">
      <c r="A971" t="s">
        <v>1195</v>
      </c>
      <c r="B971" s="1">
        <v>45202.804166666669</v>
      </c>
      <c r="C971" s="2">
        <v>45202.804166666669</v>
      </c>
      <c r="D971" t="s">
        <v>1204</v>
      </c>
      <c r="E971">
        <v>115</v>
      </c>
      <c r="F971" t="s">
        <v>737</v>
      </c>
      <c r="G971" t="b">
        <f>LEFT(Logs_Reseau_Part[[#This Row],[Cell_ID]],1)="A"</f>
        <v>1</v>
      </c>
    </row>
    <row r="972" spans="1:7" x14ac:dyDescent="0.3">
      <c r="A972" t="s">
        <v>863</v>
      </c>
      <c r="B972" s="1">
        <v>45202.780555555553</v>
      </c>
      <c r="C972" s="2">
        <v>45202.780555555553</v>
      </c>
      <c r="D972" t="s">
        <v>892</v>
      </c>
      <c r="E972">
        <v>53</v>
      </c>
      <c r="F972" t="s">
        <v>739</v>
      </c>
      <c r="G972" t="b">
        <f>LEFT(Logs_Reseau_Part[[#This Row],[Cell_ID]],1)="A"</f>
        <v>1</v>
      </c>
    </row>
    <row r="973" spans="1:7" x14ac:dyDescent="0.3">
      <c r="A973" t="s">
        <v>1026</v>
      </c>
      <c r="B973" s="1">
        <v>45202.779166666667</v>
      </c>
      <c r="C973" s="2">
        <v>45202.779166666667</v>
      </c>
      <c r="D973" t="s">
        <v>1045</v>
      </c>
      <c r="E973">
        <v>61</v>
      </c>
      <c r="F973" t="s">
        <v>739</v>
      </c>
      <c r="G973" t="b">
        <f>LEFT(Logs_Reseau_Part[[#This Row],[Cell_ID]],1)="A"</f>
        <v>1</v>
      </c>
    </row>
    <row r="974" spans="1:7" x14ac:dyDescent="0.3">
      <c r="A974" t="s">
        <v>1290</v>
      </c>
      <c r="B974" s="1">
        <v>45202.775694444441</v>
      </c>
      <c r="C974" s="2">
        <v>45202.775694444441</v>
      </c>
      <c r="D974" t="s">
        <v>1274</v>
      </c>
      <c r="E974">
        <v>72</v>
      </c>
      <c r="F974" t="s">
        <v>734</v>
      </c>
      <c r="G974" t="b">
        <f>LEFT(Logs_Reseau_Part[[#This Row],[Cell_ID]],1)="A"</f>
        <v>1</v>
      </c>
    </row>
    <row r="975" spans="1:7" x14ac:dyDescent="0.3">
      <c r="A975" t="s">
        <v>1310</v>
      </c>
      <c r="B975" s="1">
        <v>45202.747916666667</v>
      </c>
      <c r="C975" s="2">
        <v>45202.747916666667</v>
      </c>
      <c r="D975" t="s">
        <v>880</v>
      </c>
      <c r="E975">
        <v>28</v>
      </c>
      <c r="F975" t="s">
        <v>737</v>
      </c>
      <c r="G975" t="b">
        <f>LEFT(Logs_Reseau_Part[[#This Row],[Cell_ID]],1)="A"</f>
        <v>1</v>
      </c>
    </row>
    <row r="976" spans="1:7" x14ac:dyDescent="0.3">
      <c r="A976" t="s">
        <v>1263</v>
      </c>
      <c r="B976" s="1">
        <v>45202.728472222218</v>
      </c>
      <c r="C976" s="2">
        <v>45202.728472222218</v>
      </c>
      <c r="D976" t="s">
        <v>1213</v>
      </c>
      <c r="E976">
        <v>18</v>
      </c>
      <c r="F976" t="s">
        <v>734</v>
      </c>
      <c r="G976" t="b">
        <f>LEFT(Logs_Reseau_Part[[#This Row],[Cell_ID]],1)="A"</f>
        <v>1</v>
      </c>
    </row>
    <row r="977" spans="1:7" x14ac:dyDescent="0.3">
      <c r="A977" t="s">
        <v>980</v>
      </c>
      <c r="B977" s="1">
        <v>45202.717361111107</v>
      </c>
      <c r="C977" s="2">
        <v>45202.717361111107</v>
      </c>
      <c r="D977" t="s">
        <v>995</v>
      </c>
      <c r="E977">
        <v>115</v>
      </c>
      <c r="F977" t="s">
        <v>739</v>
      </c>
      <c r="G977" t="b">
        <f>LEFT(Logs_Reseau_Part[[#This Row],[Cell_ID]],1)="A"</f>
        <v>1</v>
      </c>
    </row>
    <row r="978" spans="1:7" x14ac:dyDescent="0.3">
      <c r="A978" t="s">
        <v>1195</v>
      </c>
      <c r="B978" s="1">
        <v>45202.699305555558</v>
      </c>
      <c r="C978" s="2">
        <v>45202.699305555558</v>
      </c>
      <c r="D978" t="s">
        <v>1198</v>
      </c>
      <c r="E978">
        <v>63</v>
      </c>
      <c r="F978" t="s">
        <v>737</v>
      </c>
      <c r="G978" t="b">
        <f>LEFT(Logs_Reseau_Part[[#This Row],[Cell_ID]],1)="A"</f>
        <v>1</v>
      </c>
    </row>
    <row r="979" spans="1:7" x14ac:dyDescent="0.3">
      <c r="A979" t="s">
        <v>1026</v>
      </c>
      <c r="B979" s="1">
        <v>45202.695138888892</v>
      </c>
      <c r="C979" s="2">
        <v>45202.695138888892</v>
      </c>
      <c r="D979" t="s">
        <v>1036</v>
      </c>
      <c r="E979">
        <v>21</v>
      </c>
      <c r="F979" t="s">
        <v>734</v>
      </c>
      <c r="G979" t="b">
        <f>LEFT(Logs_Reseau_Part[[#This Row],[Cell_ID]],1)="A"</f>
        <v>1</v>
      </c>
    </row>
    <row r="980" spans="1:7" x14ac:dyDescent="0.3">
      <c r="A980" t="s">
        <v>1088</v>
      </c>
      <c r="B980" s="1">
        <v>45202.695138888892</v>
      </c>
      <c r="C980" s="2">
        <v>45202.695138888892</v>
      </c>
      <c r="D980" t="s">
        <v>1110</v>
      </c>
      <c r="E980">
        <v>49</v>
      </c>
      <c r="F980" t="s">
        <v>737</v>
      </c>
      <c r="G980" t="b">
        <f>LEFT(Logs_Reseau_Part[[#This Row],[Cell_ID]],1)="A"</f>
        <v>1</v>
      </c>
    </row>
    <row r="981" spans="1:7" x14ac:dyDescent="0.3">
      <c r="A981" t="s">
        <v>1140</v>
      </c>
      <c r="B981" s="1">
        <v>45202.686111111107</v>
      </c>
      <c r="C981" s="2">
        <v>45202.686111111107</v>
      </c>
      <c r="D981" t="s">
        <v>1161</v>
      </c>
      <c r="E981">
        <v>53</v>
      </c>
      <c r="F981" t="s">
        <v>734</v>
      </c>
      <c r="G981" t="b">
        <f>LEFT(Logs_Reseau_Part[[#This Row],[Cell_ID]],1)="A"</f>
        <v>1</v>
      </c>
    </row>
    <row r="982" spans="1:7" x14ac:dyDescent="0.3">
      <c r="A982" t="s">
        <v>941</v>
      </c>
      <c r="B982" s="1">
        <v>45202.659722222219</v>
      </c>
      <c r="C982" s="2">
        <v>45202.659722222219</v>
      </c>
      <c r="D982" t="s">
        <v>953</v>
      </c>
      <c r="E982">
        <v>42</v>
      </c>
      <c r="F982" t="s">
        <v>734</v>
      </c>
      <c r="G982" t="b">
        <f>LEFT(Logs_Reseau_Part[[#This Row],[Cell_ID]],1)="A"</f>
        <v>1</v>
      </c>
    </row>
    <row r="983" spans="1:7" x14ac:dyDescent="0.3">
      <c r="A983" t="s">
        <v>1263</v>
      </c>
      <c r="B983" s="1">
        <v>45202.645138888889</v>
      </c>
      <c r="C983" s="2">
        <v>45202.645138888889</v>
      </c>
      <c r="D983" t="s">
        <v>1274</v>
      </c>
      <c r="E983">
        <v>106</v>
      </c>
      <c r="F983" t="s">
        <v>739</v>
      </c>
      <c r="G983" t="b">
        <f>LEFT(Logs_Reseau_Part[[#This Row],[Cell_ID]],1)="A"</f>
        <v>1</v>
      </c>
    </row>
    <row r="984" spans="1:7" x14ac:dyDescent="0.3">
      <c r="A984" t="s">
        <v>1140</v>
      </c>
      <c r="B984" s="1">
        <v>45202.529166666667</v>
      </c>
      <c r="C984" s="2">
        <v>45202.529166666667</v>
      </c>
      <c r="D984" t="s">
        <v>1141</v>
      </c>
      <c r="E984">
        <v>109</v>
      </c>
      <c r="F984" t="s">
        <v>737</v>
      </c>
      <c r="G984" t="b">
        <f>LEFT(Logs_Reseau_Part[[#This Row],[Cell_ID]],1)="A"</f>
        <v>1</v>
      </c>
    </row>
    <row r="985" spans="1:7" x14ac:dyDescent="0.3">
      <c r="A985" t="s">
        <v>1406</v>
      </c>
      <c r="B985" s="1">
        <v>45202.499305555553</v>
      </c>
      <c r="C985" s="2">
        <v>45202.499305555553</v>
      </c>
      <c r="D985" t="s">
        <v>1280</v>
      </c>
      <c r="E985">
        <v>57</v>
      </c>
      <c r="F985" t="s">
        <v>737</v>
      </c>
      <c r="G985" t="b">
        <f>LEFT(Logs_Reseau_Part[[#This Row],[Cell_ID]],1)="A"</f>
        <v>1</v>
      </c>
    </row>
    <row r="986" spans="1:7" x14ac:dyDescent="0.3">
      <c r="A986" t="s">
        <v>1243</v>
      </c>
      <c r="B986" s="1">
        <v>45202.487500000003</v>
      </c>
      <c r="C986" s="2">
        <v>45202.487500000003</v>
      </c>
      <c r="D986" t="s">
        <v>1254</v>
      </c>
      <c r="E986">
        <v>22</v>
      </c>
      <c r="F986" t="s">
        <v>739</v>
      </c>
      <c r="G986" t="b">
        <f>LEFT(Logs_Reseau_Part[[#This Row],[Cell_ID]],1)="A"</f>
        <v>1</v>
      </c>
    </row>
    <row r="987" spans="1:7" x14ac:dyDescent="0.3">
      <c r="A987" t="s">
        <v>1195</v>
      </c>
      <c r="B987" s="1">
        <v>45202.469444444447</v>
      </c>
      <c r="C987" s="2">
        <v>45202.469444444447</v>
      </c>
      <c r="D987" t="s">
        <v>1220</v>
      </c>
      <c r="E987">
        <v>78</v>
      </c>
      <c r="F987" t="s">
        <v>734</v>
      </c>
      <c r="G987" t="b">
        <f>LEFT(Logs_Reseau_Part[[#This Row],[Cell_ID]],1)="A"</f>
        <v>1</v>
      </c>
    </row>
    <row r="988" spans="1:7" x14ac:dyDescent="0.3">
      <c r="A988" t="s">
        <v>941</v>
      </c>
      <c r="B988" s="1">
        <v>45202.45416666667</v>
      </c>
      <c r="C988" s="2">
        <v>45202.45416666667</v>
      </c>
      <c r="D988" t="s">
        <v>956</v>
      </c>
      <c r="E988">
        <v>89</v>
      </c>
      <c r="F988" t="s">
        <v>739</v>
      </c>
      <c r="G988" t="b">
        <f>LEFT(Logs_Reseau_Part[[#This Row],[Cell_ID]],1)="A"</f>
        <v>1</v>
      </c>
    </row>
    <row r="989" spans="1:7" x14ac:dyDescent="0.3">
      <c r="A989" t="s">
        <v>1195</v>
      </c>
      <c r="B989" s="1">
        <v>45202.443055555559</v>
      </c>
      <c r="C989" s="2">
        <v>45202.443055555559</v>
      </c>
      <c r="D989" t="s">
        <v>1112</v>
      </c>
      <c r="E989">
        <v>43</v>
      </c>
      <c r="F989" t="s">
        <v>734</v>
      </c>
      <c r="G989" t="b">
        <f>LEFT(Logs_Reseau_Part[[#This Row],[Cell_ID]],1)="A"</f>
        <v>1</v>
      </c>
    </row>
    <row r="990" spans="1:7" x14ac:dyDescent="0.3">
      <c r="A990" t="s">
        <v>1310</v>
      </c>
      <c r="B990" s="1">
        <v>45202.443055555559</v>
      </c>
      <c r="C990" s="2">
        <v>45202.443055555559</v>
      </c>
      <c r="D990" t="s">
        <v>1324</v>
      </c>
      <c r="E990">
        <v>52</v>
      </c>
      <c r="F990" t="s">
        <v>737</v>
      </c>
      <c r="G990" t="b">
        <f>LEFT(Logs_Reseau_Part[[#This Row],[Cell_ID]],1)="A"</f>
        <v>1</v>
      </c>
    </row>
    <row r="991" spans="1:7" x14ac:dyDescent="0.3">
      <c r="A991" t="s">
        <v>1026</v>
      </c>
      <c r="B991" s="1">
        <v>45202.42083333333</v>
      </c>
      <c r="C991" s="2">
        <v>45202.42083333333</v>
      </c>
      <c r="D991" t="s">
        <v>759</v>
      </c>
      <c r="E991">
        <v>84</v>
      </c>
      <c r="F991" t="s">
        <v>734</v>
      </c>
      <c r="G991" t="b">
        <f>LEFT(Logs_Reseau_Part[[#This Row],[Cell_ID]],1)="A"</f>
        <v>1</v>
      </c>
    </row>
    <row r="992" spans="1:7" x14ac:dyDescent="0.3">
      <c r="A992" t="s">
        <v>1026</v>
      </c>
      <c r="B992" s="1">
        <v>45202.412499999999</v>
      </c>
      <c r="C992" s="2">
        <v>45202.412499999999</v>
      </c>
      <c r="D992" t="s">
        <v>1059</v>
      </c>
      <c r="E992">
        <v>35</v>
      </c>
      <c r="F992" t="s">
        <v>734</v>
      </c>
      <c r="G992" t="b">
        <f>LEFT(Logs_Reseau_Part[[#This Row],[Cell_ID]],1)="A"</f>
        <v>1</v>
      </c>
    </row>
    <row r="993" spans="1:7" x14ac:dyDescent="0.3">
      <c r="A993" t="s">
        <v>1221</v>
      </c>
      <c r="B993" s="1">
        <v>45202.376388888893</v>
      </c>
      <c r="C993" s="2">
        <v>45202.376388888893</v>
      </c>
      <c r="D993" t="s">
        <v>1228</v>
      </c>
      <c r="E993">
        <v>28</v>
      </c>
      <c r="F993" t="s">
        <v>734</v>
      </c>
      <c r="G993" t="b">
        <f>LEFT(Logs_Reseau_Part[[#This Row],[Cell_ID]],1)="A"</f>
        <v>1</v>
      </c>
    </row>
    <row r="994" spans="1:7" x14ac:dyDescent="0.3">
      <c r="A994" t="s">
        <v>1363</v>
      </c>
      <c r="B994" s="1">
        <v>45202.361805555563</v>
      </c>
      <c r="C994" s="2">
        <v>45202.361805555563</v>
      </c>
      <c r="D994" t="s">
        <v>1379</v>
      </c>
      <c r="E994">
        <v>15</v>
      </c>
      <c r="F994" t="s">
        <v>737</v>
      </c>
      <c r="G994" t="b">
        <f>LEFT(Logs_Reseau_Part[[#This Row],[Cell_ID]],1)="A"</f>
        <v>1</v>
      </c>
    </row>
    <row r="995" spans="1:7" x14ac:dyDescent="0.3">
      <c r="A995" t="s">
        <v>1290</v>
      </c>
      <c r="B995" s="1">
        <v>45202.35</v>
      </c>
      <c r="C995" s="2">
        <v>45202.35</v>
      </c>
      <c r="D995" t="s">
        <v>1304</v>
      </c>
      <c r="E995">
        <v>78</v>
      </c>
      <c r="F995" t="s">
        <v>734</v>
      </c>
      <c r="G995" t="b">
        <f>LEFT(Logs_Reseau_Part[[#This Row],[Cell_ID]],1)="A"</f>
        <v>1</v>
      </c>
    </row>
    <row r="996" spans="1:7" x14ac:dyDescent="0.3">
      <c r="A996" t="s">
        <v>941</v>
      </c>
      <c r="B996" s="1">
        <v>45202.319444444453</v>
      </c>
      <c r="C996" s="2">
        <v>45202.319444444453</v>
      </c>
      <c r="D996" t="s">
        <v>960</v>
      </c>
      <c r="E996">
        <v>115</v>
      </c>
      <c r="F996" t="s">
        <v>737</v>
      </c>
      <c r="G996" t="b">
        <f>LEFT(Logs_Reseau_Part[[#This Row],[Cell_ID]],1)="A"</f>
        <v>1</v>
      </c>
    </row>
    <row r="997" spans="1:7" x14ac:dyDescent="0.3">
      <c r="A997" t="s">
        <v>732</v>
      </c>
      <c r="B997" s="1">
        <v>45202.290277777778</v>
      </c>
      <c r="C997" s="2">
        <v>45202.290277777778</v>
      </c>
      <c r="D997" t="s">
        <v>775</v>
      </c>
      <c r="E997">
        <v>103</v>
      </c>
      <c r="F997" t="s">
        <v>737</v>
      </c>
      <c r="G997" t="b">
        <f>LEFT(Logs_Reseau_Part[[#This Row],[Cell_ID]],1)="A"</f>
        <v>1</v>
      </c>
    </row>
    <row r="998" spans="1:7" x14ac:dyDescent="0.3">
      <c r="A998" t="s">
        <v>1290</v>
      </c>
      <c r="B998" s="1">
        <v>45202.289583333331</v>
      </c>
      <c r="C998" s="2">
        <v>45202.289583333331</v>
      </c>
      <c r="D998" t="s">
        <v>872</v>
      </c>
      <c r="E998">
        <v>103</v>
      </c>
      <c r="F998" t="s">
        <v>737</v>
      </c>
      <c r="G998" t="b">
        <f>LEFT(Logs_Reseau_Part[[#This Row],[Cell_ID]],1)="A"</f>
        <v>1</v>
      </c>
    </row>
    <row r="999" spans="1:7" x14ac:dyDescent="0.3">
      <c r="A999" t="s">
        <v>732</v>
      </c>
      <c r="B999" s="1">
        <v>45202.259722222218</v>
      </c>
      <c r="C999" s="2">
        <v>45202.259722222218</v>
      </c>
      <c r="D999" t="s">
        <v>742</v>
      </c>
      <c r="E999">
        <v>79</v>
      </c>
      <c r="F999" t="s">
        <v>734</v>
      </c>
      <c r="G999" t="b">
        <f>LEFT(Logs_Reseau_Part[[#This Row],[Cell_ID]],1)="A"</f>
        <v>1</v>
      </c>
    </row>
    <row r="1000" spans="1:7" x14ac:dyDescent="0.3">
      <c r="A1000" t="s">
        <v>904</v>
      </c>
      <c r="B1000" s="1">
        <v>45202.21875</v>
      </c>
      <c r="C1000" s="2">
        <v>45202.21875</v>
      </c>
      <c r="D1000" t="s">
        <v>922</v>
      </c>
      <c r="E1000">
        <v>86</v>
      </c>
      <c r="F1000" t="s">
        <v>739</v>
      </c>
      <c r="G1000" t="b">
        <f>LEFT(Logs_Reseau_Part[[#This Row],[Cell_ID]],1)="A"</f>
        <v>1</v>
      </c>
    </row>
    <row r="1001" spans="1:7" x14ac:dyDescent="0.3">
      <c r="A1001" t="s">
        <v>1061</v>
      </c>
      <c r="B1001" s="1">
        <v>45202.161805555559</v>
      </c>
      <c r="C1001" s="2">
        <v>45202.161805555559</v>
      </c>
      <c r="D1001" t="s">
        <v>1064</v>
      </c>
      <c r="E1001">
        <v>61</v>
      </c>
      <c r="F1001" t="s">
        <v>737</v>
      </c>
      <c r="G1001" t="b">
        <f>LEFT(Logs_Reseau_Part[[#This Row],[Cell_ID]],1)="A"</f>
        <v>1</v>
      </c>
    </row>
    <row r="1002" spans="1:7" x14ac:dyDescent="0.3">
      <c r="A1002" t="s">
        <v>1195</v>
      </c>
      <c r="B1002" s="1">
        <v>45202.095138888893</v>
      </c>
      <c r="C1002" s="2">
        <v>45202.095138888893</v>
      </c>
      <c r="D1002" t="s">
        <v>1206</v>
      </c>
      <c r="E1002">
        <v>61</v>
      </c>
      <c r="F1002" t="s">
        <v>737</v>
      </c>
      <c r="G1002" t="b">
        <f>LEFT(Logs_Reseau_Part[[#This Row],[Cell_ID]],1)="A"</f>
        <v>1</v>
      </c>
    </row>
    <row r="1003" spans="1:7" x14ac:dyDescent="0.3">
      <c r="A1003" t="s">
        <v>1347</v>
      </c>
      <c r="B1003" s="1">
        <v>45202.054861111108</v>
      </c>
      <c r="C1003" s="2">
        <v>45202.054861111108</v>
      </c>
      <c r="D1003" t="s">
        <v>1008</v>
      </c>
      <c r="E1003">
        <v>11</v>
      </c>
      <c r="F1003" t="s">
        <v>734</v>
      </c>
      <c r="G1003" t="b">
        <f>LEFT(Logs_Reseau_Part[[#This Row],[Cell_ID]],1)="A"</f>
        <v>1</v>
      </c>
    </row>
    <row r="1004" spans="1:7" x14ac:dyDescent="0.3">
      <c r="A1004" t="s">
        <v>1001</v>
      </c>
      <c r="B1004" s="1">
        <v>45202.04791666667</v>
      </c>
      <c r="C1004" s="2">
        <v>45202.04791666667</v>
      </c>
      <c r="D1004" t="s">
        <v>1019</v>
      </c>
      <c r="E1004">
        <v>115</v>
      </c>
      <c r="F1004" t="s">
        <v>737</v>
      </c>
      <c r="G1004" t="b">
        <f>LEFT(Logs_Reseau_Part[[#This Row],[Cell_ID]],1)="A"</f>
        <v>1</v>
      </c>
    </row>
    <row r="1005" spans="1:7" x14ac:dyDescent="0.3">
      <c r="A1005" t="s">
        <v>1406</v>
      </c>
      <c r="B1005" s="1">
        <v>45201.95416666667</v>
      </c>
      <c r="C1005" s="2">
        <v>45201.95416666667</v>
      </c>
      <c r="D1005" t="s">
        <v>1411</v>
      </c>
      <c r="E1005">
        <v>32</v>
      </c>
      <c r="F1005" t="s">
        <v>737</v>
      </c>
      <c r="G1005" t="b">
        <f>LEFT(Logs_Reseau_Part[[#This Row],[Cell_ID]],1)="A"</f>
        <v>1</v>
      </c>
    </row>
    <row r="1006" spans="1:7" x14ac:dyDescent="0.3">
      <c r="A1006" t="s">
        <v>1116</v>
      </c>
      <c r="B1006" s="1">
        <v>45201.922222222223</v>
      </c>
      <c r="C1006" s="2">
        <v>45201.922222222223</v>
      </c>
      <c r="D1006" t="s">
        <v>924</v>
      </c>
      <c r="E1006">
        <v>32</v>
      </c>
      <c r="F1006" t="s">
        <v>734</v>
      </c>
      <c r="G1006" t="b">
        <f>LEFT(Logs_Reseau_Part[[#This Row],[Cell_ID]],1)="A"</f>
        <v>1</v>
      </c>
    </row>
    <row r="1007" spans="1:7" x14ac:dyDescent="0.3">
      <c r="A1007" t="s">
        <v>732</v>
      </c>
      <c r="B1007" s="1">
        <v>45201.884722222218</v>
      </c>
      <c r="C1007" s="2">
        <v>45201.884722222218</v>
      </c>
      <c r="D1007" t="s">
        <v>760</v>
      </c>
      <c r="E1007">
        <v>54</v>
      </c>
      <c r="F1007" t="s">
        <v>739</v>
      </c>
      <c r="G1007" t="b">
        <f>LEFT(Logs_Reseau_Part[[#This Row],[Cell_ID]],1)="A"</f>
        <v>1</v>
      </c>
    </row>
    <row r="1008" spans="1:7" x14ac:dyDescent="0.3">
      <c r="A1008" t="s">
        <v>1384</v>
      </c>
      <c r="B1008" s="1">
        <v>45201.877083333333</v>
      </c>
      <c r="C1008" s="2">
        <v>45201.877083333333</v>
      </c>
      <c r="D1008" t="s">
        <v>902</v>
      </c>
      <c r="E1008">
        <v>82</v>
      </c>
      <c r="F1008" t="s">
        <v>739</v>
      </c>
      <c r="G1008" t="b">
        <f>LEFT(Logs_Reseau_Part[[#This Row],[Cell_ID]],1)="A"</f>
        <v>1</v>
      </c>
    </row>
    <row r="1009" spans="1:7" x14ac:dyDescent="0.3">
      <c r="A1009" t="s">
        <v>1088</v>
      </c>
      <c r="B1009" s="1">
        <v>45201.867361111108</v>
      </c>
      <c r="C1009" s="2">
        <v>45201.867361111108</v>
      </c>
      <c r="D1009" t="s">
        <v>1005</v>
      </c>
      <c r="E1009">
        <v>18</v>
      </c>
      <c r="F1009" t="s">
        <v>734</v>
      </c>
      <c r="G1009" t="b">
        <f>LEFT(Logs_Reseau_Part[[#This Row],[Cell_ID]],1)="A"</f>
        <v>1</v>
      </c>
    </row>
    <row r="1010" spans="1:7" x14ac:dyDescent="0.3">
      <c r="A1010" t="s">
        <v>1347</v>
      </c>
      <c r="B1010" s="1">
        <v>45201.859027777777</v>
      </c>
      <c r="C1010" s="2">
        <v>45201.859027777777</v>
      </c>
      <c r="D1010" t="s">
        <v>1350</v>
      </c>
      <c r="E1010">
        <v>26</v>
      </c>
      <c r="F1010" t="s">
        <v>737</v>
      </c>
      <c r="G1010" t="b">
        <f>LEFT(Logs_Reseau_Part[[#This Row],[Cell_ID]],1)="A"</f>
        <v>1</v>
      </c>
    </row>
    <row r="1011" spans="1:7" x14ac:dyDescent="0.3">
      <c r="A1011" t="s">
        <v>781</v>
      </c>
      <c r="B1011" s="1">
        <v>45201.856944444437</v>
      </c>
      <c r="C1011" s="2">
        <v>45201.856944444437</v>
      </c>
      <c r="D1011" t="s">
        <v>795</v>
      </c>
      <c r="E1011">
        <v>61</v>
      </c>
      <c r="F1011" t="s">
        <v>734</v>
      </c>
      <c r="G1011" t="b">
        <f>LEFT(Logs_Reseau_Part[[#This Row],[Cell_ID]],1)="A"</f>
        <v>1</v>
      </c>
    </row>
    <row r="1012" spans="1:7" x14ac:dyDescent="0.3">
      <c r="A1012" t="s">
        <v>904</v>
      </c>
      <c r="B1012" s="1">
        <v>45201.824305555558</v>
      </c>
      <c r="C1012" s="2">
        <v>45201.824305555558</v>
      </c>
      <c r="D1012" t="s">
        <v>919</v>
      </c>
      <c r="E1012">
        <v>28</v>
      </c>
      <c r="F1012" t="s">
        <v>737</v>
      </c>
      <c r="G1012" t="b">
        <f>LEFT(Logs_Reseau_Part[[#This Row],[Cell_ID]],1)="A"</f>
        <v>1</v>
      </c>
    </row>
    <row r="1013" spans="1:7" x14ac:dyDescent="0.3">
      <c r="A1013" t="s">
        <v>1116</v>
      </c>
      <c r="B1013" s="1">
        <v>45201.780555555553</v>
      </c>
      <c r="C1013" s="2">
        <v>45201.780555555553</v>
      </c>
      <c r="D1013" t="s">
        <v>1129</v>
      </c>
      <c r="E1013">
        <v>15</v>
      </c>
      <c r="F1013" t="s">
        <v>734</v>
      </c>
      <c r="G1013" t="b">
        <f>LEFT(Logs_Reseau_Part[[#This Row],[Cell_ID]],1)="A"</f>
        <v>1</v>
      </c>
    </row>
    <row r="1014" spans="1:7" x14ac:dyDescent="0.3">
      <c r="A1014" t="s">
        <v>781</v>
      </c>
      <c r="B1014" s="1">
        <v>45201.770833333343</v>
      </c>
      <c r="C1014" s="2">
        <v>45201.770833333343</v>
      </c>
      <c r="D1014" t="s">
        <v>770</v>
      </c>
      <c r="E1014">
        <v>18</v>
      </c>
      <c r="F1014" t="s">
        <v>739</v>
      </c>
      <c r="G1014" t="b">
        <f>LEFT(Logs_Reseau_Part[[#This Row],[Cell_ID]],1)="A"</f>
        <v>1</v>
      </c>
    </row>
    <row r="1015" spans="1:7" x14ac:dyDescent="0.3">
      <c r="A1015" t="s">
        <v>1167</v>
      </c>
      <c r="B1015" s="1">
        <v>45201.726388888892</v>
      </c>
      <c r="C1015" s="2">
        <v>45201.726388888892</v>
      </c>
      <c r="D1015" t="s">
        <v>1173</v>
      </c>
      <c r="E1015">
        <v>97</v>
      </c>
      <c r="F1015" t="s">
        <v>737</v>
      </c>
      <c r="G1015" t="b">
        <f>LEFT(Logs_Reseau_Part[[#This Row],[Cell_ID]],1)="A"</f>
        <v>1</v>
      </c>
    </row>
    <row r="1016" spans="1:7" x14ac:dyDescent="0.3">
      <c r="A1016" t="s">
        <v>781</v>
      </c>
      <c r="B1016" s="1">
        <v>45201.670138888891</v>
      </c>
      <c r="C1016" s="2">
        <v>45201.670138888891</v>
      </c>
      <c r="D1016" t="s">
        <v>809</v>
      </c>
      <c r="E1016">
        <v>22</v>
      </c>
      <c r="F1016" t="s">
        <v>739</v>
      </c>
      <c r="G1016" t="b">
        <f>LEFT(Logs_Reseau_Part[[#This Row],[Cell_ID]],1)="A"</f>
        <v>1</v>
      </c>
    </row>
    <row r="1017" spans="1:7" x14ac:dyDescent="0.3">
      <c r="A1017" t="s">
        <v>1263</v>
      </c>
      <c r="B1017" s="1">
        <v>45201.640972222223</v>
      </c>
      <c r="C1017" s="2">
        <v>45201.640972222223</v>
      </c>
      <c r="D1017" t="s">
        <v>785</v>
      </c>
      <c r="E1017">
        <v>86</v>
      </c>
      <c r="F1017" t="s">
        <v>739</v>
      </c>
      <c r="G1017" t="b">
        <f>LEFT(Logs_Reseau_Part[[#This Row],[Cell_ID]],1)="A"</f>
        <v>1</v>
      </c>
    </row>
    <row r="1018" spans="1:7" x14ac:dyDescent="0.3">
      <c r="A1018" t="s">
        <v>1026</v>
      </c>
      <c r="B1018" s="1">
        <v>45201.623611111107</v>
      </c>
      <c r="C1018" s="2">
        <v>45201.623611111107</v>
      </c>
      <c r="D1018" t="s">
        <v>1032</v>
      </c>
      <c r="E1018">
        <v>9</v>
      </c>
      <c r="F1018" t="s">
        <v>734</v>
      </c>
      <c r="G1018" t="b">
        <f>LEFT(Logs_Reseau_Part[[#This Row],[Cell_ID]],1)="A"</f>
        <v>1</v>
      </c>
    </row>
    <row r="1019" spans="1:7" x14ac:dyDescent="0.3">
      <c r="A1019" t="s">
        <v>1290</v>
      </c>
      <c r="B1019" s="1">
        <v>45201.585416666669</v>
      </c>
      <c r="C1019" s="2">
        <v>45201.585416666669</v>
      </c>
      <c r="D1019" t="s">
        <v>1298</v>
      </c>
      <c r="E1019">
        <v>17</v>
      </c>
      <c r="F1019" t="s">
        <v>739</v>
      </c>
      <c r="G1019" t="b">
        <f>LEFT(Logs_Reseau_Part[[#This Row],[Cell_ID]],1)="A"</f>
        <v>1</v>
      </c>
    </row>
    <row r="1020" spans="1:7" x14ac:dyDescent="0.3">
      <c r="A1020" t="s">
        <v>904</v>
      </c>
      <c r="B1020" s="1">
        <v>45201.574305555558</v>
      </c>
      <c r="C1020" s="2">
        <v>45201.574305555558</v>
      </c>
      <c r="D1020" t="s">
        <v>755</v>
      </c>
      <c r="E1020">
        <v>75</v>
      </c>
      <c r="F1020" t="s">
        <v>739</v>
      </c>
      <c r="G1020" t="b">
        <f>LEFT(Logs_Reseau_Part[[#This Row],[Cell_ID]],1)="A"</f>
        <v>1</v>
      </c>
    </row>
    <row r="1021" spans="1:7" x14ac:dyDescent="0.3">
      <c r="A1021" t="s">
        <v>1243</v>
      </c>
      <c r="B1021" s="1">
        <v>45201.527777777781</v>
      </c>
      <c r="C1021" s="2">
        <v>45201.527777777781</v>
      </c>
      <c r="D1021" t="s">
        <v>1255</v>
      </c>
      <c r="E1021">
        <v>20</v>
      </c>
      <c r="F1021" t="s">
        <v>737</v>
      </c>
      <c r="G1021" t="b">
        <f>LEFT(Logs_Reseau_Part[[#This Row],[Cell_ID]],1)="A"</f>
        <v>1</v>
      </c>
    </row>
    <row r="1022" spans="1:7" x14ac:dyDescent="0.3">
      <c r="A1022" t="s">
        <v>1310</v>
      </c>
      <c r="B1022" s="1">
        <v>45201.519444444442</v>
      </c>
      <c r="C1022" s="2">
        <v>45201.519444444442</v>
      </c>
      <c r="D1022" t="s">
        <v>851</v>
      </c>
      <c r="E1022">
        <v>113</v>
      </c>
      <c r="F1022" t="s">
        <v>739</v>
      </c>
      <c r="G1022" t="b">
        <f>LEFT(Logs_Reseau_Part[[#This Row],[Cell_ID]],1)="A"</f>
        <v>1</v>
      </c>
    </row>
    <row r="1023" spans="1:7" x14ac:dyDescent="0.3">
      <c r="A1023" t="s">
        <v>980</v>
      </c>
      <c r="B1023" s="1">
        <v>45201.511805555558</v>
      </c>
      <c r="C1023" s="2">
        <v>45201.511805555558</v>
      </c>
      <c r="D1023" t="s">
        <v>858</v>
      </c>
      <c r="E1023">
        <v>62</v>
      </c>
      <c r="F1023" t="s">
        <v>737</v>
      </c>
      <c r="G1023" t="b">
        <f>LEFT(Logs_Reseau_Part[[#This Row],[Cell_ID]],1)="A"</f>
        <v>1</v>
      </c>
    </row>
    <row r="1024" spans="1:7" x14ac:dyDescent="0.3">
      <c r="A1024" t="s">
        <v>863</v>
      </c>
      <c r="B1024" s="1">
        <v>45201.468055555553</v>
      </c>
      <c r="C1024" s="2">
        <v>45201.468055555553</v>
      </c>
      <c r="D1024" t="s">
        <v>878</v>
      </c>
      <c r="E1024">
        <v>80</v>
      </c>
      <c r="F1024" t="s">
        <v>734</v>
      </c>
      <c r="G1024" t="b">
        <f>LEFT(Logs_Reseau_Part[[#This Row],[Cell_ID]],1)="A"</f>
        <v>1</v>
      </c>
    </row>
    <row r="1025" spans="1:7" x14ac:dyDescent="0.3">
      <c r="A1025" t="s">
        <v>1061</v>
      </c>
      <c r="B1025" s="1">
        <v>45201.457638888889</v>
      </c>
      <c r="C1025" s="2">
        <v>45201.457638888889</v>
      </c>
      <c r="D1025" t="s">
        <v>1083</v>
      </c>
      <c r="E1025">
        <v>42</v>
      </c>
      <c r="F1025" t="s">
        <v>739</v>
      </c>
      <c r="G1025" t="b">
        <f>LEFT(Logs_Reseau_Part[[#This Row],[Cell_ID]],1)="A"</f>
        <v>1</v>
      </c>
    </row>
    <row r="1026" spans="1:7" x14ac:dyDescent="0.3">
      <c r="A1026" t="s">
        <v>980</v>
      </c>
      <c r="B1026" s="1">
        <v>45201.427083333343</v>
      </c>
      <c r="C1026" s="2">
        <v>45201.427083333343</v>
      </c>
      <c r="D1026" t="s">
        <v>982</v>
      </c>
      <c r="E1026">
        <v>98</v>
      </c>
      <c r="F1026" t="s">
        <v>737</v>
      </c>
      <c r="G1026" t="b">
        <f>LEFT(Logs_Reseau_Part[[#This Row],[Cell_ID]],1)="A"</f>
        <v>1</v>
      </c>
    </row>
    <row r="1027" spans="1:7" x14ac:dyDescent="0.3">
      <c r="A1027" t="s">
        <v>863</v>
      </c>
      <c r="B1027" s="1">
        <v>45201.35</v>
      </c>
      <c r="C1027" s="2">
        <v>45201.35</v>
      </c>
      <c r="D1027" t="s">
        <v>872</v>
      </c>
      <c r="E1027">
        <v>73</v>
      </c>
      <c r="F1027" t="s">
        <v>734</v>
      </c>
      <c r="G1027" t="b">
        <f>LEFT(Logs_Reseau_Part[[#This Row],[Cell_ID]],1)="A"</f>
        <v>1</v>
      </c>
    </row>
    <row r="1028" spans="1:7" x14ac:dyDescent="0.3">
      <c r="A1028" t="s">
        <v>825</v>
      </c>
      <c r="B1028" s="1">
        <v>45201.3125</v>
      </c>
      <c r="C1028" s="2">
        <v>45201.3125</v>
      </c>
      <c r="D1028" t="s">
        <v>861</v>
      </c>
      <c r="E1028">
        <v>90</v>
      </c>
      <c r="F1028" t="s">
        <v>737</v>
      </c>
      <c r="G1028" t="b">
        <f>LEFT(Logs_Reseau_Part[[#This Row],[Cell_ID]],1)="A"</f>
        <v>1</v>
      </c>
    </row>
    <row r="1029" spans="1:7" x14ac:dyDescent="0.3">
      <c r="A1029" t="s">
        <v>1061</v>
      </c>
      <c r="B1029" s="1">
        <v>45201.30972222222</v>
      </c>
      <c r="C1029" s="2">
        <v>45201.30972222222</v>
      </c>
      <c r="D1029" t="s">
        <v>1062</v>
      </c>
      <c r="E1029">
        <v>56</v>
      </c>
      <c r="F1029" t="s">
        <v>739</v>
      </c>
      <c r="G1029" t="b">
        <f>LEFT(Logs_Reseau_Part[[#This Row],[Cell_ID]],1)="A"</f>
        <v>1</v>
      </c>
    </row>
    <row r="1030" spans="1:7" x14ac:dyDescent="0.3">
      <c r="A1030" t="s">
        <v>1332</v>
      </c>
      <c r="B1030" s="1">
        <v>45201.293055555558</v>
      </c>
      <c r="C1030" s="2">
        <v>45201.293055555558</v>
      </c>
      <c r="D1030" t="s">
        <v>1289</v>
      </c>
      <c r="E1030">
        <v>95</v>
      </c>
      <c r="F1030" t="s">
        <v>739</v>
      </c>
      <c r="G1030" t="b">
        <f>LEFT(Logs_Reseau_Part[[#This Row],[Cell_ID]],1)="A"</f>
        <v>1</v>
      </c>
    </row>
    <row r="1031" spans="1:7" x14ac:dyDescent="0.3">
      <c r="A1031" t="s">
        <v>1332</v>
      </c>
      <c r="B1031" s="1">
        <v>45201.245833333327</v>
      </c>
      <c r="C1031" s="2">
        <v>45201.245833333327</v>
      </c>
      <c r="D1031" t="s">
        <v>1070</v>
      </c>
      <c r="E1031">
        <v>91</v>
      </c>
      <c r="F1031" t="s">
        <v>737</v>
      </c>
      <c r="G1031" t="b">
        <f>LEFT(Logs_Reseau_Part[[#This Row],[Cell_ID]],1)="A"</f>
        <v>1</v>
      </c>
    </row>
    <row r="1032" spans="1:7" x14ac:dyDescent="0.3">
      <c r="A1032" t="s">
        <v>904</v>
      </c>
      <c r="B1032" s="1">
        <v>45201.243055555547</v>
      </c>
      <c r="C1032" s="2">
        <v>45201.243055555547</v>
      </c>
      <c r="D1032" t="s">
        <v>933</v>
      </c>
      <c r="E1032">
        <v>57</v>
      </c>
      <c r="F1032" t="s">
        <v>739</v>
      </c>
      <c r="G1032" t="b">
        <f>LEFT(Logs_Reseau_Part[[#This Row],[Cell_ID]],1)="A"</f>
        <v>1</v>
      </c>
    </row>
    <row r="1033" spans="1:7" x14ac:dyDescent="0.3">
      <c r="A1033" t="s">
        <v>1406</v>
      </c>
      <c r="B1033" s="1">
        <v>45201.243055555547</v>
      </c>
      <c r="C1033" s="2">
        <v>45201.243055555547</v>
      </c>
      <c r="D1033" t="s">
        <v>1036</v>
      </c>
      <c r="E1033">
        <v>73</v>
      </c>
      <c r="F1033" t="s">
        <v>737</v>
      </c>
      <c r="G1033" t="b">
        <f>LEFT(Logs_Reseau_Part[[#This Row],[Cell_ID]],1)="A"</f>
        <v>1</v>
      </c>
    </row>
    <row r="1034" spans="1:7" x14ac:dyDescent="0.3">
      <c r="A1034" t="s">
        <v>781</v>
      </c>
      <c r="B1034" s="1">
        <v>45201.224999999999</v>
      </c>
      <c r="C1034" s="2">
        <v>45201.224999999999</v>
      </c>
      <c r="D1034" t="s">
        <v>799</v>
      </c>
      <c r="E1034">
        <v>83</v>
      </c>
      <c r="F1034" t="s">
        <v>737</v>
      </c>
      <c r="G1034" t="b">
        <f>LEFT(Logs_Reseau_Part[[#This Row],[Cell_ID]],1)="A"</f>
        <v>1</v>
      </c>
    </row>
    <row r="1035" spans="1:7" x14ac:dyDescent="0.3">
      <c r="A1035" t="s">
        <v>1363</v>
      </c>
      <c r="B1035" s="1">
        <v>45201.212500000001</v>
      </c>
      <c r="C1035" s="2">
        <v>45201.212500000001</v>
      </c>
      <c r="D1035" t="s">
        <v>799</v>
      </c>
      <c r="E1035">
        <v>40</v>
      </c>
      <c r="F1035" t="s">
        <v>737</v>
      </c>
      <c r="G1035" t="b">
        <f>LEFT(Logs_Reseau_Part[[#This Row],[Cell_ID]],1)="A"</f>
        <v>1</v>
      </c>
    </row>
    <row r="1036" spans="1:7" x14ac:dyDescent="0.3">
      <c r="A1036" t="s">
        <v>1406</v>
      </c>
      <c r="B1036" s="1">
        <v>45201.086111111108</v>
      </c>
      <c r="C1036" s="2">
        <v>45201.086111111108</v>
      </c>
      <c r="D1036" t="s">
        <v>929</v>
      </c>
      <c r="E1036">
        <v>55</v>
      </c>
      <c r="F1036" t="s">
        <v>734</v>
      </c>
      <c r="G1036" t="b">
        <f>LEFT(Logs_Reseau_Part[[#This Row],[Cell_ID]],1)="A"</f>
        <v>1</v>
      </c>
    </row>
    <row r="1037" spans="1:7" x14ac:dyDescent="0.3">
      <c r="A1037" t="s">
        <v>1026</v>
      </c>
      <c r="B1037" s="1">
        <v>45201.057638888888</v>
      </c>
      <c r="C1037" s="2">
        <v>45201.057638888888</v>
      </c>
      <c r="D1037" t="s">
        <v>1027</v>
      </c>
      <c r="E1037">
        <v>103</v>
      </c>
      <c r="F1037" t="s">
        <v>734</v>
      </c>
      <c r="G1037" t="b">
        <f>LEFT(Logs_Reseau_Part[[#This Row],[Cell_ID]],1)="A"</f>
        <v>1</v>
      </c>
    </row>
    <row r="1038" spans="1:7" x14ac:dyDescent="0.3">
      <c r="A1038" t="s">
        <v>1243</v>
      </c>
      <c r="B1038" s="1">
        <v>45201.04583333333</v>
      </c>
      <c r="C1038" s="2">
        <v>45201.04583333333</v>
      </c>
      <c r="D1038" t="s">
        <v>962</v>
      </c>
      <c r="E1038">
        <v>83</v>
      </c>
      <c r="F1038" t="s">
        <v>737</v>
      </c>
      <c r="G1038" t="b">
        <f>LEFT(Logs_Reseau_Part[[#This Row],[Cell_ID]],1)="A"</f>
        <v>1</v>
      </c>
    </row>
    <row r="1039" spans="1:7" x14ac:dyDescent="0.3">
      <c r="A1039" t="s">
        <v>1116</v>
      </c>
      <c r="B1039" s="1">
        <v>45201.043055555558</v>
      </c>
      <c r="C1039" s="2">
        <v>45201.043055555558</v>
      </c>
      <c r="D1039" t="s">
        <v>1091</v>
      </c>
      <c r="E1039">
        <v>45</v>
      </c>
      <c r="F1039" t="s">
        <v>737</v>
      </c>
      <c r="G1039" t="b">
        <f>LEFT(Logs_Reseau_Part[[#This Row],[Cell_ID]],1)="A"</f>
        <v>1</v>
      </c>
    </row>
    <row r="1040" spans="1:7" x14ac:dyDescent="0.3">
      <c r="A1040" t="s">
        <v>1001</v>
      </c>
      <c r="B1040" s="1">
        <v>45201.009027777778</v>
      </c>
      <c r="C1040" s="2">
        <v>45201.009027777778</v>
      </c>
      <c r="D1040" t="s">
        <v>992</v>
      </c>
      <c r="E1040">
        <v>56</v>
      </c>
      <c r="F1040" t="s">
        <v>737</v>
      </c>
      <c r="G1040" t="b">
        <f>LEFT(Logs_Reseau_Part[[#This Row],[Cell_ID]],1)="A"</f>
        <v>1</v>
      </c>
    </row>
    <row r="1041" spans="1:7" x14ac:dyDescent="0.3">
      <c r="A1041" t="s">
        <v>1221</v>
      </c>
      <c r="B1041" s="1">
        <v>45200.98541666667</v>
      </c>
      <c r="C1041" s="2">
        <v>45200.98541666667</v>
      </c>
      <c r="D1041" t="s">
        <v>924</v>
      </c>
      <c r="E1041">
        <v>29</v>
      </c>
      <c r="F1041" t="s">
        <v>739</v>
      </c>
      <c r="G1041" t="b">
        <f>LEFT(Logs_Reseau_Part[[#This Row],[Cell_ID]],1)="A"</f>
        <v>1</v>
      </c>
    </row>
    <row r="1042" spans="1:7" x14ac:dyDescent="0.3">
      <c r="A1042" t="s">
        <v>863</v>
      </c>
      <c r="B1042" s="1">
        <v>45200.981944444437</v>
      </c>
      <c r="C1042" s="2">
        <v>45200.981944444437</v>
      </c>
      <c r="D1042" t="s">
        <v>768</v>
      </c>
      <c r="E1042">
        <v>98</v>
      </c>
      <c r="F1042" t="s">
        <v>734</v>
      </c>
      <c r="G1042" t="b">
        <f>LEFT(Logs_Reseau_Part[[#This Row],[Cell_ID]],1)="A"</f>
        <v>1</v>
      </c>
    </row>
    <row r="1043" spans="1:7" x14ac:dyDescent="0.3">
      <c r="A1043" t="s">
        <v>1243</v>
      </c>
      <c r="B1043" s="1">
        <v>45200.931250000001</v>
      </c>
      <c r="C1043" s="2">
        <v>45200.931250000001</v>
      </c>
      <c r="D1043" t="s">
        <v>1041</v>
      </c>
      <c r="E1043">
        <v>22</v>
      </c>
      <c r="F1043" t="s">
        <v>734</v>
      </c>
      <c r="G1043" t="b">
        <f>LEFT(Logs_Reseau_Part[[#This Row],[Cell_ID]],1)="A"</f>
        <v>1</v>
      </c>
    </row>
    <row r="1044" spans="1:7" x14ac:dyDescent="0.3">
      <c r="A1044" t="s">
        <v>1221</v>
      </c>
      <c r="B1044" s="1">
        <v>45200.925694444442</v>
      </c>
      <c r="C1044" s="2">
        <v>45200.925694444442</v>
      </c>
      <c r="D1044" t="s">
        <v>741</v>
      </c>
      <c r="E1044">
        <v>76</v>
      </c>
      <c r="F1044" t="s">
        <v>739</v>
      </c>
      <c r="G1044" t="b">
        <f>LEFT(Logs_Reseau_Part[[#This Row],[Cell_ID]],1)="A"</f>
        <v>1</v>
      </c>
    </row>
    <row r="1045" spans="1:7" x14ac:dyDescent="0.3">
      <c r="A1045" t="s">
        <v>1363</v>
      </c>
      <c r="B1045" s="1">
        <v>45200.913888888892</v>
      </c>
      <c r="C1045" s="2">
        <v>45200.913888888892</v>
      </c>
      <c r="D1045" t="s">
        <v>1375</v>
      </c>
      <c r="E1045">
        <v>87</v>
      </c>
      <c r="F1045" t="s">
        <v>734</v>
      </c>
      <c r="G1045" t="b">
        <f>LEFT(Logs_Reseau_Part[[#This Row],[Cell_ID]],1)="A"</f>
        <v>1</v>
      </c>
    </row>
    <row r="1046" spans="1:7" x14ac:dyDescent="0.3">
      <c r="A1046" t="s">
        <v>1406</v>
      </c>
      <c r="B1046" s="1">
        <v>45200.836111111108</v>
      </c>
      <c r="C1046" s="2">
        <v>45200.836111111108</v>
      </c>
      <c r="D1046" t="s">
        <v>1000</v>
      </c>
      <c r="E1046">
        <v>6</v>
      </c>
      <c r="F1046" t="s">
        <v>734</v>
      </c>
      <c r="G1046" t="b">
        <f>LEFT(Logs_Reseau_Part[[#This Row],[Cell_ID]],1)="A"</f>
        <v>1</v>
      </c>
    </row>
    <row r="1047" spans="1:7" x14ac:dyDescent="0.3">
      <c r="A1047" t="s">
        <v>1001</v>
      </c>
      <c r="B1047" s="1">
        <v>45200.832638888889</v>
      </c>
      <c r="C1047" s="2">
        <v>45200.832638888889</v>
      </c>
      <c r="D1047" t="s">
        <v>1009</v>
      </c>
      <c r="E1047">
        <v>27</v>
      </c>
      <c r="F1047" t="s">
        <v>734</v>
      </c>
      <c r="G1047" t="b">
        <f>LEFT(Logs_Reseau_Part[[#This Row],[Cell_ID]],1)="A"</f>
        <v>1</v>
      </c>
    </row>
    <row r="1048" spans="1:7" x14ac:dyDescent="0.3">
      <c r="A1048" t="s">
        <v>1384</v>
      </c>
      <c r="B1048" s="1">
        <v>45200.67083333333</v>
      </c>
      <c r="C1048" s="2">
        <v>45200.67083333333</v>
      </c>
      <c r="D1048" t="s">
        <v>1397</v>
      </c>
      <c r="E1048">
        <v>74</v>
      </c>
      <c r="F1048" t="s">
        <v>739</v>
      </c>
      <c r="G1048" t="b">
        <f>LEFT(Logs_Reseau_Part[[#This Row],[Cell_ID]],1)="A"</f>
        <v>1</v>
      </c>
    </row>
    <row r="1049" spans="1:7" x14ac:dyDescent="0.3">
      <c r="A1049" t="s">
        <v>1221</v>
      </c>
      <c r="B1049" s="1">
        <v>45200.629166666673</v>
      </c>
      <c r="C1049" s="2">
        <v>45200.629166666673</v>
      </c>
      <c r="D1049" t="s">
        <v>1023</v>
      </c>
      <c r="E1049">
        <v>73</v>
      </c>
      <c r="F1049" t="s">
        <v>737</v>
      </c>
      <c r="G1049" t="b">
        <f>LEFT(Logs_Reseau_Part[[#This Row],[Cell_ID]],1)="A"</f>
        <v>1</v>
      </c>
    </row>
    <row r="1050" spans="1:7" x14ac:dyDescent="0.3">
      <c r="A1050" t="s">
        <v>1347</v>
      </c>
      <c r="B1050" s="1">
        <v>45200.595138888893</v>
      </c>
      <c r="C1050" s="2">
        <v>45200.595138888893</v>
      </c>
      <c r="D1050" t="s">
        <v>1247</v>
      </c>
      <c r="E1050">
        <v>69</v>
      </c>
      <c r="F1050" t="s">
        <v>739</v>
      </c>
      <c r="G1050" t="b">
        <f>LEFT(Logs_Reseau_Part[[#This Row],[Cell_ID]],1)="A"</f>
        <v>1</v>
      </c>
    </row>
    <row r="1051" spans="1:7" x14ac:dyDescent="0.3">
      <c r="A1051" t="s">
        <v>1310</v>
      </c>
      <c r="B1051" s="1">
        <v>45200.570138888892</v>
      </c>
      <c r="C1051" s="2">
        <v>45200.570138888892</v>
      </c>
      <c r="D1051" t="s">
        <v>1325</v>
      </c>
      <c r="E1051">
        <v>53</v>
      </c>
      <c r="F1051" t="s">
        <v>739</v>
      </c>
      <c r="G1051" t="b">
        <f>LEFT(Logs_Reseau_Part[[#This Row],[Cell_ID]],1)="A"</f>
        <v>1</v>
      </c>
    </row>
    <row r="1052" spans="1:7" x14ac:dyDescent="0.3">
      <c r="A1052" t="s">
        <v>1290</v>
      </c>
      <c r="B1052" s="1">
        <v>45200.534722222219</v>
      </c>
      <c r="C1052" s="2">
        <v>45200.534722222219</v>
      </c>
      <c r="D1052" t="s">
        <v>1306</v>
      </c>
      <c r="E1052">
        <v>50</v>
      </c>
      <c r="F1052" t="s">
        <v>739</v>
      </c>
      <c r="G1052" t="b">
        <f>LEFT(Logs_Reseau_Part[[#This Row],[Cell_ID]],1)="A"</f>
        <v>1</v>
      </c>
    </row>
    <row r="1053" spans="1:7" x14ac:dyDescent="0.3">
      <c r="A1053" t="s">
        <v>863</v>
      </c>
      <c r="B1053" s="1">
        <v>45200.525694444441</v>
      </c>
      <c r="C1053" s="2">
        <v>45200.525694444441</v>
      </c>
      <c r="D1053" t="s">
        <v>868</v>
      </c>
      <c r="E1053">
        <v>88</v>
      </c>
      <c r="F1053" t="s">
        <v>739</v>
      </c>
      <c r="G1053" t="b">
        <f>LEFT(Logs_Reseau_Part[[#This Row],[Cell_ID]],1)="A"</f>
        <v>1</v>
      </c>
    </row>
    <row r="1054" spans="1:7" x14ac:dyDescent="0.3">
      <c r="A1054" t="s">
        <v>863</v>
      </c>
      <c r="B1054" s="1">
        <v>45200.51458333333</v>
      </c>
      <c r="C1054" s="2">
        <v>45200.51458333333</v>
      </c>
      <c r="D1054" t="s">
        <v>864</v>
      </c>
      <c r="E1054">
        <v>24</v>
      </c>
      <c r="F1054" t="s">
        <v>739</v>
      </c>
      <c r="G1054" t="b">
        <f>LEFT(Logs_Reseau_Part[[#This Row],[Cell_ID]],1)="A"</f>
        <v>1</v>
      </c>
    </row>
    <row r="1055" spans="1:7" x14ac:dyDescent="0.3">
      <c r="A1055" t="s">
        <v>781</v>
      </c>
      <c r="B1055" s="1">
        <v>45200.511111111111</v>
      </c>
      <c r="C1055" s="2">
        <v>45200.511111111111</v>
      </c>
      <c r="D1055" t="s">
        <v>800</v>
      </c>
      <c r="E1055">
        <v>108</v>
      </c>
      <c r="F1055" t="s">
        <v>739</v>
      </c>
      <c r="G1055" t="b">
        <f>LEFT(Logs_Reseau_Part[[#This Row],[Cell_ID]],1)="A"</f>
        <v>1</v>
      </c>
    </row>
    <row r="1056" spans="1:7" x14ac:dyDescent="0.3">
      <c r="A1056" t="s">
        <v>1140</v>
      </c>
      <c r="B1056" s="1">
        <v>45200.511111111111</v>
      </c>
      <c r="C1056" s="2">
        <v>45200.511111111111</v>
      </c>
      <c r="D1056" t="s">
        <v>1166</v>
      </c>
      <c r="E1056">
        <v>22</v>
      </c>
      <c r="F1056" t="s">
        <v>739</v>
      </c>
      <c r="G1056" t="b">
        <f>LEFT(Logs_Reseau_Part[[#This Row],[Cell_ID]],1)="A"</f>
        <v>1</v>
      </c>
    </row>
    <row r="1057" spans="1:7" x14ac:dyDescent="0.3">
      <c r="A1057" t="s">
        <v>1384</v>
      </c>
      <c r="B1057" s="1">
        <v>45200.506249999999</v>
      </c>
      <c r="C1057" s="2">
        <v>45200.506249999999</v>
      </c>
      <c r="D1057" t="s">
        <v>1229</v>
      </c>
      <c r="E1057">
        <v>99</v>
      </c>
      <c r="F1057" t="s">
        <v>734</v>
      </c>
      <c r="G1057" t="b">
        <f>LEFT(Logs_Reseau_Part[[#This Row],[Cell_ID]],1)="A"</f>
        <v>1</v>
      </c>
    </row>
    <row r="1058" spans="1:7" x14ac:dyDescent="0.3">
      <c r="A1058" t="s">
        <v>980</v>
      </c>
      <c r="B1058" s="1">
        <v>45200.493055555547</v>
      </c>
      <c r="C1058" s="2">
        <v>45200.493055555547</v>
      </c>
      <c r="D1058" t="s">
        <v>999</v>
      </c>
      <c r="E1058">
        <v>113</v>
      </c>
      <c r="F1058" t="s">
        <v>734</v>
      </c>
      <c r="G1058" t="b">
        <f>LEFT(Logs_Reseau_Part[[#This Row],[Cell_ID]],1)="A"</f>
        <v>1</v>
      </c>
    </row>
    <row r="1059" spans="1:7" x14ac:dyDescent="0.3">
      <c r="A1059" t="s">
        <v>1263</v>
      </c>
      <c r="B1059" s="1">
        <v>45200.466666666667</v>
      </c>
      <c r="C1059" s="2">
        <v>45200.466666666667</v>
      </c>
      <c r="D1059" t="s">
        <v>1289</v>
      </c>
      <c r="E1059">
        <v>31</v>
      </c>
      <c r="F1059" t="s">
        <v>737</v>
      </c>
      <c r="G1059" t="b">
        <f>LEFT(Logs_Reseau_Part[[#This Row],[Cell_ID]],1)="A"</f>
        <v>1</v>
      </c>
    </row>
    <row r="1060" spans="1:7" x14ac:dyDescent="0.3">
      <c r="A1060" t="s">
        <v>1221</v>
      </c>
      <c r="B1060" s="1">
        <v>45200.445138888892</v>
      </c>
      <c r="C1060" s="2">
        <v>45200.445138888892</v>
      </c>
      <c r="D1060" t="s">
        <v>1229</v>
      </c>
      <c r="E1060">
        <v>112</v>
      </c>
      <c r="F1060" t="s">
        <v>734</v>
      </c>
      <c r="G1060" t="b">
        <f>LEFT(Logs_Reseau_Part[[#This Row],[Cell_ID]],1)="A"</f>
        <v>1</v>
      </c>
    </row>
    <row r="1061" spans="1:7" x14ac:dyDescent="0.3">
      <c r="A1061" t="s">
        <v>1310</v>
      </c>
      <c r="B1061" s="1">
        <v>45200.427777777782</v>
      </c>
      <c r="C1061" s="2">
        <v>45200.427777777782</v>
      </c>
      <c r="D1061" t="s">
        <v>846</v>
      </c>
      <c r="E1061">
        <v>16</v>
      </c>
      <c r="F1061" t="s">
        <v>737</v>
      </c>
      <c r="G1061" t="b">
        <f>LEFT(Logs_Reseau_Part[[#This Row],[Cell_ID]],1)="A"</f>
        <v>1</v>
      </c>
    </row>
    <row r="1062" spans="1:7" x14ac:dyDescent="0.3">
      <c r="A1062" t="s">
        <v>1195</v>
      </c>
      <c r="B1062" s="1">
        <v>45200.394444444442</v>
      </c>
      <c r="C1062" s="2">
        <v>45200.394444444442</v>
      </c>
      <c r="D1062" t="s">
        <v>1036</v>
      </c>
      <c r="E1062">
        <v>115</v>
      </c>
      <c r="F1062" t="s">
        <v>737</v>
      </c>
      <c r="G1062" t="b">
        <f>LEFT(Logs_Reseau_Part[[#This Row],[Cell_ID]],1)="A"</f>
        <v>1</v>
      </c>
    </row>
    <row r="1063" spans="1:7" x14ac:dyDescent="0.3">
      <c r="A1063" t="s">
        <v>1310</v>
      </c>
      <c r="B1063" s="1">
        <v>45200.342361111107</v>
      </c>
      <c r="C1063" s="2">
        <v>45200.342361111107</v>
      </c>
      <c r="D1063" t="s">
        <v>1016</v>
      </c>
      <c r="E1063">
        <v>86</v>
      </c>
      <c r="F1063" t="s">
        <v>737</v>
      </c>
      <c r="G1063" t="b">
        <f>LEFT(Logs_Reseau_Part[[#This Row],[Cell_ID]],1)="A"</f>
        <v>1</v>
      </c>
    </row>
    <row r="1064" spans="1:7" x14ac:dyDescent="0.3">
      <c r="A1064" t="s">
        <v>1332</v>
      </c>
      <c r="B1064" s="1">
        <v>45200.307638888888</v>
      </c>
      <c r="C1064" s="2">
        <v>45200.307638888888</v>
      </c>
      <c r="D1064" t="s">
        <v>752</v>
      </c>
      <c r="E1064">
        <v>114</v>
      </c>
      <c r="F1064" t="s">
        <v>737</v>
      </c>
      <c r="G1064" t="b">
        <f>LEFT(Logs_Reseau_Part[[#This Row],[Cell_ID]],1)="A"</f>
        <v>1</v>
      </c>
    </row>
    <row r="1065" spans="1:7" x14ac:dyDescent="0.3">
      <c r="A1065" t="s">
        <v>1001</v>
      </c>
      <c r="B1065" s="1">
        <v>45200.220138888893</v>
      </c>
      <c r="C1065" s="2">
        <v>45200.220138888893</v>
      </c>
      <c r="D1065" t="s">
        <v>1010</v>
      </c>
      <c r="E1065">
        <v>53</v>
      </c>
      <c r="F1065" t="s">
        <v>737</v>
      </c>
      <c r="G1065" t="b">
        <f>LEFT(Logs_Reseau_Part[[#This Row],[Cell_ID]],1)="A"</f>
        <v>1</v>
      </c>
    </row>
    <row r="1066" spans="1:7" x14ac:dyDescent="0.3">
      <c r="A1066" t="s">
        <v>1001</v>
      </c>
      <c r="B1066" s="1">
        <v>45200.115972222222</v>
      </c>
      <c r="C1066" s="2">
        <v>45200.115972222222</v>
      </c>
      <c r="D1066" t="s">
        <v>749</v>
      </c>
      <c r="E1066">
        <v>111</v>
      </c>
      <c r="F1066" t="s">
        <v>739</v>
      </c>
      <c r="G1066" t="b">
        <f>LEFT(Logs_Reseau_Part[[#This Row],[Cell_ID]],1)="A"</f>
        <v>1</v>
      </c>
    </row>
    <row r="1067" spans="1:7" x14ac:dyDescent="0.3">
      <c r="A1067" t="s">
        <v>904</v>
      </c>
      <c r="B1067" s="1">
        <v>45200.093055555553</v>
      </c>
      <c r="C1067" s="2">
        <v>45200.093055555553</v>
      </c>
      <c r="D1067" t="s">
        <v>776</v>
      </c>
      <c r="E1067">
        <v>63</v>
      </c>
      <c r="F1067" t="s">
        <v>737</v>
      </c>
      <c r="G1067" t="b">
        <f>LEFT(Logs_Reseau_Part[[#This Row],[Cell_ID]],1)="A"</f>
        <v>1</v>
      </c>
    </row>
    <row r="1068" spans="1:7" x14ac:dyDescent="0.3">
      <c r="A1068" t="s">
        <v>1290</v>
      </c>
      <c r="B1068" s="1">
        <v>45200.078472222223</v>
      </c>
      <c r="C1068" s="2">
        <v>45200.078472222223</v>
      </c>
      <c r="D1068" t="s">
        <v>972</v>
      </c>
      <c r="E1068">
        <v>40</v>
      </c>
      <c r="F1068" t="s">
        <v>734</v>
      </c>
      <c r="G1068" t="b">
        <f>LEFT(Logs_Reseau_Part[[#This Row],[Cell_ID]],1)="A"</f>
        <v>1</v>
      </c>
    </row>
    <row r="1069" spans="1:7" x14ac:dyDescent="0.3">
      <c r="A1069" t="s">
        <v>1347</v>
      </c>
      <c r="B1069" s="1">
        <v>45200.06527777778</v>
      </c>
      <c r="C1069" s="2">
        <v>45200.06527777778</v>
      </c>
      <c r="D1069" t="s">
        <v>923</v>
      </c>
      <c r="E1069">
        <v>9</v>
      </c>
      <c r="F1069" t="s">
        <v>734</v>
      </c>
      <c r="G1069" t="b">
        <f>LEFT(Logs_Reseau_Part[[#This Row],[Cell_ID]],1)="A"</f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FA95-ECF0-4C8B-A8E4-96871D14B8E4}">
  <dimension ref="A1:I418"/>
  <sheetViews>
    <sheetView topLeftCell="C1" workbookViewId="0">
      <selection activeCell="K13" sqref="K13"/>
    </sheetView>
  </sheetViews>
  <sheetFormatPr baseColWidth="10" defaultRowHeight="14.4" x14ac:dyDescent="0.3"/>
  <cols>
    <col min="1" max="1" width="33" bestFit="1" customWidth="1"/>
    <col min="2" max="2" width="18.6640625" customWidth="1"/>
    <col min="3" max="3" width="21.6640625" customWidth="1"/>
    <col min="4" max="4" width="15.44140625" customWidth="1"/>
    <col min="5" max="5" width="16.44140625" customWidth="1"/>
    <col min="6" max="6" width="16.6640625" customWidth="1"/>
    <col min="7" max="7" width="18.6640625" customWidth="1"/>
    <col min="8" max="8" width="19" customWidth="1"/>
    <col min="9" max="9" width="14.5546875" customWidth="1"/>
  </cols>
  <sheetData>
    <row r="1" spans="1:9" x14ac:dyDescent="0.3">
      <c r="A1" t="s">
        <v>0</v>
      </c>
      <c r="B1" t="s">
        <v>1419</v>
      </c>
      <c r="C1" t="s">
        <v>1420</v>
      </c>
      <c r="D1" t="s">
        <v>1421</v>
      </c>
      <c r="E1" t="s">
        <v>1422</v>
      </c>
      <c r="F1" t="s">
        <v>1423</v>
      </c>
      <c r="G1" t="s">
        <v>1424</v>
      </c>
      <c r="H1" t="s">
        <v>726</v>
      </c>
      <c r="I1" t="s">
        <v>1418</v>
      </c>
    </row>
    <row r="2" spans="1:9" x14ac:dyDescent="0.3">
      <c r="A2" t="s">
        <v>1425</v>
      </c>
      <c r="B2" t="s">
        <v>1249</v>
      </c>
      <c r="C2" t="s">
        <v>118</v>
      </c>
      <c r="D2">
        <v>-3.003879</v>
      </c>
      <c r="E2">
        <v>23.633893</v>
      </c>
      <c r="F2" t="s">
        <v>1426</v>
      </c>
      <c r="G2" t="s">
        <v>1427</v>
      </c>
      <c r="H2">
        <f>IF(LEN(RIGHT(Registre_Maintenance_Part[[#This Row],[Latitude]],LEN(Registre_Maintenance_Part[[#This Row],[Latitude]])-SEARCH(",",Registre_Maintenance_Part[[#This Row],[Latitude]])))=6,Registre_Maintenance_Part[[#This Row],[Latitude]],"")</f>
        <v>-3.003879</v>
      </c>
      <c r="I2">
        <f>IF(LEN(RIGHT(Registre_Maintenance_Part[[#This Row],[Longitude]],LEN(Registre_Maintenance_Part[[#This Row],[Longitude]])-SEARCH(",",Registre_Maintenance_Part[[#This Row],[Longitude]])))=6,Registre_Maintenance_Part[[#This Row],[Longitude]],"")</f>
        <v>23.633893</v>
      </c>
    </row>
    <row r="3" spans="1:9" x14ac:dyDescent="0.3">
      <c r="A3" t="s">
        <v>1425</v>
      </c>
      <c r="B3" t="s">
        <v>1428</v>
      </c>
      <c r="C3" t="s">
        <v>48</v>
      </c>
      <c r="D3">
        <v>2.413557</v>
      </c>
      <c r="E3">
        <v>19.690681999999999</v>
      </c>
      <c r="F3" t="s">
        <v>1429</v>
      </c>
      <c r="G3" t="s">
        <v>1430</v>
      </c>
      <c r="H3">
        <f>IF(LEN(RIGHT(Registre_Maintenance_Part[[#This Row],[Latitude]],LEN(Registre_Maintenance_Part[[#This Row],[Latitude]])-SEARCH(",",Registre_Maintenance_Part[[#This Row],[Latitude]])))=6,Registre_Maintenance_Part[[#This Row],[Latitude]],"")</f>
        <v>2.413557</v>
      </c>
      <c r="I3">
        <f>IF(LEN(RIGHT(Registre_Maintenance_Part[[#This Row],[Longitude]],LEN(Registre_Maintenance_Part[[#This Row],[Longitude]])-SEARCH(",",Registre_Maintenance_Part[[#This Row],[Longitude]])))=6,Registre_Maintenance_Part[[#This Row],[Longitude]],"")</f>
        <v>19.690681999999999</v>
      </c>
    </row>
    <row r="4" spans="1:9" x14ac:dyDescent="0.3">
      <c r="A4" t="s">
        <v>1425</v>
      </c>
      <c r="B4" t="s">
        <v>753</v>
      </c>
      <c r="C4" t="s">
        <v>35</v>
      </c>
      <c r="D4">
        <v>-9.4708620000000003</v>
      </c>
      <c r="E4">
        <v>29.234387999999999</v>
      </c>
      <c r="F4" t="s">
        <v>1431</v>
      </c>
      <c r="G4" t="s">
        <v>1432</v>
      </c>
      <c r="H4">
        <f>IF(LEN(RIGHT(Registre_Maintenance_Part[[#This Row],[Latitude]],LEN(Registre_Maintenance_Part[[#This Row],[Latitude]])-SEARCH(",",Registre_Maintenance_Part[[#This Row],[Latitude]])))=6,Registre_Maintenance_Part[[#This Row],[Latitude]],"")</f>
        <v>-9.4708620000000003</v>
      </c>
      <c r="I4">
        <f>IF(LEN(RIGHT(Registre_Maintenance_Part[[#This Row],[Longitude]],LEN(Registre_Maintenance_Part[[#This Row],[Longitude]])-SEARCH(",",Registre_Maintenance_Part[[#This Row],[Longitude]])))=6,Registre_Maintenance_Part[[#This Row],[Longitude]],"")</f>
        <v>29.234387999999999</v>
      </c>
    </row>
    <row r="5" spans="1:9" x14ac:dyDescent="0.3">
      <c r="A5" t="s">
        <v>1425</v>
      </c>
      <c r="B5" t="s">
        <v>1198</v>
      </c>
      <c r="C5" t="s">
        <v>68</v>
      </c>
      <c r="D5">
        <v>1.400674</v>
      </c>
      <c r="E5">
        <v>13.503126999999999</v>
      </c>
      <c r="F5" t="s">
        <v>1426</v>
      </c>
      <c r="G5" t="s">
        <v>1432</v>
      </c>
      <c r="H5">
        <f>IF(LEN(RIGHT(Registre_Maintenance_Part[[#This Row],[Latitude]],LEN(Registre_Maintenance_Part[[#This Row],[Latitude]])-SEARCH(",",Registre_Maintenance_Part[[#This Row],[Latitude]])))=6,Registre_Maintenance_Part[[#This Row],[Latitude]],"")</f>
        <v>1.400674</v>
      </c>
      <c r="I5">
        <f>IF(LEN(RIGHT(Registre_Maintenance_Part[[#This Row],[Longitude]],LEN(Registre_Maintenance_Part[[#This Row],[Longitude]])-SEARCH(",",Registre_Maintenance_Part[[#This Row],[Longitude]])))=6,Registre_Maintenance_Part[[#This Row],[Longitude]],"")</f>
        <v>13.503126999999999</v>
      </c>
    </row>
    <row r="6" spans="1:9" x14ac:dyDescent="0.3">
      <c r="A6" t="s">
        <v>1425</v>
      </c>
      <c r="B6" t="s">
        <v>1433</v>
      </c>
      <c r="C6" t="s">
        <v>118</v>
      </c>
      <c r="D6">
        <v>0.29375600000000002</v>
      </c>
      <c r="E6">
        <v>18.528884000000001</v>
      </c>
      <c r="F6" t="s">
        <v>1426</v>
      </c>
      <c r="G6" t="s">
        <v>1432</v>
      </c>
      <c r="H6">
        <f>IF(LEN(RIGHT(Registre_Maintenance_Part[[#This Row],[Latitude]],LEN(Registre_Maintenance_Part[[#This Row],[Latitude]])-SEARCH(",",Registre_Maintenance_Part[[#This Row],[Latitude]])))=6,Registre_Maintenance_Part[[#This Row],[Latitude]],"")</f>
        <v>0.29375600000000002</v>
      </c>
      <c r="I6">
        <f>IF(LEN(RIGHT(Registre_Maintenance_Part[[#This Row],[Longitude]],LEN(Registre_Maintenance_Part[[#This Row],[Longitude]])-SEARCH(",",Registre_Maintenance_Part[[#This Row],[Longitude]])))=6,Registre_Maintenance_Part[[#This Row],[Longitude]],"")</f>
        <v>18.528884000000001</v>
      </c>
    </row>
    <row r="7" spans="1:9" x14ac:dyDescent="0.3">
      <c r="A7" t="s">
        <v>1425</v>
      </c>
      <c r="B7" t="s">
        <v>1434</v>
      </c>
      <c r="C7" t="s">
        <v>72</v>
      </c>
      <c r="D7">
        <v>-4.4862339999999996</v>
      </c>
      <c r="E7">
        <v>17.956159</v>
      </c>
      <c r="F7" t="s">
        <v>1431</v>
      </c>
      <c r="G7" t="s">
        <v>1430</v>
      </c>
      <c r="H7">
        <f>IF(LEN(RIGHT(Registre_Maintenance_Part[[#This Row],[Latitude]],LEN(Registre_Maintenance_Part[[#This Row],[Latitude]])-SEARCH(",",Registre_Maintenance_Part[[#This Row],[Latitude]])))=6,Registre_Maintenance_Part[[#This Row],[Latitude]],"")</f>
        <v>-4.4862339999999996</v>
      </c>
      <c r="I7">
        <f>IF(LEN(RIGHT(Registre_Maintenance_Part[[#This Row],[Longitude]],LEN(Registre_Maintenance_Part[[#This Row],[Longitude]])-SEARCH(",",Registre_Maintenance_Part[[#This Row],[Longitude]])))=6,Registre_Maintenance_Part[[#This Row],[Longitude]],"")</f>
        <v>17.956159</v>
      </c>
    </row>
    <row r="8" spans="1:9" x14ac:dyDescent="0.3">
      <c r="A8" t="s">
        <v>1425</v>
      </c>
      <c r="B8" t="s">
        <v>1435</v>
      </c>
      <c r="C8" t="s">
        <v>35</v>
      </c>
      <c r="D8">
        <v>-12.824638999999999</v>
      </c>
      <c r="E8">
        <v>24.407249</v>
      </c>
      <c r="F8" t="s">
        <v>1426</v>
      </c>
      <c r="G8" t="s">
        <v>1430</v>
      </c>
      <c r="H8">
        <f>IF(LEN(RIGHT(Registre_Maintenance_Part[[#This Row],[Latitude]],LEN(Registre_Maintenance_Part[[#This Row],[Latitude]])-SEARCH(",",Registre_Maintenance_Part[[#This Row],[Latitude]])))=6,Registre_Maintenance_Part[[#This Row],[Latitude]],"")</f>
        <v>-12.824638999999999</v>
      </c>
      <c r="I8">
        <f>IF(LEN(RIGHT(Registre_Maintenance_Part[[#This Row],[Longitude]],LEN(Registre_Maintenance_Part[[#This Row],[Longitude]])-SEARCH(",",Registre_Maintenance_Part[[#This Row],[Longitude]])))=6,Registre_Maintenance_Part[[#This Row],[Longitude]],"")</f>
        <v>24.407249</v>
      </c>
    </row>
    <row r="9" spans="1:9" x14ac:dyDescent="0.3">
      <c r="A9" t="s">
        <v>1425</v>
      </c>
      <c r="B9" t="s">
        <v>831</v>
      </c>
      <c r="C9" t="s">
        <v>61</v>
      </c>
      <c r="D9">
        <v>-5.4126279999999998</v>
      </c>
      <c r="E9">
        <v>25.498235999999999</v>
      </c>
      <c r="F9" t="s">
        <v>1426</v>
      </c>
      <c r="G9" t="s">
        <v>1432</v>
      </c>
      <c r="H9">
        <f>IF(LEN(RIGHT(Registre_Maintenance_Part[[#This Row],[Latitude]],LEN(Registre_Maintenance_Part[[#This Row],[Latitude]])-SEARCH(",",Registre_Maintenance_Part[[#This Row],[Latitude]])))=6,Registre_Maintenance_Part[[#This Row],[Latitude]],"")</f>
        <v>-5.4126279999999998</v>
      </c>
      <c r="I9">
        <f>IF(LEN(RIGHT(Registre_Maintenance_Part[[#This Row],[Longitude]],LEN(Registre_Maintenance_Part[[#This Row],[Longitude]])-SEARCH(",",Registre_Maintenance_Part[[#This Row],[Longitude]])))=6,Registre_Maintenance_Part[[#This Row],[Longitude]],"")</f>
        <v>25.498235999999999</v>
      </c>
    </row>
    <row r="10" spans="1:9" x14ac:dyDescent="0.3">
      <c r="A10" t="s">
        <v>1425</v>
      </c>
      <c r="B10" t="s">
        <v>1436</v>
      </c>
      <c r="C10" t="s">
        <v>12</v>
      </c>
      <c r="D10">
        <v>3.0788669999999998</v>
      </c>
      <c r="E10">
        <v>19.513650999999999</v>
      </c>
      <c r="F10" t="s">
        <v>1426</v>
      </c>
      <c r="G10" t="s">
        <v>1430</v>
      </c>
      <c r="H10">
        <f>IF(LEN(RIGHT(Registre_Maintenance_Part[[#This Row],[Latitude]],LEN(Registre_Maintenance_Part[[#This Row],[Latitude]])-SEARCH(",",Registre_Maintenance_Part[[#This Row],[Latitude]])))=6,Registre_Maintenance_Part[[#This Row],[Latitude]],"")</f>
        <v>3.0788669999999998</v>
      </c>
      <c r="I10">
        <f>IF(LEN(RIGHT(Registre_Maintenance_Part[[#This Row],[Longitude]],LEN(Registre_Maintenance_Part[[#This Row],[Longitude]])-SEARCH(",",Registre_Maintenance_Part[[#This Row],[Longitude]])))=6,Registre_Maintenance_Part[[#This Row],[Longitude]],"")</f>
        <v>19.513650999999999</v>
      </c>
    </row>
    <row r="11" spans="1:9" x14ac:dyDescent="0.3">
      <c r="A11" t="s">
        <v>1425</v>
      </c>
      <c r="B11" t="s">
        <v>742</v>
      </c>
      <c r="C11" t="s">
        <v>31</v>
      </c>
      <c r="D11">
        <v>-1.648264</v>
      </c>
      <c r="E11">
        <v>28.866143999999998</v>
      </c>
      <c r="F11" t="s">
        <v>1426</v>
      </c>
      <c r="G11" t="s">
        <v>1427</v>
      </c>
      <c r="H11">
        <f>IF(LEN(RIGHT(Registre_Maintenance_Part[[#This Row],[Latitude]],LEN(Registre_Maintenance_Part[[#This Row],[Latitude]])-SEARCH(",",Registre_Maintenance_Part[[#This Row],[Latitude]])))=6,Registre_Maintenance_Part[[#This Row],[Latitude]],"")</f>
        <v>-1.648264</v>
      </c>
      <c r="I11">
        <f>IF(LEN(RIGHT(Registre_Maintenance_Part[[#This Row],[Longitude]],LEN(Registre_Maintenance_Part[[#This Row],[Longitude]])-SEARCH(",",Registre_Maintenance_Part[[#This Row],[Longitude]])))=6,Registre_Maintenance_Part[[#This Row],[Longitude]],"")</f>
        <v>28.866143999999998</v>
      </c>
    </row>
    <row r="12" spans="1:9" x14ac:dyDescent="0.3">
      <c r="A12" t="s">
        <v>1425</v>
      </c>
      <c r="B12" t="s">
        <v>1437</v>
      </c>
      <c r="C12" t="s">
        <v>122</v>
      </c>
      <c r="D12">
        <v>-3.3883130000000001</v>
      </c>
      <c r="E12">
        <v>26.838507</v>
      </c>
      <c r="F12" t="s">
        <v>1426</v>
      </c>
      <c r="G12" t="s">
        <v>1438</v>
      </c>
      <c r="H12">
        <f>IF(LEN(RIGHT(Registre_Maintenance_Part[[#This Row],[Latitude]],LEN(Registre_Maintenance_Part[[#This Row],[Latitude]])-SEARCH(",",Registre_Maintenance_Part[[#This Row],[Latitude]])))=6,Registre_Maintenance_Part[[#This Row],[Latitude]],"")</f>
        <v>-3.3883130000000001</v>
      </c>
      <c r="I12">
        <f>IF(LEN(RIGHT(Registre_Maintenance_Part[[#This Row],[Longitude]],LEN(Registre_Maintenance_Part[[#This Row],[Longitude]])-SEARCH(",",Registre_Maintenance_Part[[#This Row],[Longitude]])))=6,Registre_Maintenance_Part[[#This Row],[Longitude]],"")</f>
        <v>26.838507</v>
      </c>
    </row>
    <row r="13" spans="1:9" x14ac:dyDescent="0.3">
      <c r="A13" t="s">
        <v>1425</v>
      </c>
      <c r="B13" t="s">
        <v>856</v>
      </c>
      <c r="C13" t="s">
        <v>48</v>
      </c>
      <c r="D13">
        <v>-4.2408359999999998</v>
      </c>
      <c r="E13">
        <v>26.210014000000001</v>
      </c>
      <c r="F13" t="s">
        <v>1429</v>
      </c>
      <c r="G13" t="s">
        <v>1430</v>
      </c>
      <c r="H13">
        <f>IF(LEN(RIGHT(Registre_Maintenance_Part[[#This Row],[Latitude]],LEN(Registre_Maintenance_Part[[#This Row],[Latitude]])-SEARCH(",",Registre_Maintenance_Part[[#This Row],[Latitude]])))=6,Registre_Maintenance_Part[[#This Row],[Latitude]],"")</f>
        <v>-4.2408359999999998</v>
      </c>
      <c r="I13">
        <f>IF(LEN(RIGHT(Registre_Maintenance_Part[[#This Row],[Longitude]],LEN(Registre_Maintenance_Part[[#This Row],[Longitude]])-SEARCH(",",Registre_Maintenance_Part[[#This Row],[Longitude]])))=6,Registre_Maintenance_Part[[#This Row],[Longitude]],"")</f>
        <v>26.210014000000001</v>
      </c>
    </row>
    <row r="14" spans="1:9" x14ac:dyDescent="0.3">
      <c r="A14" t="s">
        <v>1425</v>
      </c>
      <c r="B14" t="s">
        <v>1024</v>
      </c>
      <c r="C14" t="s">
        <v>72</v>
      </c>
      <c r="D14">
        <v>-8.4824669999999998</v>
      </c>
      <c r="E14">
        <v>21.897777999999999</v>
      </c>
      <c r="F14" t="s">
        <v>1426</v>
      </c>
      <c r="G14" t="s">
        <v>1427</v>
      </c>
      <c r="H14">
        <f>IF(LEN(RIGHT(Registre_Maintenance_Part[[#This Row],[Latitude]],LEN(Registre_Maintenance_Part[[#This Row],[Latitude]])-SEARCH(",",Registre_Maintenance_Part[[#This Row],[Latitude]])))=6,Registre_Maintenance_Part[[#This Row],[Latitude]],"")</f>
        <v>-8.4824669999999998</v>
      </c>
      <c r="I14">
        <f>IF(LEN(RIGHT(Registre_Maintenance_Part[[#This Row],[Longitude]],LEN(Registre_Maintenance_Part[[#This Row],[Longitude]])-SEARCH(",",Registre_Maintenance_Part[[#This Row],[Longitude]])))=6,Registre_Maintenance_Part[[#This Row],[Longitude]],"")</f>
        <v>21.897777999999999</v>
      </c>
    </row>
    <row r="15" spans="1:9" x14ac:dyDescent="0.3">
      <c r="A15" t="s">
        <v>1425</v>
      </c>
      <c r="B15" t="s">
        <v>1208</v>
      </c>
      <c r="C15" t="s">
        <v>20</v>
      </c>
      <c r="D15">
        <v>2.453036</v>
      </c>
      <c r="E15">
        <v>20.555484</v>
      </c>
      <c r="F15" t="s">
        <v>1426</v>
      </c>
      <c r="G15" t="s">
        <v>1427</v>
      </c>
      <c r="H15">
        <f>IF(LEN(RIGHT(Registre_Maintenance_Part[[#This Row],[Latitude]],LEN(Registre_Maintenance_Part[[#This Row],[Latitude]])-SEARCH(",",Registre_Maintenance_Part[[#This Row],[Latitude]])))=6,Registre_Maintenance_Part[[#This Row],[Latitude]],"")</f>
        <v>2.453036</v>
      </c>
      <c r="I15">
        <f>IF(LEN(RIGHT(Registre_Maintenance_Part[[#This Row],[Longitude]],LEN(Registre_Maintenance_Part[[#This Row],[Longitude]])-SEARCH(",",Registre_Maintenance_Part[[#This Row],[Longitude]])))=6,Registre_Maintenance_Part[[#This Row],[Longitude]],"")</f>
        <v>20.555484</v>
      </c>
    </row>
    <row r="16" spans="1:9" x14ac:dyDescent="0.3">
      <c r="A16" t="s">
        <v>1425</v>
      </c>
      <c r="B16" t="s">
        <v>808</v>
      </c>
      <c r="C16" t="s">
        <v>29</v>
      </c>
      <c r="D16">
        <v>-12.141233</v>
      </c>
      <c r="E16">
        <v>15.179043999999999</v>
      </c>
      <c r="F16" t="s">
        <v>1426</v>
      </c>
      <c r="G16" t="s">
        <v>1427</v>
      </c>
      <c r="H16">
        <f>IF(LEN(RIGHT(Registre_Maintenance_Part[[#This Row],[Latitude]],LEN(Registre_Maintenance_Part[[#This Row],[Latitude]])-SEARCH(",",Registre_Maintenance_Part[[#This Row],[Latitude]])))=6,Registre_Maintenance_Part[[#This Row],[Latitude]],"")</f>
        <v>-12.141233</v>
      </c>
      <c r="I16">
        <f>IF(LEN(RIGHT(Registre_Maintenance_Part[[#This Row],[Longitude]],LEN(Registre_Maintenance_Part[[#This Row],[Longitude]])-SEARCH(",",Registre_Maintenance_Part[[#This Row],[Longitude]])))=6,Registre_Maintenance_Part[[#This Row],[Longitude]],"")</f>
        <v>15.179043999999999</v>
      </c>
    </row>
    <row r="17" spans="1:9" x14ac:dyDescent="0.3">
      <c r="A17" t="s">
        <v>1425</v>
      </c>
      <c r="B17" t="s">
        <v>835</v>
      </c>
      <c r="C17" t="s">
        <v>62</v>
      </c>
      <c r="D17">
        <v>-11.218453999999999</v>
      </c>
      <c r="E17">
        <v>28.230025000000001</v>
      </c>
      <c r="F17" t="s">
        <v>1426</v>
      </c>
      <c r="G17" t="s">
        <v>1432</v>
      </c>
      <c r="H17">
        <f>IF(LEN(RIGHT(Registre_Maintenance_Part[[#This Row],[Latitude]],LEN(Registre_Maintenance_Part[[#This Row],[Latitude]])-SEARCH(",",Registre_Maintenance_Part[[#This Row],[Latitude]])))=6,Registre_Maintenance_Part[[#This Row],[Latitude]],"")</f>
        <v>-11.218453999999999</v>
      </c>
      <c r="I17">
        <f>IF(LEN(RIGHT(Registre_Maintenance_Part[[#This Row],[Longitude]],LEN(Registre_Maintenance_Part[[#This Row],[Longitude]])-SEARCH(",",Registre_Maintenance_Part[[#This Row],[Longitude]])))=6,Registre_Maintenance_Part[[#This Row],[Longitude]],"")</f>
        <v>28.230025000000001</v>
      </c>
    </row>
    <row r="18" spans="1:9" x14ac:dyDescent="0.3">
      <c r="A18" t="s">
        <v>1425</v>
      </c>
      <c r="B18" t="s">
        <v>769</v>
      </c>
      <c r="C18" t="s">
        <v>27</v>
      </c>
      <c r="D18">
        <v>-10.059846</v>
      </c>
      <c r="E18">
        <v>14.375757999999999</v>
      </c>
      <c r="F18" t="s">
        <v>1429</v>
      </c>
      <c r="G18" t="s">
        <v>1430</v>
      </c>
      <c r="H18">
        <f>IF(LEN(RIGHT(Registre_Maintenance_Part[[#This Row],[Latitude]],LEN(Registre_Maintenance_Part[[#This Row],[Latitude]])-SEARCH(",",Registre_Maintenance_Part[[#This Row],[Latitude]])))=6,Registre_Maintenance_Part[[#This Row],[Latitude]],"")</f>
        <v>-10.059846</v>
      </c>
      <c r="I18">
        <f>IF(LEN(RIGHT(Registre_Maintenance_Part[[#This Row],[Longitude]],LEN(Registre_Maintenance_Part[[#This Row],[Longitude]])-SEARCH(",",Registre_Maintenance_Part[[#This Row],[Longitude]])))=6,Registre_Maintenance_Part[[#This Row],[Longitude]],"")</f>
        <v>14.375757999999999</v>
      </c>
    </row>
    <row r="19" spans="1:9" x14ac:dyDescent="0.3">
      <c r="A19" t="s">
        <v>1425</v>
      </c>
      <c r="B19" t="s">
        <v>1082</v>
      </c>
      <c r="C19" t="s">
        <v>57</v>
      </c>
      <c r="D19">
        <v>-9.1215879999999991</v>
      </c>
      <c r="E19">
        <v>16.457916999999998</v>
      </c>
      <c r="F19" t="s">
        <v>1429</v>
      </c>
      <c r="G19" t="s">
        <v>1438</v>
      </c>
      <c r="H19">
        <f>IF(LEN(RIGHT(Registre_Maintenance_Part[[#This Row],[Latitude]],LEN(Registre_Maintenance_Part[[#This Row],[Latitude]])-SEARCH(",",Registre_Maintenance_Part[[#This Row],[Latitude]])))=6,Registre_Maintenance_Part[[#This Row],[Latitude]],"")</f>
        <v>-9.1215879999999991</v>
      </c>
      <c r="I19">
        <f>IF(LEN(RIGHT(Registre_Maintenance_Part[[#This Row],[Longitude]],LEN(Registre_Maintenance_Part[[#This Row],[Longitude]])-SEARCH(",",Registre_Maintenance_Part[[#This Row],[Longitude]])))=6,Registre_Maintenance_Part[[#This Row],[Longitude]],"")</f>
        <v>16.457916999999998</v>
      </c>
    </row>
    <row r="20" spans="1:9" x14ac:dyDescent="0.3">
      <c r="A20" t="s">
        <v>1425</v>
      </c>
      <c r="B20" t="s">
        <v>747</v>
      </c>
      <c r="C20" t="s">
        <v>62</v>
      </c>
      <c r="D20">
        <v>-8.4227860000000003</v>
      </c>
      <c r="E20">
        <v>16.781293000000002</v>
      </c>
      <c r="F20" t="s">
        <v>1429</v>
      </c>
      <c r="G20" t="s">
        <v>1430</v>
      </c>
      <c r="H20">
        <f>IF(LEN(RIGHT(Registre_Maintenance_Part[[#This Row],[Latitude]],LEN(Registre_Maintenance_Part[[#This Row],[Latitude]])-SEARCH(",",Registre_Maintenance_Part[[#This Row],[Latitude]])))=6,Registre_Maintenance_Part[[#This Row],[Latitude]],"")</f>
        <v>-8.4227860000000003</v>
      </c>
      <c r="I20">
        <f>IF(LEN(RIGHT(Registre_Maintenance_Part[[#This Row],[Longitude]],LEN(Registre_Maintenance_Part[[#This Row],[Longitude]])-SEARCH(",",Registre_Maintenance_Part[[#This Row],[Longitude]])))=6,Registre_Maintenance_Part[[#This Row],[Longitude]],"")</f>
        <v>16.781293000000002</v>
      </c>
    </row>
    <row r="21" spans="1:9" x14ac:dyDescent="0.3">
      <c r="A21" t="s">
        <v>1425</v>
      </c>
      <c r="B21" t="s">
        <v>1439</v>
      </c>
      <c r="C21" t="s">
        <v>54</v>
      </c>
      <c r="D21">
        <v>2.1014910000000002</v>
      </c>
      <c r="E21">
        <v>26.133631999999999</v>
      </c>
      <c r="F21" t="s">
        <v>1426</v>
      </c>
      <c r="G21" t="s">
        <v>1430</v>
      </c>
      <c r="H21">
        <f>IF(LEN(RIGHT(Registre_Maintenance_Part[[#This Row],[Latitude]],LEN(Registre_Maintenance_Part[[#This Row],[Latitude]])-SEARCH(",",Registre_Maintenance_Part[[#This Row],[Latitude]])))=6,Registre_Maintenance_Part[[#This Row],[Latitude]],"")</f>
        <v>2.1014910000000002</v>
      </c>
      <c r="I21">
        <f>IF(LEN(RIGHT(Registre_Maintenance_Part[[#This Row],[Longitude]],LEN(Registre_Maintenance_Part[[#This Row],[Longitude]])-SEARCH(",",Registre_Maintenance_Part[[#This Row],[Longitude]])))=6,Registre_Maintenance_Part[[#This Row],[Longitude]],"")</f>
        <v>26.133631999999999</v>
      </c>
    </row>
    <row r="22" spans="1:9" x14ac:dyDescent="0.3">
      <c r="A22" t="s">
        <v>1425</v>
      </c>
      <c r="B22" t="s">
        <v>1080</v>
      </c>
      <c r="C22" t="s">
        <v>62</v>
      </c>
      <c r="D22">
        <v>-11.266565999999999</v>
      </c>
      <c r="E22">
        <v>26.245055000000001</v>
      </c>
      <c r="F22" t="s">
        <v>1431</v>
      </c>
      <c r="G22" t="s">
        <v>1427</v>
      </c>
      <c r="H22">
        <f>IF(LEN(RIGHT(Registre_Maintenance_Part[[#This Row],[Latitude]],LEN(Registre_Maintenance_Part[[#This Row],[Latitude]])-SEARCH(",",Registre_Maintenance_Part[[#This Row],[Latitude]])))=6,Registre_Maintenance_Part[[#This Row],[Latitude]],"")</f>
        <v>-11.266565999999999</v>
      </c>
      <c r="I22">
        <f>IF(LEN(RIGHT(Registre_Maintenance_Part[[#This Row],[Longitude]],LEN(Registre_Maintenance_Part[[#This Row],[Longitude]])-SEARCH(",",Registre_Maintenance_Part[[#This Row],[Longitude]])))=6,Registre_Maintenance_Part[[#This Row],[Longitude]],"")</f>
        <v>26.245055000000001</v>
      </c>
    </row>
    <row r="23" spans="1:9" x14ac:dyDescent="0.3">
      <c r="A23" t="s">
        <v>1425</v>
      </c>
      <c r="B23" t="s">
        <v>1174</v>
      </c>
      <c r="C23" t="s">
        <v>24</v>
      </c>
      <c r="D23">
        <v>0.40267799999999998</v>
      </c>
      <c r="E23">
        <v>16.000858000000001</v>
      </c>
      <c r="F23" t="s">
        <v>1431</v>
      </c>
      <c r="G23" t="s">
        <v>1438</v>
      </c>
      <c r="H23">
        <f>IF(LEN(RIGHT(Registre_Maintenance_Part[[#This Row],[Latitude]],LEN(Registre_Maintenance_Part[[#This Row],[Latitude]])-SEARCH(",",Registre_Maintenance_Part[[#This Row],[Latitude]])))=6,Registre_Maintenance_Part[[#This Row],[Latitude]],"")</f>
        <v>0.40267799999999998</v>
      </c>
      <c r="I23">
        <f>IF(LEN(RIGHT(Registre_Maintenance_Part[[#This Row],[Longitude]],LEN(Registre_Maintenance_Part[[#This Row],[Longitude]])-SEARCH(",",Registre_Maintenance_Part[[#This Row],[Longitude]])))=6,Registre_Maintenance_Part[[#This Row],[Longitude]],"")</f>
        <v>16.000858000000001</v>
      </c>
    </row>
    <row r="24" spans="1:9" x14ac:dyDescent="0.3">
      <c r="A24" t="s">
        <v>1425</v>
      </c>
      <c r="B24" t="s">
        <v>895</v>
      </c>
      <c r="C24" t="s">
        <v>29</v>
      </c>
      <c r="D24">
        <v>-8.3241560000000003</v>
      </c>
      <c r="E24">
        <v>19.543866000000001</v>
      </c>
      <c r="F24" t="s">
        <v>1429</v>
      </c>
      <c r="G24" t="s">
        <v>1432</v>
      </c>
      <c r="H24">
        <f>IF(LEN(RIGHT(Registre_Maintenance_Part[[#This Row],[Latitude]],LEN(Registre_Maintenance_Part[[#This Row],[Latitude]])-SEARCH(",",Registre_Maintenance_Part[[#This Row],[Latitude]])))=6,Registre_Maintenance_Part[[#This Row],[Latitude]],"")</f>
        <v>-8.3241560000000003</v>
      </c>
      <c r="I24">
        <f>IF(LEN(RIGHT(Registre_Maintenance_Part[[#This Row],[Longitude]],LEN(Registre_Maintenance_Part[[#This Row],[Longitude]])-SEARCH(",",Registre_Maintenance_Part[[#This Row],[Longitude]])))=6,Registre_Maintenance_Part[[#This Row],[Longitude]],"")</f>
        <v>19.543866000000001</v>
      </c>
    </row>
    <row r="25" spans="1:9" x14ac:dyDescent="0.3">
      <c r="A25" t="s">
        <v>1425</v>
      </c>
      <c r="B25" t="s">
        <v>1440</v>
      </c>
      <c r="C25" t="s">
        <v>72</v>
      </c>
      <c r="D25">
        <v>-6.5144820000000001</v>
      </c>
      <c r="E25">
        <v>13.815521</v>
      </c>
      <c r="F25" t="s">
        <v>1429</v>
      </c>
      <c r="G25" t="s">
        <v>1432</v>
      </c>
      <c r="H25">
        <f>IF(LEN(RIGHT(Registre_Maintenance_Part[[#This Row],[Latitude]],LEN(Registre_Maintenance_Part[[#This Row],[Latitude]])-SEARCH(",",Registre_Maintenance_Part[[#This Row],[Latitude]])))=6,Registre_Maintenance_Part[[#This Row],[Latitude]],"")</f>
        <v>-6.5144820000000001</v>
      </c>
      <c r="I25">
        <f>IF(LEN(RIGHT(Registre_Maintenance_Part[[#This Row],[Longitude]],LEN(Registre_Maintenance_Part[[#This Row],[Longitude]])-SEARCH(",",Registre_Maintenance_Part[[#This Row],[Longitude]])))=6,Registre_Maintenance_Part[[#This Row],[Longitude]],"")</f>
        <v>13.815521</v>
      </c>
    </row>
    <row r="26" spans="1:9" x14ac:dyDescent="0.3">
      <c r="A26" t="s">
        <v>1425</v>
      </c>
      <c r="B26" t="s">
        <v>1441</v>
      </c>
      <c r="C26" t="s">
        <v>24</v>
      </c>
      <c r="D26">
        <v>-6.8054750000000004</v>
      </c>
      <c r="E26">
        <v>13.022683000000001</v>
      </c>
      <c r="F26" t="s">
        <v>1429</v>
      </c>
      <c r="G26" t="s">
        <v>1430</v>
      </c>
      <c r="H26">
        <f>IF(LEN(RIGHT(Registre_Maintenance_Part[[#This Row],[Latitude]],LEN(Registre_Maintenance_Part[[#This Row],[Latitude]])-SEARCH(",",Registre_Maintenance_Part[[#This Row],[Latitude]])))=6,Registre_Maintenance_Part[[#This Row],[Latitude]],"")</f>
        <v>-6.8054750000000004</v>
      </c>
      <c r="I26">
        <f>IF(LEN(RIGHT(Registre_Maintenance_Part[[#This Row],[Longitude]],LEN(Registre_Maintenance_Part[[#This Row],[Longitude]])-SEARCH(",",Registre_Maintenance_Part[[#This Row],[Longitude]])))=6,Registre_Maintenance_Part[[#This Row],[Longitude]],"")</f>
        <v>13.022683000000001</v>
      </c>
    </row>
    <row r="27" spans="1:9" x14ac:dyDescent="0.3">
      <c r="A27" t="s">
        <v>1425</v>
      </c>
      <c r="B27" t="s">
        <v>839</v>
      </c>
      <c r="C27" t="s">
        <v>31</v>
      </c>
      <c r="D27">
        <v>-6.6803710000000001</v>
      </c>
      <c r="E27">
        <v>21.955673000000001</v>
      </c>
      <c r="F27" t="s">
        <v>1429</v>
      </c>
      <c r="G27" t="s">
        <v>1438</v>
      </c>
      <c r="H27">
        <f>IF(LEN(RIGHT(Registre_Maintenance_Part[[#This Row],[Latitude]],LEN(Registre_Maintenance_Part[[#This Row],[Latitude]])-SEARCH(",",Registre_Maintenance_Part[[#This Row],[Latitude]])))=6,Registre_Maintenance_Part[[#This Row],[Latitude]],"")</f>
        <v>-6.6803710000000001</v>
      </c>
      <c r="I27">
        <f>IF(LEN(RIGHT(Registre_Maintenance_Part[[#This Row],[Longitude]],LEN(Registre_Maintenance_Part[[#This Row],[Longitude]])-SEARCH(",",Registre_Maintenance_Part[[#This Row],[Longitude]])))=6,Registre_Maintenance_Part[[#This Row],[Longitude]],"")</f>
        <v>21.955673000000001</v>
      </c>
    </row>
    <row r="28" spans="1:9" x14ac:dyDescent="0.3">
      <c r="A28" t="s">
        <v>1425</v>
      </c>
      <c r="B28" t="s">
        <v>1442</v>
      </c>
      <c r="C28" t="s">
        <v>9</v>
      </c>
      <c r="D28">
        <v>-0.767455</v>
      </c>
      <c r="E28">
        <v>30.924261000000001</v>
      </c>
      <c r="F28" t="s">
        <v>1431</v>
      </c>
      <c r="G28" t="s">
        <v>1430</v>
      </c>
      <c r="H28">
        <f>IF(LEN(RIGHT(Registre_Maintenance_Part[[#This Row],[Latitude]],LEN(Registre_Maintenance_Part[[#This Row],[Latitude]])-SEARCH(",",Registre_Maintenance_Part[[#This Row],[Latitude]])))=6,Registre_Maintenance_Part[[#This Row],[Latitude]],"")</f>
        <v>-0.767455</v>
      </c>
      <c r="I28">
        <f>IF(LEN(RIGHT(Registre_Maintenance_Part[[#This Row],[Longitude]],LEN(Registre_Maintenance_Part[[#This Row],[Longitude]])-SEARCH(",",Registre_Maintenance_Part[[#This Row],[Longitude]])))=6,Registre_Maintenance_Part[[#This Row],[Longitude]],"")</f>
        <v>30.924261000000001</v>
      </c>
    </row>
    <row r="29" spans="1:9" x14ac:dyDescent="0.3">
      <c r="A29" t="s">
        <v>1425</v>
      </c>
      <c r="B29" t="s">
        <v>1443</v>
      </c>
      <c r="C29" t="s">
        <v>126</v>
      </c>
      <c r="D29">
        <v>-2.6166320000000001</v>
      </c>
      <c r="E29">
        <v>23.743941</v>
      </c>
      <c r="F29" t="s">
        <v>1426</v>
      </c>
      <c r="G29" t="s">
        <v>1438</v>
      </c>
      <c r="H29">
        <f>IF(LEN(RIGHT(Registre_Maintenance_Part[[#This Row],[Latitude]],LEN(Registre_Maintenance_Part[[#This Row],[Latitude]])-SEARCH(",",Registre_Maintenance_Part[[#This Row],[Latitude]])))=6,Registre_Maintenance_Part[[#This Row],[Latitude]],"")</f>
        <v>-2.6166320000000001</v>
      </c>
      <c r="I29">
        <f>IF(LEN(RIGHT(Registre_Maintenance_Part[[#This Row],[Longitude]],LEN(Registre_Maintenance_Part[[#This Row],[Longitude]])-SEARCH(",",Registre_Maintenance_Part[[#This Row],[Longitude]])))=6,Registre_Maintenance_Part[[#This Row],[Longitude]],"")</f>
        <v>23.743941</v>
      </c>
    </row>
    <row r="30" spans="1:9" x14ac:dyDescent="0.3">
      <c r="A30" t="s">
        <v>1425</v>
      </c>
      <c r="B30" t="s">
        <v>1232</v>
      </c>
      <c r="C30" t="s">
        <v>20</v>
      </c>
      <c r="D30">
        <v>-1.3024210000000001</v>
      </c>
      <c r="E30">
        <v>13.601914000000001</v>
      </c>
      <c r="F30" t="s">
        <v>1431</v>
      </c>
      <c r="G30" t="s">
        <v>1430</v>
      </c>
      <c r="H30">
        <f>IF(LEN(RIGHT(Registre_Maintenance_Part[[#This Row],[Latitude]],LEN(Registre_Maintenance_Part[[#This Row],[Latitude]])-SEARCH(",",Registre_Maintenance_Part[[#This Row],[Latitude]])))=6,Registre_Maintenance_Part[[#This Row],[Latitude]],"")</f>
        <v>-1.3024210000000001</v>
      </c>
      <c r="I30">
        <f>IF(LEN(RIGHT(Registre_Maintenance_Part[[#This Row],[Longitude]],LEN(Registre_Maintenance_Part[[#This Row],[Longitude]])-SEARCH(",",Registre_Maintenance_Part[[#This Row],[Longitude]])))=6,Registre_Maintenance_Part[[#This Row],[Longitude]],"")</f>
        <v>13.601914000000001</v>
      </c>
    </row>
    <row r="31" spans="1:9" x14ac:dyDescent="0.3">
      <c r="A31" t="s">
        <v>1425</v>
      </c>
      <c r="B31" t="s">
        <v>1444</v>
      </c>
      <c r="C31" t="s">
        <v>20</v>
      </c>
      <c r="D31">
        <v>-3.3081109999999998</v>
      </c>
      <c r="E31">
        <v>29.700202000000001</v>
      </c>
      <c r="F31" t="s">
        <v>1429</v>
      </c>
      <c r="G31" t="s">
        <v>1438</v>
      </c>
      <c r="H31">
        <f>IF(LEN(RIGHT(Registre_Maintenance_Part[[#This Row],[Latitude]],LEN(Registre_Maintenance_Part[[#This Row],[Latitude]])-SEARCH(",",Registre_Maintenance_Part[[#This Row],[Latitude]])))=6,Registre_Maintenance_Part[[#This Row],[Latitude]],"")</f>
        <v>-3.3081109999999998</v>
      </c>
      <c r="I31">
        <f>IF(LEN(RIGHT(Registre_Maintenance_Part[[#This Row],[Longitude]],LEN(Registre_Maintenance_Part[[#This Row],[Longitude]])-SEARCH(",",Registre_Maintenance_Part[[#This Row],[Longitude]])))=6,Registre_Maintenance_Part[[#This Row],[Longitude]],"")</f>
        <v>29.700202000000001</v>
      </c>
    </row>
    <row r="32" spans="1:9" x14ac:dyDescent="0.3">
      <c r="A32" t="s">
        <v>1425</v>
      </c>
      <c r="B32" t="s">
        <v>760</v>
      </c>
      <c r="C32" t="s">
        <v>122</v>
      </c>
      <c r="D32">
        <v>4.6287159999999998</v>
      </c>
      <c r="E32">
        <v>19.407077999999998</v>
      </c>
      <c r="F32" t="s">
        <v>1429</v>
      </c>
      <c r="G32" t="s">
        <v>1427</v>
      </c>
      <c r="H32">
        <f>IF(LEN(RIGHT(Registre_Maintenance_Part[[#This Row],[Latitude]],LEN(Registre_Maintenance_Part[[#This Row],[Latitude]])-SEARCH(",",Registre_Maintenance_Part[[#This Row],[Latitude]])))=6,Registre_Maintenance_Part[[#This Row],[Latitude]],"")</f>
        <v>4.6287159999999998</v>
      </c>
      <c r="I32">
        <f>IF(LEN(RIGHT(Registre_Maintenance_Part[[#This Row],[Longitude]],LEN(Registre_Maintenance_Part[[#This Row],[Longitude]])-SEARCH(",",Registre_Maintenance_Part[[#This Row],[Longitude]])))=6,Registre_Maintenance_Part[[#This Row],[Longitude]],"")</f>
        <v>19.407077999999998</v>
      </c>
    </row>
    <row r="33" spans="1:9" x14ac:dyDescent="0.3">
      <c r="A33" t="s">
        <v>1425</v>
      </c>
      <c r="B33" t="s">
        <v>1124</v>
      </c>
      <c r="C33" t="s">
        <v>62</v>
      </c>
      <c r="D33">
        <v>-7.8770429999999996</v>
      </c>
      <c r="E33">
        <v>16.357762999999998</v>
      </c>
      <c r="F33" t="s">
        <v>1429</v>
      </c>
      <c r="G33" t="s">
        <v>1427</v>
      </c>
      <c r="H33">
        <f>IF(LEN(RIGHT(Registre_Maintenance_Part[[#This Row],[Latitude]],LEN(Registre_Maintenance_Part[[#This Row],[Latitude]])-SEARCH(",",Registre_Maintenance_Part[[#This Row],[Latitude]])))=6,Registre_Maintenance_Part[[#This Row],[Latitude]],"")</f>
        <v>-7.8770429999999996</v>
      </c>
      <c r="I33">
        <f>IF(LEN(RIGHT(Registre_Maintenance_Part[[#This Row],[Longitude]],LEN(Registre_Maintenance_Part[[#This Row],[Longitude]])-SEARCH(",",Registre_Maintenance_Part[[#This Row],[Longitude]])))=6,Registre_Maintenance_Part[[#This Row],[Longitude]],"")</f>
        <v>16.357762999999998</v>
      </c>
    </row>
    <row r="34" spans="1:9" x14ac:dyDescent="0.3">
      <c r="A34" t="s">
        <v>1425</v>
      </c>
      <c r="B34" t="s">
        <v>1141</v>
      </c>
      <c r="C34" t="s">
        <v>118</v>
      </c>
      <c r="D34">
        <v>-7.1483749999999997</v>
      </c>
      <c r="E34">
        <v>26.014271000000001</v>
      </c>
      <c r="F34" t="s">
        <v>1426</v>
      </c>
      <c r="G34" t="s">
        <v>1430</v>
      </c>
      <c r="H34">
        <f>IF(LEN(RIGHT(Registre_Maintenance_Part[[#This Row],[Latitude]],LEN(Registre_Maintenance_Part[[#This Row],[Latitude]])-SEARCH(",",Registre_Maintenance_Part[[#This Row],[Latitude]])))=6,Registre_Maintenance_Part[[#This Row],[Latitude]],"")</f>
        <v>-7.1483749999999997</v>
      </c>
      <c r="I34">
        <f>IF(LEN(RIGHT(Registre_Maintenance_Part[[#This Row],[Longitude]],LEN(Registre_Maintenance_Part[[#This Row],[Longitude]])-SEARCH(",",Registre_Maintenance_Part[[#This Row],[Longitude]])))=6,Registre_Maintenance_Part[[#This Row],[Longitude]],"")</f>
        <v>26.014271000000001</v>
      </c>
    </row>
    <row r="35" spans="1:9" x14ac:dyDescent="0.3">
      <c r="A35" t="s">
        <v>1425</v>
      </c>
      <c r="B35" t="s">
        <v>1231</v>
      </c>
      <c r="C35" t="s">
        <v>27</v>
      </c>
      <c r="D35">
        <v>-3.8119990000000001</v>
      </c>
      <c r="E35">
        <v>20.420048000000001</v>
      </c>
      <c r="F35" t="s">
        <v>1431</v>
      </c>
      <c r="G35" t="s">
        <v>1432</v>
      </c>
      <c r="H35">
        <f>IF(LEN(RIGHT(Registre_Maintenance_Part[[#This Row],[Latitude]],LEN(Registre_Maintenance_Part[[#This Row],[Latitude]])-SEARCH(",",Registre_Maintenance_Part[[#This Row],[Latitude]])))=6,Registre_Maintenance_Part[[#This Row],[Latitude]],"")</f>
        <v>-3.8119990000000001</v>
      </c>
      <c r="I35">
        <f>IF(LEN(RIGHT(Registre_Maintenance_Part[[#This Row],[Longitude]],LEN(Registre_Maintenance_Part[[#This Row],[Longitude]])-SEARCH(",",Registre_Maintenance_Part[[#This Row],[Longitude]])))=6,Registre_Maintenance_Part[[#This Row],[Longitude]],"")</f>
        <v>20.420048000000001</v>
      </c>
    </row>
    <row r="36" spans="1:9" x14ac:dyDescent="0.3">
      <c r="A36" t="s">
        <v>1425</v>
      </c>
      <c r="B36" t="s">
        <v>813</v>
      </c>
      <c r="C36" t="s">
        <v>83</v>
      </c>
      <c r="D36">
        <v>0.94539899999999999</v>
      </c>
      <c r="E36">
        <v>14.401821999999999</v>
      </c>
      <c r="F36" t="s">
        <v>1426</v>
      </c>
      <c r="G36" t="s">
        <v>1438</v>
      </c>
      <c r="H36">
        <f>IF(LEN(RIGHT(Registre_Maintenance_Part[[#This Row],[Latitude]],LEN(Registre_Maintenance_Part[[#This Row],[Latitude]])-SEARCH(",",Registre_Maintenance_Part[[#This Row],[Latitude]])))=6,Registre_Maintenance_Part[[#This Row],[Latitude]],"")</f>
        <v>0.94539899999999999</v>
      </c>
      <c r="I36">
        <f>IF(LEN(RIGHT(Registre_Maintenance_Part[[#This Row],[Longitude]],LEN(Registre_Maintenance_Part[[#This Row],[Longitude]])-SEARCH(",",Registre_Maintenance_Part[[#This Row],[Longitude]])))=6,Registre_Maintenance_Part[[#This Row],[Longitude]],"")</f>
        <v>14.401821999999999</v>
      </c>
    </row>
    <row r="37" spans="1:9" x14ac:dyDescent="0.3">
      <c r="A37" t="s">
        <v>1425</v>
      </c>
      <c r="B37" t="s">
        <v>970</v>
      </c>
      <c r="C37" t="s">
        <v>41</v>
      </c>
      <c r="D37">
        <v>-4.9552579999999997</v>
      </c>
      <c r="E37">
        <v>22.008103999999999</v>
      </c>
      <c r="F37" t="s">
        <v>1429</v>
      </c>
      <c r="G37" t="s">
        <v>1430</v>
      </c>
      <c r="H37">
        <f>IF(LEN(RIGHT(Registre_Maintenance_Part[[#This Row],[Latitude]],LEN(Registre_Maintenance_Part[[#This Row],[Latitude]])-SEARCH(",",Registre_Maintenance_Part[[#This Row],[Latitude]])))=6,Registre_Maintenance_Part[[#This Row],[Latitude]],"")</f>
        <v>-4.9552579999999997</v>
      </c>
      <c r="I37">
        <f>IF(LEN(RIGHT(Registre_Maintenance_Part[[#This Row],[Longitude]],LEN(Registre_Maintenance_Part[[#This Row],[Longitude]])-SEARCH(",",Registre_Maintenance_Part[[#This Row],[Longitude]])))=6,Registre_Maintenance_Part[[#This Row],[Longitude]],"")</f>
        <v>22.008103999999999</v>
      </c>
    </row>
    <row r="38" spans="1:9" x14ac:dyDescent="0.3">
      <c r="A38" t="s">
        <v>1425</v>
      </c>
      <c r="B38" t="s">
        <v>1251</v>
      </c>
      <c r="C38" t="s">
        <v>83</v>
      </c>
      <c r="D38">
        <v>-11.588665000000001</v>
      </c>
      <c r="E38">
        <v>15.241552</v>
      </c>
      <c r="F38" t="s">
        <v>1429</v>
      </c>
      <c r="G38" t="s">
        <v>1438</v>
      </c>
      <c r="H38">
        <f>IF(LEN(RIGHT(Registre_Maintenance_Part[[#This Row],[Latitude]],LEN(Registre_Maintenance_Part[[#This Row],[Latitude]])-SEARCH(",",Registre_Maintenance_Part[[#This Row],[Latitude]])))=6,Registre_Maintenance_Part[[#This Row],[Latitude]],"")</f>
        <v>-11.588665000000001</v>
      </c>
      <c r="I38">
        <f>IF(LEN(RIGHT(Registre_Maintenance_Part[[#This Row],[Longitude]],LEN(Registre_Maintenance_Part[[#This Row],[Longitude]])-SEARCH(",",Registre_Maintenance_Part[[#This Row],[Longitude]])))=6,Registre_Maintenance_Part[[#This Row],[Longitude]],"")</f>
        <v>15.241552</v>
      </c>
    </row>
    <row r="39" spans="1:9" x14ac:dyDescent="0.3">
      <c r="A39" t="s">
        <v>1425</v>
      </c>
      <c r="B39" t="s">
        <v>1148</v>
      </c>
      <c r="C39" t="s">
        <v>12</v>
      </c>
      <c r="D39">
        <v>-1.9540519999999999</v>
      </c>
      <c r="E39">
        <v>12.667945</v>
      </c>
      <c r="F39" t="s">
        <v>1429</v>
      </c>
      <c r="G39" t="s">
        <v>1430</v>
      </c>
      <c r="H39">
        <f>IF(LEN(RIGHT(Registre_Maintenance_Part[[#This Row],[Latitude]],LEN(Registre_Maintenance_Part[[#This Row],[Latitude]])-SEARCH(",",Registre_Maintenance_Part[[#This Row],[Latitude]])))=6,Registre_Maintenance_Part[[#This Row],[Latitude]],"")</f>
        <v>-1.9540519999999999</v>
      </c>
      <c r="I39">
        <f>IF(LEN(RIGHT(Registre_Maintenance_Part[[#This Row],[Longitude]],LEN(Registre_Maintenance_Part[[#This Row],[Longitude]])-SEARCH(",",Registre_Maintenance_Part[[#This Row],[Longitude]])))=6,Registre_Maintenance_Part[[#This Row],[Longitude]],"")</f>
        <v>12.667945</v>
      </c>
    </row>
    <row r="40" spans="1:9" x14ac:dyDescent="0.3">
      <c r="A40" t="s">
        <v>1425</v>
      </c>
      <c r="B40" t="s">
        <v>1445</v>
      </c>
      <c r="C40" t="s">
        <v>54</v>
      </c>
      <c r="D40">
        <v>-4.652463</v>
      </c>
      <c r="E40">
        <v>18.779983999999999</v>
      </c>
      <c r="F40" t="s">
        <v>1431</v>
      </c>
      <c r="G40" t="s">
        <v>1438</v>
      </c>
      <c r="H40">
        <f>IF(LEN(RIGHT(Registre_Maintenance_Part[[#This Row],[Latitude]],LEN(Registre_Maintenance_Part[[#This Row],[Latitude]])-SEARCH(",",Registre_Maintenance_Part[[#This Row],[Latitude]])))=6,Registre_Maintenance_Part[[#This Row],[Latitude]],"")</f>
        <v>-4.652463</v>
      </c>
      <c r="I40">
        <f>IF(LEN(RIGHT(Registre_Maintenance_Part[[#This Row],[Longitude]],LEN(Registre_Maintenance_Part[[#This Row],[Longitude]])-SEARCH(",",Registre_Maintenance_Part[[#This Row],[Longitude]])))=6,Registre_Maintenance_Part[[#This Row],[Longitude]],"")</f>
        <v>18.779983999999999</v>
      </c>
    </row>
    <row r="41" spans="1:9" x14ac:dyDescent="0.3">
      <c r="A41" t="s">
        <v>1425</v>
      </c>
      <c r="B41" t="s">
        <v>1016</v>
      </c>
      <c r="C41" t="s">
        <v>17</v>
      </c>
      <c r="D41">
        <v>2.628638</v>
      </c>
      <c r="E41">
        <v>28.420582</v>
      </c>
      <c r="F41" t="s">
        <v>1429</v>
      </c>
      <c r="G41" t="s">
        <v>1430</v>
      </c>
      <c r="H41">
        <f>IF(LEN(RIGHT(Registre_Maintenance_Part[[#This Row],[Latitude]],LEN(Registre_Maintenance_Part[[#This Row],[Latitude]])-SEARCH(",",Registre_Maintenance_Part[[#This Row],[Latitude]])))=6,Registre_Maintenance_Part[[#This Row],[Latitude]],"")</f>
        <v>2.628638</v>
      </c>
      <c r="I41">
        <f>IF(LEN(RIGHT(Registre_Maintenance_Part[[#This Row],[Longitude]],LEN(Registre_Maintenance_Part[[#This Row],[Longitude]])-SEARCH(",",Registre_Maintenance_Part[[#This Row],[Longitude]])))=6,Registre_Maintenance_Part[[#This Row],[Longitude]],"")</f>
        <v>28.420582</v>
      </c>
    </row>
    <row r="42" spans="1:9" x14ac:dyDescent="0.3">
      <c r="A42" t="s">
        <v>1425</v>
      </c>
      <c r="B42" t="s">
        <v>1446</v>
      </c>
      <c r="C42" t="s">
        <v>62</v>
      </c>
      <c r="D42">
        <v>-1.4695480000000001</v>
      </c>
      <c r="E42">
        <v>20.876676</v>
      </c>
      <c r="F42" t="s">
        <v>1426</v>
      </c>
      <c r="G42" t="s">
        <v>1427</v>
      </c>
      <c r="H42">
        <f>IF(LEN(RIGHT(Registre_Maintenance_Part[[#This Row],[Latitude]],LEN(Registre_Maintenance_Part[[#This Row],[Latitude]])-SEARCH(",",Registre_Maintenance_Part[[#This Row],[Latitude]])))=6,Registre_Maintenance_Part[[#This Row],[Latitude]],"")</f>
        <v>-1.4695480000000001</v>
      </c>
      <c r="I42">
        <f>IF(LEN(RIGHT(Registre_Maintenance_Part[[#This Row],[Longitude]],LEN(Registre_Maintenance_Part[[#This Row],[Longitude]])-SEARCH(",",Registre_Maintenance_Part[[#This Row],[Longitude]])))=6,Registre_Maintenance_Part[[#This Row],[Longitude]],"")</f>
        <v>20.876676</v>
      </c>
    </row>
    <row r="43" spans="1:9" x14ac:dyDescent="0.3">
      <c r="A43" t="s">
        <v>1425</v>
      </c>
      <c r="B43" t="s">
        <v>1092</v>
      </c>
      <c r="C43" t="s">
        <v>54</v>
      </c>
      <c r="D43">
        <v>-5.4073029999999997</v>
      </c>
      <c r="E43">
        <v>29.762294000000001</v>
      </c>
      <c r="F43" t="s">
        <v>1431</v>
      </c>
      <c r="G43" t="s">
        <v>1427</v>
      </c>
      <c r="H43">
        <f>IF(LEN(RIGHT(Registre_Maintenance_Part[[#This Row],[Latitude]],LEN(Registre_Maintenance_Part[[#This Row],[Latitude]])-SEARCH(",",Registre_Maintenance_Part[[#This Row],[Latitude]])))=6,Registre_Maintenance_Part[[#This Row],[Latitude]],"")</f>
        <v>-5.4073029999999997</v>
      </c>
      <c r="I43">
        <f>IF(LEN(RIGHT(Registre_Maintenance_Part[[#This Row],[Longitude]],LEN(Registre_Maintenance_Part[[#This Row],[Longitude]])-SEARCH(",",Registre_Maintenance_Part[[#This Row],[Longitude]])))=6,Registre_Maintenance_Part[[#This Row],[Longitude]],"")</f>
        <v>29.762294000000001</v>
      </c>
    </row>
    <row r="44" spans="1:9" x14ac:dyDescent="0.3">
      <c r="A44" t="s">
        <v>1447</v>
      </c>
      <c r="B44" t="s">
        <v>1448</v>
      </c>
      <c r="C44" t="s">
        <v>20</v>
      </c>
      <c r="D44">
        <v>-3.6233270000000002</v>
      </c>
      <c r="E44">
        <v>25.915645999999999</v>
      </c>
      <c r="F44" t="s">
        <v>1431</v>
      </c>
      <c r="G44" t="s">
        <v>1430</v>
      </c>
      <c r="H44">
        <f>IF(LEN(RIGHT(Registre_Maintenance_Part[[#This Row],[Latitude]],LEN(Registre_Maintenance_Part[[#This Row],[Latitude]])-SEARCH(",",Registre_Maintenance_Part[[#This Row],[Latitude]])))=6,Registre_Maintenance_Part[[#This Row],[Latitude]],"")</f>
        <v>-3.6233270000000002</v>
      </c>
      <c r="I44">
        <f>IF(LEN(RIGHT(Registre_Maintenance_Part[[#This Row],[Longitude]],LEN(Registre_Maintenance_Part[[#This Row],[Longitude]])-SEARCH(",",Registre_Maintenance_Part[[#This Row],[Longitude]])))=6,Registre_Maintenance_Part[[#This Row],[Longitude]],"")</f>
        <v>25.915645999999999</v>
      </c>
    </row>
    <row r="45" spans="1:9" x14ac:dyDescent="0.3">
      <c r="A45" t="s">
        <v>1447</v>
      </c>
      <c r="B45" t="s">
        <v>1449</v>
      </c>
      <c r="C45" t="s">
        <v>118</v>
      </c>
      <c r="D45">
        <v>-8.4403710000000007</v>
      </c>
      <c r="E45">
        <v>17.231165000000001</v>
      </c>
      <c r="F45" t="s">
        <v>1429</v>
      </c>
      <c r="G45" t="s">
        <v>1430</v>
      </c>
      <c r="H45">
        <f>IF(LEN(RIGHT(Registre_Maintenance_Part[[#This Row],[Latitude]],LEN(Registre_Maintenance_Part[[#This Row],[Latitude]])-SEARCH(",",Registre_Maintenance_Part[[#This Row],[Latitude]])))=6,Registre_Maintenance_Part[[#This Row],[Latitude]],"")</f>
        <v>-8.4403710000000007</v>
      </c>
      <c r="I45">
        <f>IF(LEN(RIGHT(Registre_Maintenance_Part[[#This Row],[Longitude]],LEN(Registre_Maintenance_Part[[#This Row],[Longitude]])-SEARCH(",",Registre_Maintenance_Part[[#This Row],[Longitude]])))=6,Registre_Maintenance_Part[[#This Row],[Longitude]],"")</f>
        <v>17.231165000000001</v>
      </c>
    </row>
    <row r="46" spans="1:9" x14ac:dyDescent="0.3">
      <c r="A46" t="s">
        <v>1447</v>
      </c>
      <c r="B46" t="s">
        <v>1025</v>
      </c>
      <c r="C46" t="s">
        <v>23</v>
      </c>
      <c r="D46">
        <v>-9.4229749999999992</v>
      </c>
      <c r="E46">
        <v>29.375005999999999</v>
      </c>
      <c r="F46" t="s">
        <v>1431</v>
      </c>
      <c r="G46" t="s">
        <v>1427</v>
      </c>
      <c r="H46">
        <f>IF(LEN(RIGHT(Registre_Maintenance_Part[[#This Row],[Latitude]],LEN(Registre_Maintenance_Part[[#This Row],[Latitude]])-SEARCH(",",Registre_Maintenance_Part[[#This Row],[Latitude]])))=6,Registre_Maintenance_Part[[#This Row],[Latitude]],"")</f>
        <v>-9.4229749999999992</v>
      </c>
      <c r="I46">
        <f>IF(LEN(RIGHT(Registre_Maintenance_Part[[#This Row],[Longitude]],LEN(Registre_Maintenance_Part[[#This Row],[Longitude]])-SEARCH(",",Registre_Maintenance_Part[[#This Row],[Longitude]])))=6,Registre_Maintenance_Part[[#This Row],[Longitude]],"")</f>
        <v>29.375005999999999</v>
      </c>
    </row>
    <row r="47" spans="1:9" x14ac:dyDescent="0.3">
      <c r="A47" t="s">
        <v>1447</v>
      </c>
      <c r="B47" t="s">
        <v>958</v>
      </c>
      <c r="C47" t="s">
        <v>59</v>
      </c>
      <c r="D47">
        <v>2.975352</v>
      </c>
      <c r="E47">
        <v>22.535886000000001</v>
      </c>
      <c r="F47" t="s">
        <v>1429</v>
      </c>
      <c r="G47" t="s">
        <v>1430</v>
      </c>
      <c r="H47">
        <f>IF(LEN(RIGHT(Registre_Maintenance_Part[[#This Row],[Latitude]],LEN(Registre_Maintenance_Part[[#This Row],[Latitude]])-SEARCH(",",Registre_Maintenance_Part[[#This Row],[Latitude]])))=6,Registre_Maintenance_Part[[#This Row],[Latitude]],"")</f>
        <v>2.975352</v>
      </c>
      <c r="I47">
        <f>IF(LEN(RIGHT(Registre_Maintenance_Part[[#This Row],[Longitude]],LEN(Registre_Maintenance_Part[[#This Row],[Longitude]])-SEARCH(",",Registre_Maintenance_Part[[#This Row],[Longitude]])))=6,Registre_Maintenance_Part[[#This Row],[Longitude]],"")</f>
        <v>22.535886000000001</v>
      </c>
    </row>
    <row r="48" spans="1:9" x14ac:dyDescent="0.3">
      <c r="A48" t="s">
        <v>1447</v>
      </c>
      <c r="B48" t="s">
        <v>1186</v>
      </c>
      <c r="C48" t="s">
        <v>72</v>
      </c>
      <c r="D48">
        <v>2.5458379999999998</v>
      </c>
      <c r="E48">
        <v>13.308655</v>
      </c>
      <c r="F48" t="s">
        <v>1426</v>
      </c>
      <c r="G48" t="s">
        <v>1432</v>
      </c>
      <c r="H48">
        <f>IF(LEN(RIGHT(Registre_Maintenance_Part[[#This Row],[Latitude]],LEN(Registre_Maintenance_Part[[#This Row],[Latitude]])-SEARCH(",",Registre_Maintenance_Part[[#This Row],[Latitude]])))=6,Registre_Maintenance_Part[[#This Row],[Latitude]],"")</f>
        <v>2.5458379999999998</v>
      </c>
      <c r="I48">
        <f>IF(LEN(RIGHT(Registre_Maintenance_Part[[#This Row],[Longitude]],LEN(Registre_Maintenance_Part[[#This Row],[Longitude]])-SEARCH(",",Registre_Maintenance_Part[[#This Row],[Longitude]])))=6,Registre_Maintenance_Part[[#This Row],[Longitude]],"")</f>
        <v>13.308655</v>
      </c>
    </row>
    <row r="49" spans="1:9" x14ac:dyDescent="0.3">
      <c r="A49" t="s">
        <v>1447</v>
      </c>
      <c r="B49" t="s">
        <v>1074</v>
      </c>
      <c r="C49" t="s">
        <v>37</v>
      </c>
      <c r="D49">
        <v>-9.0798120000000004</v>
      </c>
      <c r="E49">
        <v>14.945484</v>
      </c>
      <c r="F49" t="s">
        <v>1426</v>
      </c>
      <c r="G49" t="s">
        <v>1427</v>
      </c>
      <c r="H49">
        <f>IF(LEN(RIGHT(Registre_Maintenance_Part[[#This Row],[Latitude]],LEN(Registre_Maintenance_Part[[#This Row],[Latitude]])-SEARCH(",",Registre_Maintenance_Part[[#This Row],[Latitude]])))=6,Registre_Maintenance_Part[[#This Row],[Latitude]],"")</f>
        <v>-9.0798120000000004</v>
      </c>
      <c r="I49">
        <f>IF(LEN(RIGHT(Registre_Maintenance_Part[[#This Row],[Longitude]],LEN(Registre_Maintenance_Part[[#This Row],[Longitude]])-SEARCH(",",Registre_Maintenance_Part[[#This Row],[Longitude]])))=6,Registre_Maintenance_Part[[#This Row],[Longitude]],"")</f>
        <v>14.945484</v>
      </c>
    </row>
    <row r="50" spans="1:9" x14ac:dyDescent="0.3">
      <c r="A50" t="s">
        <v>1447</v>
      </c>
      <c r="B50" t="s">
        <v>1040</v>
      </c>
      <c r="C50" t="s">
        <v>126</v>
      </c>
      <c r="D50">
        <v>-10.967288</v>
      </c>
      <c r="E50">
        <v>17.617781000000001</v>
      </c>
      <c r="F50" t="s">
        <v>1429</v>
      </c>
      <c r="G50" t="s">
        <v>1427</v>
      </c>
      <c r="H50">
        <f>IF(LEN(RIGHT(Registre_Maintenance_Part[[#This Row],[Latitude]],LEN(Registre_Maintenance_Part[[#This Row],[Latitude]])-SEARCH(",",Registre_Maintenance_Part[[#This Row],[Latitude]])))=6,Registre_Maintenance_Part[[#This Row],[Latitude]],"")</f>
        <v>-10.967288</v>
      </c>
      <c r="I50">
        <f>IF(LEN(RIGHT(Registre_Maintenance_Part[[#This Row],[Longitude]],LEN(Registre_Maintenance_Part[[#This Row],[Longitude]])-SEARCH(",",Registre_Maintenance_Part[[#This Row],[Longitude]])))=6,Registre_Maintenance_Part[[#This Row],[Longitude]],"")</f>
        <v>17.617781000000001</v>
      </c>
    </row>
    <row r="51" spans="1:9" x14ac:dyDescent="0.3">
      <c r="A51" t="s">
        <v>1447</v>
      </c>
      <c r="B51" t="s">
        <v>870</v>
      </c>
      <c r="C51" t="s">
        <v>41</v>
      </c>
      <c r="D51">
        <v>-1.607639</v>
      </c>
      <c r="E51">
        <v>17.003636</v>
      </c>
      <c r="F51" t="s">
        <v>1429</v>
      </c>
      <c r="G51" t="s">
        <v>1427</v>
      </c>
      <c r="H51">
        <f>IF(LEN(RIGHT(Registre_Maintenance_Part[[#This Row],[Latitude]],LEN(Registre_Maintenance_Part[[#This Row],[Latitude]])-SEARCH(",",Registre_Maintenance_Part[[#This Row],[Latitude]])))=6,Registre_Maintenance_Part[[#This Row],[Latitude]],"")</f>
        <v>-1.607639</v>
      </c>
      <c r="I51">
        <f>IF(LEN(RIGHT(Registre_Maintenance_Part[[#This Row],[Longitude]],LEN(Registre_Maintenance_Part[[#This Row],[Longitude]])-SEARCH(",",Registre_Maintenance_Part[[#This Row],[Longitude]])))=6,Registre_Maintenance_Part[[#This Row],[Longitude]],"")</f>
        <v>17.003636</v>
      </c>
    </row>
    <row r="52" spans="1:9" x14ac:dyDescent="0.3">
      <c r="A52" t="s">
        <v>1447</v>
      </c>
      <c r="B52" t="s">
        <v>1287</v>
      </c>
      <c r="C52" t="s">
        <v>59</v>
      </c>
      <c r="D52">
        <v>-7.1587569999999996</v>
      </c>
      <c r="E52">
        <v>18.975141000000001</v>
      </c>
      <c r="F52" t="s">
        <v>1426</v>
      </c>
      <c r="G52" t="s">
        <v>1427</v>
      </c>
      <c r="H52">
        <f>IF(LEN(RIGHT(Registre_Maintenance_Part[[#This Row],[Latitude]],LEN(Registre_Maintenance_Part[[#This Row],[Latitude]])-SEARCH(",",Registre_Maintenance_Part[[#This Row],[Latitude]])))=6,Registre_Maintenance_Part[[#This Row],[Latitude]],"")</f>
        <v>-7.1587569999999996</v>
      </c>
      <c r="I52">
        <f>IF(LEN(RIGHT(Registre_Maintenance_Part[[#This Row],[Longitude]],LEN(Registre_Maintenance_Part[[#This Row],[Longitude]])-SEARCH(",",Registre_Maintenance_Part[[#This Row],[Longitude]])))=6,Registre_Maintenance_Part[[#This Row],[Longitude]],"")</f>
        <v>18.975141000000001</v>
      </c>
    </row>
    <row r="53" spans="1:9" x14ac:dyDescent="0.3">
      <c r="A53" t="s">
        <v>1447</v>
      </c>
      <c r="B53" t="s">
        <v>857</v>
      </c>
      <c r="C53" t="s">
        <v>62</v>
      </c>
      <c r="D53">
        <v>-9.9875139999999991</v>
      </c>
      <c r="E53">
        <v>12.013676999999999</v>
      </c>
      <c r="F53" t="s">
        <v>1431</v>
      </c>
      <c r="G53" t="s">
        <v>1432</v>
      </c>
      <c r="H53">
        <f>IF(LEN(RIGHT(Registre_Maintenance_Part[[#This Row],[Latitude]],LEN(Registre_Maintenance_Part[[#This Row],[Latitude]])-SEARCH(",",Registre_Maintenance_Part[[#This Row],[Latitude]])))=6,Registre_Maintenance_Part[[#This Row],[Latitude]],"")</f>
        <v>-9.9875139999999991</v>
      </c>
      <c r="I53">
        <f>IF(LEN(RIGHT(Registre_Maintenance_Part[[#This Row],[Longitude]],LEN(Registre_Maintenance_Part[[#This Row],[Longitude]])-SEARCH(",",Registre_Maintenance_Part[[#This Row],[Longitude]])))=6,Registre_Maintenance_Part[[#This Row],[Longitude]],"")</f>
        <v>12.013676999999999</v>
      </c>
    </row>
    <row r="54" spans="1:9" x14ac:dyDescent="0.3">
      <c r="A54" t="s">
        <v>1447</v>
      </c>
      <c r="B54" t="s">
        <v>1194</v>
      </c>
      <c r="C54" t="s">
        <v>126</v>
      </c>
      <c r="D54">
        <v>-8.0301989999999996</v>
      </c>
      <c r="E54">
        <v>24.122495000000001</v>
      </c>
      <c r="F54" t="s">
        <v>1426</v>
      </c>
      <c r="G54" t="s">
        <v>1432</v>
      </c>
      <c r="H54">
        <f>IF(LEN(RIGHT(Registre_Maintenance_Part[[#This Row],[Latitude]],LEN(Registre_Maintenance_Part[[#This Row],[Latitude]])-SEARCH(",",Registre_Maintenance_Part[[#This Row],[Latitude]])))=6,Registre_Maintenance_Part[[#This Row],[Latitude]],"")</f>
        <v>-8.0301989999999996</v>
      </c>
      <c r="I54">
        <f>IF(LEN(RIGHT(Registre_Maintenance_Part[[#This Row],[Longitude]],LEN(Registre_Maintenance_Part[[#This Row],[Longitude]])-SEARCH(",",Registre_Maintenance_Part[[#This Row],[Longitude]])))=6,Registre_Maintenance_Part[[#This Row],[Longitude]],"")</f>
        <v>24.122495000000001</v>
      </c>
    </row>
    <row r="55" spans="1:9" x14ac:dyDescent="0.3">
      <c r="A55" t="s">
        <v>1447</v>
      </c>
      <c r="B55" t="s">
        <v>979</v>
      </c>
      <c r="C55" t="s">
        <v>122</v>
      </c>
      <c r="D55">
        <v>-10.846306999999999</v>
      </c>
      <c r="E55">
        <v>19.201827999999999</v>
      </c>
      <c r="F55" t="s">
        <v>1429</v>
      </c>
      <c r="G55" t="s">
        <v>1427</v>
      </c>
      <c r="H55">
        <f>IF(LEN(RIGHT(Registre_Maintenance_Part[[#This Row],[Latitude]],LEN(Registre_Maintenance_Part[[#This Row],[Latitude]])-SEARCH(",",Registre_Maintenance_Part[[#This Row],[Latitude]])))=6,Registre_Maintenance_Part[[#This Row],[Latitude]],"")</f>
        <v>-10.846306999999999</v>
      </c>
      <c r="I55">
        <f>IF(LEN(RIGHT(Registre_Maintenance_Part[[#This Row],[Longitude]],LEN(Registre_Maintenance_Part[[#This Row],[Longitude]])-SEARCH(",",Registre_Maintenance_Part[[#This Row],[Longitude]])))=6,Registre_Maintenance_Part[[#This Row],[Longitude]],"")</f>
        <v>19.201827999999999</v>
      </c>
    </row>
    <row r="56" spans="1:9" x14ac:dyDescent="0.3">
      <c r="A56" t="s">
        <v>1447</v>
      </c>
      <c r="B56" t="s">
        <v>1450</v>
      </c>
      <c r="C56" t="s">
        <v>37</v>
      </c>
      <c r="D56">
        <v>1.204588</v>
      </c>
      <c r="E56">
        <v>15.525152</v>
      </c>
      <c r="F56" t="s">
        <v>1426</v>
      </c>
      <c r="G56" t="s">
        <v>1430</v>
      </c>
      <c r="H56">
        <f>IF(LEN(RIGHT(Registre_Maintenance_Part[[#This Row],[Latitude]],LEN(Registre_Maintenance_Part[[#This Row],[Latitude]])-SEARCH(",",Registre_Maintenance_Part[[#This Row],[Latitude]])))=6,Registre_Maintenance_Part[[#This Row],[Latitude]],"")</f>
        <v>1.204588</v>
      </c>
      <c r="I56">
        <f>IF(LEN(RIGHT(Registre_Maintenance_Part[[#This Row],[Longitude]],LEN(Registre_Maintenance_Part[[#This Row],[Longitude]])-SEARCH(",",Registre_Maintenance_Part[[#This Row],[Longitude]])))=6,Registre_Maintenance_Part[[#This Row],[Longitude]],"")</f>
        <v>15.525152</v>
      </c>
    </row>
    <row r="57" spans="1:9" x14ac:dyDescent="0.3">
      <c r="A57" t="s">
        <v>1447</v>
      </c>
      <c r="B57" t="s">
        <v>1192</v>
      </c>
      <c r="C57" t="s">
        <v>57</v>
      </c>
      <c r="D57">
        <v>-12.839263000000001</v>
      </c>
      <c r="E57">
        <v>12.355677</v>
      </c>
      <c r="F57" t="s">
        <v>1431</v>
      </c>
      <c r="G57" t="s">
        <v>1430</v>
      </c>
      <c r="H57">
        <f>IF(LEN(RIGHT(Registre_Maintenance_Part[[#This Row],[Latitude]],LEN(Registre_Maintenance_Part[[#This Row],[Latitude]])-SEARCH(",",Registre_Maintenance_Part[[#This Row],[Latitude]])))=6,Registre_Maintenance_Part[[#This Row],[Latitude]],"")</f>
        <v>-12.839263000000001</v>
      </c>
      <c r="I57">
        <f>IF(LEN(RIGHT(Registre_Maintenance_Part[[#This Row],[Longitude]],LEN(Registre_Maintenance_Part[[#This Row],[Longitude]])-SEARCH(",",Registre_Maintenance_Part[[#This Row],[Longitude]])))=6,Registre_Maintenance_Part[[#This Row],[Longitude]],"")</f>
        <v>12.355677</v>
      </c>
    </row>
    <row r="58" spans="1:9" x14ac:dyDescent="0.3">
      <c r="A58" t="s">
        <v>1447</v>
      </c>
      <c r="B58" t="s">
        <v>1451</v>
      </c>
      <c r="C58" t="s">
        <v>24</v>
      </c>
      <c r="D58">
        <v>-12.244119</v>
      </c>
      <c r="E58">
        <v>28.279755999999999</v>
      </c>
      <c r="F58" t="s">
        <v>1426</v>
      </c>
      <c r="G58" t="s">
        <v>1432</v>
      </c>
      <c r="H58">
        <f>IF(LEN(RIGHT(Registre_Maintenance_Part[[#This Row],[Latitude]],LEN(Registre_Maintenance_Part[[#This Row],[Latitude]])-SEARCH(",",Registre_Maintenance_Part[[#This Row],[Latitude]])))=6,Registre_Maintenance_Part[[#This Row],[Latitude]],"")</f>
        <v>-12.244119</v>
      </c>
      <c r="I58">
        <f>IF(LEN(RIGHT(Registre_Maintenance_Part[[#This Row],[Longitude]],LEN(Registre_Maintenance_Part[[#This Row],[Longitude]])-SEARCH(",",Registre_Maintenance_Part[[#This Row],[Longitude]])))=6,Registre_Maintenance_Part[[#This Row],[Longitude]],"")</f>
        <v>28.279755999999999</v>
      </c>
    </row>
    <row r="59" spans="1:9" x14ac:dyDescent="0.3">
      <c r="A59" t="s">
        <v>1447</v>
      </c>
      <c r="B59" t="s">
        <v>1452</v>
      </c>
      <c r="C59" t="s">
        <v>27</v>
      </c>
      <c r="D59">
        <v>1.102554</v>
      </c>
      <c r="E59">
        <v>26.744315</v>
      </c>
      <c r="F59" t="s">
        <v>1431</v>
      </c>
      <c r="G59" t="s">
        <v>1427</v>
      </c>
      <c r="H59">
        <f>IF(LEN(RIGHT(Registre_Maintenance_Part[[#This Row],[Latitude]],LEN(Registre_Maintenance_Part[[#This Row],[Latitude]])-SEARCH(",",Registre_Maintenance_Part[[#This Row],[Latitude]])))=6,Registre_Maintenance_Part[[#This Row],[Latitude]],"")</f>
        <v>1.102554</v>
      </c>
      <c r="I59">
        <f>IF(LEN(RIGHT(Registre_Maintenance_Part[[#This Row],[Longitude]],LEN(Registre_Maintenance_Part[[#This Row],[Longitude]])-SEARCH(",",Registre_Maintenance_Part[[#This Row],[Longitude]])))=6,Registre_Maintenance_Part[[#This Row],[Longitude]],"")</f>
        <v>26.744315</v>
      </c>
    </row>
    <row r="60" spans="1:9" x14ac:dyDescent="0.3">
      <c r="A60" t="s">
        <v>1447</v>
      </c>
      <c r="B60" t="s">
        <v>911</v>
      </c>
      <c r="C60" t="s">
        <v>31</v>
      </c>
      <c r="D60">
        <v>-4.4451280000000004</v>
      </c>
      <c r="E60">
        <v>16.536944999999999</v>
      </c>
      <c r="F60" t="s">
        <v>1429</v>
      </c>
      <c r="G60" t="s">
        <v>1427</v>
      </c>
      <c r="H60">
        <f>IF(LEN(RIGHT(Registre_Maintenance_Part[[#This Row],[Latitude]],LEN(Registre_Maintenance_Part[[#This Row],[Latitude]])-SEARCH(",",Registre_Maintenance_Part[[#This Row],[Latitude]])))=6,Registre_Maintenance_Part[[#This Row],[Latitude]],"")</f>
        <v>-4.4451280000000004</v>
      </c>
      <c r="I60">
        <f>IF(LEN(RIGHT(Registre_Maintenance_Part[[#This Row],[Longitude]],LEN(Registre_Maintenance_Part[[#This Row],[Longitude]])-SEARCH(",",Registre_Maintenance_Part[[#This Row],[Longitude]])))=6,Registre_Maintenance_Part[[#This Row],[Longitude]],"")</f>
        <v>16.536944999999999</v>
      </c>
    </row>
    <row r="61" spans="1:9" x14ac:dyDescent="0.3">
      <c r="A61" t="s">
        <v>1447</v>
      </c>
      <c r="B61" t="s">
        <v>907</v>
      </c>
      <c r="C61" t="s">
        <v>62</v>
      </c>
      <c r="D61">
        <v>-2.2681789999999999</v>
      </c>
      <c r="E61">
        <v>25.699068</v>
      </c>
      <c r="F61" t="s">
        <v>1431</v>
      </c>
      <c r="G61" t="s">
        <v>1432</v>
      </c>
      <c r="H61">
        <f>IF(LEN(RIGHT(Registre_Maintenance_Part[[#This Row],[Latitude]],LEN(Registre_Maintenance_Part[[#This Row],[Latitude]])-SEARCH(",",Registre_Maintenance_Part[[#This Row],[Latitude]])))=6,Registre_Maintenance_Part[[#This Row],[Latitude]],"")</f>
        <v>-2.2681789999999999</v>
      </c>
      <c r="I61">
        <f>IF(LEN(RIGHT(Registre_Maintenance_Part[[#This Row],[Longitude]],LEN(Registre_Maintenance_Part[[#This Row],[Longitude]])-SEARCH(",",Registre_Maintenance_Part[[#This Row],[Longitude]])))=6,Registre_Maintenance_Part[[#This Row],[Longitude]],"")</f>
        <v>25.699068</v>
      </c>
    </row>
    <row r="62" spans="1:9" x14ac:dyDescent="0.3">
      <c r="A62" t="s">
        <v>1447</v>
      </c>
      <c r="B62" t="s">
        <v>841</v>
      </c>
      <c r="C62" t="s">
        <v>122</v>
      </c>
      <c r="D62">
        <v>-6.3148239999999998</v>
      </c>
      <c r="E62">
        <v>24.507498999999999</v>
      </c>
      <c r="F62" t="s">
        <v>1431</v>
      </c>
      <c r="G62" t="s">
        <v>1432</v>
      </c>
      <c r="H62">
        <f>IF(LEN(RIGHT(Registre_Maintenance_Part[[#This Row],[Latitude]],LEN(Registre_Maintenance_Part[[#This Row],[Latitude]])-SEARCH(",",Registre_Maintenance_Part[[#This Row],[Latitude]])))=6,Registre_Maintenance_Part[[#This Row],[Latitude]],"")</f>
        <v>-6.3148239999999998</v>
      </c>
      <c r="I62">
        <f>IF(LEN(RIGHT(Registre_Maintenance_Part[[#This Row],[Longitude]],LEN(Registre_Maintenance_Part[[#This Row],[Longitude]])-SEARCH(",",Registre_Maintenance_Part[[#This Row],[Longitude]])))=6,Registre_Maintenance_Part[[#This Row],[Longitude]],"")</f>
        <v>24.507498999999999</v>
      </c>
    </row>
    <row r="63" spans="1:9" x14ac:dyDescent="0.3">
      <c r="A63" t="s">
        <v>1447</v>
      </c>
      <c r="B63" t="s">
        <v>1078</v>
      </c>
      <c r="C63" t="s">
        <v>61</v>
      </c>
      <c r="D63">
        <v>-11.389362</v>
      </c>
      <c r="E63">
        <v>22.240174</v>
      </c>
      <c r="F63" t="s">
        <v>1426</v>
      </c>
      <c r="G63" t="s">
        <v>1432</v>
      </c>
      <c r="H63">
        <f>IF(LEN(RIGHT(Registre_Maintenance_Part[[#This Row],[Latitude]],LEN(Registre_Maintenance_Part[[#This Row],[Latitude]])-SEARCH(",",Registre_Maintenance_Part[[#This Row],[Latitude]])))=6,Registre_Maintenance_Part[[#This Row],[Latitude]],"")</f>
        <v>-11.389362</v>
      </c>
      <c r="I63">
        <f>IF(LEN(RIGHT(Registre_Maintenance_Part[[#This Row],[Longitude]],LEN(Registre_Maintenance_Part[[#This Row],[Longitude]])-SEARCH(",",Registre_Maintenance_Part[[#This Row],[Longitude]])))=6,Registre_Maintenance_Part[[#This Row],[Longitude]],"")</f>
        <v>22.240174</v>
      </c>
    </row>
    <row r="64" spans="1:9" x14ac:dyDescent="0.3">
      <c r="A64" t="s">
        <v>1447</v>
      </c>
      <c r="B64" t="s">
        <v>1178</v>
      </c>
      <c r="C64" t="s">
        <v>48</v>
      </c>
      <c r="D64">
        <v>-10.161428000000001</v>
      </c>
      <c r="E64">
        <v>19.362325999999999</v>
      </c>
      <c r="F64" t="s">
        <v>1431</v>
      </c>
      <c r="G64" t="s">
        <v>1438</v>
      </c>
      <c r="H64">
        <f>IF(LEN(RIGHT(Registre_Maintenance_Part[[#This Row],[Latitude]],LEN(Registre_Maintenance_Part[[#This Row],[Latitude]])-SEARCH(",",Registre_Maintenance_Part[[#This Row],[Latitude]])))=6,Registre_Maintenance_Part[[#This Row],[Latitude]],"")</f>
        <v>-10.161428000000001</v>
      </c>
      <c r="I64">
        <f>IF(LEN(RIGHT(Registre_Maintenance_Part[[#This Row],[Longitude]],LEN(Registre_Maintenance_Part[[#This Row],[Longitude]])-SEARCH(",",Registre_Maintenance_Part[[#This Row],[Longitude]])))=6,Registre_Maintenance_Part[[#This Row],[Longitude]],"")</f>
        <v>19.362325999999999</v>
      </c>
    </row>
    <row r="65" spans="1:9" x14ac:dyDescent="0.3">
      <c r="A65" t="s">
        <v>1447</v>
      </c>
      <c r="B65" t="s">
        <v>1225</v>
      </c>
      <c r="C65" t="s">
        <v>126</v>
      </c>
      <c r="D65">
        <v>-11.354772000000001</v>
      </c>
      <c r="E65">
        <v>21.957325999999998</v>
      </c>
      <c r="F65" t="s">
        <v>1431</v>
      </c>
      <c r="G65" t="s">
        <v>1438</v>
      </c>
      <c r="H65">
        <f>IF(LEN(RIGHT(Registre_Maintenance_Part[[#This Row],[Latitude]],LEN(Registre_Maintenance_Part[[#This Row],[Latitude]])-SEARCH(",",Registre_Maintenance_Part[[#This Row],[Latitude]])))=6,Registre_Maintenance_Part[[#This Row],[Latitude]],"")</f>
        <v>-11.354772000000001</v>
      </c>
      <c r="I65">
        <f>IF(LEN(RIGHT(Registre_Maintenance_Part[[#This Row],[Longitude]],LEN(Registre_Maintenance_Part[[#This Row],[Longitude]])-SEARCH(",",Registre_Maintenance_Part[[#This Row],[Longitude]])))=6,Registre_Maintenance_Part[[#This Row],[Longitude]],"")</f>
        <v>21.957325999999998</v>
      </c>
    </row>
    <row r="66" spans="1:9" x14ac:dyDescent="0.3">
      <c r="A66" t="s">
        <v>1447</v>
      </c>
      <c r="B66" t="s">
        <v>787</v>
      </c>
      <c r="C66" t="s">
        <v>35</v>
      </c>
      <c r="D66">
        <v>-1.864393</v>
      </c>
      <c r="E66">
        <v>21.453434000000001</v>
      </c>
      <c r="F66" t="s">
        <v>1426</v>
      </c>
      <c r="G66" t="s">
        <v>1427</v>
      </c>
      <c r="H66">
        <f>IF(LEN(RIGHT(Registre_Maintenance_Part[[#This Row],[Latitude]],LEN(Registre_Maintenance_Part[[#This Row],[Latitude]])-SEARCH(",",Registre_Maintenance_Part[[#This Row],[Latitude]])))=6,Registre_Maintenance_Part[[#This Row],[Latitude]],"")</f>
        <v>-1.864393</v>
      </c>
      <c r="I66">
        <f>IF(LEN(RIGHT(Registre_Maintenance_Part[[#This Row],[Longitude]],LEN(Registre_Maintenance_Part[[#This Row],[Longitude]])-SEARCH(",",Registre_Maintenance_Part[[#This Row],[Longitude]])))=6,Registre_Maintenance_Part[[#This Row],[Longitude]],"")</f>
        <v>21.453434000000001</v>
      </c>
    </row>
    <row r="67" spans="1:9" x14ac:dyDescent="0.3">
      <c r="A67" t="s">
        <v>1447</v>
      </c>
      <c r="B67" t="s">
        <v>1453</v>
      </c>
      <c r="C67" t="s">
        <v>54</v>
      </c>
      <c r="D67">
        <v>3.7552780000000001</v>
      </c>
      <c r="E67">
        <v>22.477888</v>
      </c>
      <c r="F67" t="s">
        <v>1431</v>
      </c>
      <c r="G67" t="s">
        <v>1438</v>
      </c>
      <c r="H67">
        <f>IF(LEN(RIGHT(Registre_Maintenance_Part[[#This Row],[Latitude]],LEN(Registre_Maintenance_Part[[#This Row],[Latitude]])-SEARCH(",",Registre_Maintenance_Part[[#This Row],[Latitude]])))=6,Registre_Maintenance_Part[[#This Row],[Latitude]],"")</f>
        <v>3.7552780000000001</v>
      </c>
      <c r="I67">
        <f>IF(LEN(RIGHT(Registre_Maintenance_Part[[#This Row],[Longitude]],LEN(Registre_Maintenance_Part[[#This Row],[Longitude]])-SEARCH(",",Registre_Maintenance_Part[[#This Row],[Longitude]])))=6,Registre_Maintenance_Part[[#This Row],[Longitude]],"")</f>
        <v>22.477888</v>
      </c>
    </row>
    <row r="68" spans="1:9" x14ac:dyDescent="0.3">
      <c r="A68" t="s">
        <v>1447</v>
      </c>
      <c r="B68" t="s">
        <v>1046</v>
      </c>
      <c r="C68" t="s">
        <v>122</v>
      </c>
      <c r="D68">
        <v>4.9455159999999996</v>
      </c>
      <c r="E68">
        <v>23.647746000000001</v>
      </c>
      <c r="F68" t="s">
        <v>1426</v>
      </c>
      <c r="G68" t="s">
        <v>1430</v>
      </c>
      <c r="H68">
        <f>IF(LEN(RIGHT(Registre_Maintenance_Part[[#This Row],[Latitude]],LEN(Registre_Maintenance_Part[[#This Row],[Latitude]])-SEARCH(",",Registre_Maintenance_Part[[#This Row],[Latitude]])))=6,Registre_Maintenance_Part[[#This Row],[Latitude]],"")</f>
        <v>4.9455159999999996</v>
      </c>
      <c r="I68">
        <f>IF(LEN(RIGHT(Registre_Maintenance_Part[[#This Row],[Longitude]],LEN(Registre_Maintenance_Part[[#This Row],[Longitude]])-SEARCH(",",Registre_Maintenance_Part[[#This Row],[Longitude]])))=6,Registre_Maintenance_Part[[#This Row],[Longitude]],"")</f>
        <v>23.647746000000001</v>
      </c>
    </row>
    <row r="69" spans="1:9" x14ac:dyDescent="0.3">
      <c r="A69" t="s">
        <v>1447</v>
      </c>
      <c r="B69" t="s">
        <v>1454</v>
      </c>
      <c r="C69" t="s">
        <v>126</v>
      </c>
      <c r="D69">
        <v>-1.7476179999999999</v>
      </c>
      <c r="E69">
        <v>18.129401000000001</v>
      </c>
      <c r="F69" t="s">
        <v>1429</v>
      </c>
      <c r="G69" t="s">
        <v>1427</v>
      </c>
      <c r="H69">
        <f>IF(LEN(RIGHT(Registre_Maintenance_Part[[#This Row],[Latitude]],LEN(Registre_Maintenance_Part[[#This Row],[Latitude]])-SEARCH(",",Registre_Maintenance_Part[[#This Row],[Latitude]])))=6,Registre_Maintenance_Part[[#This Row],[Latitude]],"")</f>
        <v>-1.7476179999999999</v>
      </c>
      <c r="I69">
        <f>IF(LEN(RIGHT(Registre_Maintenance_Part[[#This Row],[Longitude]],LEN(Registre_Maintenance_Part[[#This Row],[Longitude]])-SEARCH(",",Registre_Maintenance_Part[[#This Row],[Longitude]])))=6,Registre_Maintenance_Part[[#This Row],[Longitude]],"")</f>
        <v>18.129401000000001</v>
      </c>
    </row>
    <row r="70" spans="1:9" x14ac:dyDescent="0.3">
      <c r="A70" t="s">
        <v>1447</v>
      </c>
      <c r="B70" t="s">
        <v>1238</v>
      </c>
      <c r="C70" t="s">
        <v>118</v>
      </c>
      <c r="D70">
        <v>-11.924048000000001</v>
      </c>
      <c r="E70">
        <v>24.177174999999998</v>
      </c>
      <c r="F70" t="s">
        <v>1431</v>
      </c>
      <c r="G70" t="s">
        <v>1438</v>
      </c>
      <c r="H70">
        <f>IF(LEN(RIGHT(Registre_Maintenance_Part[[#This Row],[Latitude]],LEN(Registre_Maintenance_Part[[#This Row],[Latitude]])-SEARCH(",",Registre_Maintenance_Part[[#This Row],[Latitude]])))=6,Registre_Maintenance_Part[[#This Row],[Latitude]],"")</f>
        <v>-11.924048000000001</v>
      </c>
      <c r="I70">
        <f>IF(LEN(RIGHT(Registre_Maintenance_Part[[#This Row],[Longitude]],LEN(Registre_Maintenance_Part[[#This Row],[Longitude]])-SEARCH(",",Registre_Maintenance_Part[[#This Row],[Longitude]])))=6,Registre_Maintenance_Part[[#This Row],[Longitude]],"")</f>
        <v>24.177174999999998</v>
      </c>
    </row>
    <row r="71" spans="1:9" x14ac:dyDescent="0.3">
      <c r="A71" t="s">
        <v>1447</v>
      </c>
      <c r="B71" t="s">
        <v>957</v>
      </c>
      <c r="C71" t="s">
        <v>54</v>
      </c>
      <c r="D71">
        <v>-1.3976519999999999</v>
      </c>
      <c r="E71">
        <v>14.098819000000001</v>
      </c>
      <c r="F71" t="s">
        <v>1431</v>
      </c>
      <c r="G71" t="s">
        <v>1427</v>
      </c>
      <c r="H71">
        <f>IF(LEN(RIGHT(Registre_Maintenance_Part[[#This Row],[Latitude]],LEN(Registre_Maintenance_Part[[#This Row],[Latitude]])-SEARCH(",",Registre_Maintenance_Part[[#This Row],[Latitude]])))=6,Registre_Maintenance_Part[[#This Row],[Latitude]],"")</f>
        <v>-1.3976519999999999</v>
      </c>
      <c r="I71">
        <f>IF(LEN(RIGHT(Registre_Maintenance_Part[[#This Row],[Longitude]],LEN(Registre_Maintenance_Part[[#This Row],[Longitude]])-SEARCH(",",Registre_Maintenance_Part[[#This Row],[Longitude]])))=6,Registre_Maintenance_Part[[#This Row],[Longitude]],"")</f>
        <v>14.098819000000001</v>
      </c>
    </row>
    <row r="72" spans="1:9" x14ac:dyDescent="0.3">
      <c r="A72" t="s">
        <v>1447</v>
      </c>
      <c r="B72" t="s">
        <v>1293</v>
      </c>
      <c r="C72" t="s">
        <v>59</v>
      </c>
      <c r="D72">
        <v>1.2463919999999999</v>
      </c>
      <c r="E72">
        <v>13.266916999999999</v>
      </c>
      <c r="F72" t="s">
        <v>1426</v>
      </c>
      <c r="G72" t="s">
        <v>1430</v>
      </c>
      <c r="H72">
        <f>IF(LEN(RIGHT(Registre_Maintenance_Part[[#This Row],[Latitude]],LEN(Registre_Maintenance_Part[[#This Row],[Latitude]])-SEARCH(",",Registre_Maintenance_Part[[#This Row],[Latitude]])))=6,Registre_Maintenance_Part[[#This Row],[Latitude]],"")</f>
        <v>1.2463919999999999</v>
      </c>
      <c r="I72">
        <f>IF(LEN(RIGHT(Registre_Maintenance_Part[[#This Row],[Longitude]],LEN(Registre_Maintenance_Part[[#This Row],[Longitude]])-SEARCH(",",Registre_Maintenance_Part[[#This Row],[Longitude]])))=6,Registre_Maintenance_Part[[#This Row],[Longitude]],"")</f>
        <v>13.266916999999999</v>
      </c>
    </row>
    <row r="73" spans="1:9" x14ac:dyDescent="0.3">
      <c r="A73" t="s">
        <v>1447</v>
      </c>
      <c r="B73" t="s">
        <v>1388</v>
      </c>
      <c r="C73" t="s">
        <v>31</v>
      </c>
      <c r="D73">
        <v>-10.735106</v>
      </c>
      <c r="E73">
        <v>27.868673999999999</v>
      </c>
      <c r="F73" t="s">
        <v>1431</v>
      </c>
      <c r="G73" t="s">
        <v>1427</v>
      </c>
      <c r="H73">
        <f>IF(LEN(RIGHT(Registre_Maintenance_Part[[#This Row],[Latitude]],LEN(Registre_Maintenance_Part[[#This Row],[Latitude]])-SEARCH(",",Registre_Maintenance_Part[[#This Row],[Latitude]])))=6,Registre_Maintenance_Part[[#This Row],[Latitude]],"")</f>
        <v>-10.735106</v>
      </c>
      <c r="I73">
        <f>IF(LEN(RIGHT(Registre_Maintenance_Part[[#This Row],[Longitude]],LEN(Registre_Maintenance_Part[[#This Row],[Longitude]])-SEARCH(",",Registre_Maintenance_Part[[#This Row],[Longitude]])))=6,Registre_Maintenance_Part[[#This Row],[Longitude]],"")</f>
        <v>27.868673999999999</v>
      </c>
    </row>
    <row r="74" spans="1:9" x14ac:dyDescent="0.3">
      <c r="A74" t="s">
        <v>1447</v>
      </c>
      <c r="B74" t="s">
        <v>1307</v>
      </c>
      <c r="C74" t="s">
        <v>118</v>
      </c>
      <c r="D74">
        <v>-8.8118569999999998</v>
      </c>
      <c r="E74">
        <v>14.465711000000001</v>
      </c>
      <c r="F74" t="s">
        <v>1426</v>
      </c>
      <c r="G74" t="s">
        <v>1438</v>
      </c>
      <c r="H74">
        <f>IF(LEN(RIGHT(Registre_Maintenance_Part[[#This Row],[Latitude]],LEN(Registre_Maintenance_Part[[#This Row],[Latitude]])-SEARCH(",",Registre_Maintenance_Part[[#This Row],[Latitude]])))=6,Registre_Maintenance_Part[[#This Row],[Latitude]],"")</f>
        <v>-8.8118569999999998</v>
      </c>
      <c r="I74">
        <f>IF(LEN(RIGHT(Registre_Maintenance_Part[[#This Row],[Longitude]],LEN(Registre_Maintenance_Part[[#This Row],[Longitude]])-SEARCH(",",Registre_Maintenance_Part[[#This Row],[Longitude]])))=6,Registre_Maintenance_Part[[#This Row],[Longitude]],"")</f>
        <v>14.465711000000001</v>
      </c>
    </row>
    <row r="75" spans="1:9" x14ac:dyDescent="0.3">
      <c r="A75" t="s">
        <v>1447</v>
      </c>
      <c r="B75" t="s">
        <v>1455</v>
      </c>
      <c r="C75" t="s">
        <v>17</v>
      </c>
      <c r="D75">
        <v>4.6701629999999996</v>
      </c>
      <c r="E75">
        <v>28.596363</v>
      </c>
      <c r="F75" t="s">
        <v>1426</v>
      </c>
      <c r="G75" t="s">
        <v>1427</v>
      </c>
      <c r="H75">
        <f>IF(LEN(RIGHT(Registre_Maintenance_Part[[#This Row],[Latitude]],LEN(Registre_Maintenance_Part[[#This Row],[Latitude]])-SEARCH(",",Registre_Maintenance_Part[[#This Row],[Latitude]])))=6,Registre_Maintenance_Part[[#This Row],[Latitude]],"")</f>
        <v>4.6701629999999996</v>
      </c>
      <c r="I75">
        <f>IF(LEN(RIGHT(Registre_Maintenance_Part[[#This Row],[Longitude]],LEN(Registre_Maintenance_Part[[#This Row],[Longitude]])-SEARCH(",",Registre_Maintenance_Part[[#This Row],[Longitude]])))=6,Registre_Maintenance_Part[[#This Row],[Longitude]],"")</f>
        <v>28.596363</v>
      </c>
    </row>
    <row r="76" spans="1:9" x14ac:dyDescent="0.3">
      <c r="A76" t="s">
        <v>1447</v>
      </c>
      <c r="B76" t="s">
        <v>1456</v>
      </c>
      <c r="C76" t="s">
        <v>126</v>
      </c>
      <c r="D76">
        <v>1.194113</v>
      </c>
      <c r="E76">
        <v>15.839502</v>
      </c>
      <c r="F76" t="s">
        <v>1431</v>
      </c>
      <c r="G76" t="s">
        <v>1430</v>
      </c>
      <c r="H76">
        <f>IF(LEN(RIGHT(Registre_Maintenance_Part[[#This Row],[Latitude]],LEN(Registre_Maintenance_Part[[#This Row],[Latitude]])-SEARCH(",",Registre_Maintenance_Part[[#This Row],[Latitude]])))=6,Registre_Maintenance_Part[[#This Row],[Latitude]],"")</f>
        <v>1.194113</v>
      </c>
      <c r="I76">
        <f>IF(LEN(RIGHT(Registre_Maintenance_Part[[#This Row],[Longitude]],LEN(Registre_Maintenance_Part[[#This Row],[Longitude]])-SEARCH(",",Registre_Maintenance_Part[[#This Row],[Longitude]])))=6,Registre_Maintenance_Part[[#This Row],[Longitude]],"")</f>
        <v>15.839502</v>
      </c>
    </row>
    <row r="77" spans="1:9" x14ac:dyDescent="0.3">
      <c r="A77" t="s">
        <v>1447</v>
      </c>
      <c r="B77" t="s">
        <v>1137</v>
      </c>
      <c r="C77" t="s">
        <v>48</v>
      </c>
      <c r="D77">
        <v>0.62055499999999997</v>
      </c>
      <c r="E77">
        <v>21.222035000000002</v>
      </c>
      <c r="F77" t="s">
        <v>1426</v>
      </c>
      <c r="G77" t="s">
        <v>1438</v>
      </c>
      <c r="H77">
        <f>IF(LEN(RIGHT(Registre_Maintenance_Part[[#This Row],[Latitude]],LEN(Registre_Maintenance_Part[[#This Row],[Latitude]])-SEARCH(",",Registre_Maintenance_Part[[#This Row],[Latitude]])))=6,Registre_Maintenance_Part[[#This Row],[Latitude]],"")</f>
        <v>0.62055499999999997</v>
      </c>
      <c r="I77">
        <f>IF(LEN(RIGHT(Registre_Maintenance_Part[[#This Row],[Longitude]],LEN(Registre_Maintenance_Part[[#This Row],[Longitude]])-SEARCH(",",Registre_Maintenance_Part[[#This Row],[Longitude]])))=6,Registre_Maintenance_Part[[#This Row],[Longitude]],"")</f>
        <v>21.222035000000002</v>
      </c>
    </row>
    <row r="78" spans="1:9" x14ac:dyDescent="0.3">
      <c r="A78" t="s">
        <v>1447</v>
      </c>
      <c r="B78" t="s">
        <v>1457</v>
      </c>
      <c r="C78" t="s">
        <v>68</v>
      </c>
      <c r="D78">
        <v>1.499457</v>
      </c>
      <c r="E78">
        <v>13.876317999999999</v>
      </c>
      <c r="F78" t="s">
        <v>1426</v>
      </c>
      <c r="G78" t="s">
        <v>1438</v>
      </c>
      <c r="H78">
        <f>IF(LEN(RIGHT(Registre_Maintenance_Part[[#This Row],[Latitude]],LEN(Registre_Maintenance_Part[[#This Row],[Latitude]])-SEARCH(",",Registre_Maintenance_Part[[#This Row],[Latitude]])))=6,Registre_Maintenance_Part[[#This Row],[Latitude]],"")</f>
        <v>1.499457</v>
      </c>
      <c r="I78">
        <f>IF(LEN(RIGHT(Registre_Maintenance_Part[[#This Row],[Longitude]],LEN(Registre_Maintenance_Part[[#This Row],[Longitude]])-SEARCH(",",Registre_Maintenance_Part[[#This Row],[Longitude]])))=6,Registre_Maintenance_Part[[#This Row],[Longitude]],"")</f>
        <v>13.876317999999999</v>
      </c>
    </row>
    <row r="79" spans="1:9" x14ac:dyDescent="0.3">
      <c r="A79" t="s">
        <v>1447</v>
      </c>
      <c r="B79" t="s">
        <v>817</v>
      </c>
      <c r="C79" t="s">
        <v>31</v>
      </c>
      <c r="D79">
        <v>-9.5266249999999992</v>
      </c>
      <c r="E79">
        <v>27.889690999999999</v>
      </c>
      <c r="F79" t="s">
        <v>1429</v>
      </c>
      <c r="G79" t="s">
        <v>1427</v>
      </c>
      <c r="H79">
        <f>IF(LEN(RIGHT(Registre_Maintenance_Part[[#This Row],[Latitude]],LEN(Registre_Maintenance_Part[[#This Row],[Latitude]])-SEARCH(",",Registre_Maintenance_Part[[#This Row],[Latitude]])))=6,Registre_Maintenance_Part[[#This Row],[Latitude]],"")</f>
        <v>-9.5266249999999992</v>
      </c>
      <c r="I79">
        <f>IF(LEN(RIGHT(Registre_Maintenance_Part[[#This Row],[Longitude]],LEN(Registre_Maintenance_Part[[#This Row],[Longitude]])-SEARCH(",",Registre_Maintenance_Part[[#This Row],[Longitude]])))=6,Registre_Maintenance_Part[[#This Row],[Longitude]],"")</f>
        <v>27.889690999999999</v>
      </c>
    </row>
    <row r="80" spans="1:9" x14ac:dyDescent="0.3">
      <c r="A80" t="s">
        <v>1447</v>
      </c>
      <c r="B80" t="s">
        <v>1064</v>
      </c>
      <c r="C80" t="s">
        <v>122</v>
      </c>
      <c r="D80">
        <v>-6.5529849999999996</v>
      </c>
      <c r="E80">
        <v>21.990606</v>
      </c>
      <c r="F80" t="s">
        <v>1431</v>
      </c>
      <c r="G80" t="s">
        <v>1430</v>
      </c>
      <c r="H80">
        <f>IF(LEN(RIGHT(Registre_Maintenance_Part[[#This Row],[Latitude]],LEN(Registre_Maintenance_Part[[#This Row],[Latitude]])-SEARCH(",",Registre_Maintenance_Part[[#This Row],[Latitude]])))=6,Registre_Maintenance_Part[[#This Row],[Latitude]],"")</f>
        <v>-6.5529849999999996</v>
      </c>
      <c r="I80">
        <f>IF(LEN(RIGHT(Registre_Maintenance_Part[[#This Row],[Longitude]],LEN(Registre_Maintenance_Part[[#This Row],[Longitude]])-SEARCH(",",Registre_Maintenance_Part[[#This Row],[Longitude]])))=6,Registre_Maintenance_Part[[#This Row],[Longitude]],"")</f>
        <v>21.990606</v>
      </c>
    </row>
    <row r="81" spans="1:9" x14ac:dyDescent="0.3">
      <c r="A81" t="s">
        <v>1447</v>
      </c>
      <c r="B81" t="s">
        <v>1315</v>
      </c>
      <c r="C81" t="s">
        <v>12</v>
      </c>
      <c r="D81">
        <v>-10.574821</v>
      </c>
      <c r="E81">
        <v>25.324966</v>
      </c>
      <c r="F81" t="s">
        <v>1426</v>
      </c>
      <c r="G81" t="s">
        <v>1427</v>
      </c>
      <c r="H81">
        <f>IF(LEN(RIGHT(Registre_Maintenance_Part[[#This Row],[Latitude]],LEN(Registre_Maintenance_Part[[#This Row],[Latitude]])-SEARCH(",",Registre_Maintenance_Part[[#This Row],[Latitude]])))=6,Registre_Maintenance_Part[[#This Row],[Latitude]],"")</f>
        <v>-10.574821</v>
      </c>
      <c r="I81">
        <f>IF(LEN(RIGHT(Registre_Maintenance_Part[[#This Row],[Longitude]],LEN(Registre_Maintenance_Part[[#This Row],[Longitude]])-SEARCH(",",Registre_Maintenance_Part[[#This Row],[Longitude]])))=6,Registre_Maintenance_Part[[#This Row],[Longitude]],"")</f>
        <v>25.324966</v>
      </c>
    </row>
    <row r="82" spans="1:9" x14ac:dyDescent="0.3">
      <c r="A82" t="s">
        <v>1447</v>
      </c>
      <c r="B82" t="s">
        <v>1375</v>
      </c>
      <c r="C82" t="s">
        <v>33</v>
      </c>
      <c r="D82">
        <v>3.175935</v>
      </c>
      <c r="E82">
        <v>16.862832000000001</v>
      </c>
      <c r="F82" t="s">
        <v>1426</v>
      </c>
      <c r="G82" t="s">
        <v>1427</v>
      </c>
      <c r="H82">
        <f>IF(LEN(RIGHT(Registre_Maintenance_Part[[#This Row],[Latitude]],LEN(Registre_Maintenance_Part[[#This Row],[Latitude]])-SEARCH(",",Registre_Maintenance_Part[[#This Row],[Latitude]])))=6,Registre_Maintenance_Part[[#This Row],[Latitude]],"")</f>
        <v>3.175935</v>
      </c>
      <c r="I82">
        <f>IF(LEN(RIGHT(Registre_Maintenance_Part[[#This Row],[Longitude]],LEN(Registre_Maintenance_Part[[#This Row],[Longitude]])-SEARCH(",",Registre_Maintenance_Part[[#This Row],[Longitude]])))=6,Registre_Maintenance_Part[[#This Row],[Longitude]],"")</f>
        <v>16.862832000000001</v>
      </c>
    </row>
    <row r="83" spans="1:9" x14ac:dyDescent="0.3">
      <c r="A83" t="s">
        <v>1447</v>
      </c>
      <c r="B83" t="s">
        <v>921</v>
      </c>
      <c r="C83" t="s">
        <v>72</v>
      </c>
      <c r="D83">
        <v>-4.2645619999999997</v>
      </c>
      <c r="E83">
        <v>18.960726000000001</v>
      </c>
      <c r="F83" t="s">
        <v>1429</v>
      </c>
      <c r="G83" t="s">
        <v>1430</v>
      </c>
      <c r="H83">
        <f>IF(LEN(RIGHT(Registre_Maintenance_Part[[#This Row],[Latitude]],LEN(Registre_Maintenance_Part[[#This Row],[Latitude]])-SEARCH(",",Registre_Maintenance_Part[[#This Row],[Latitude]])))=6,Registre_Maintenance_Part[[#This Row],[Latitude]],"")</f>
        <v>-4.2645619999999997</v>
      </c>
      <c r="I83">
        <f>IF(LEN(RIGHT(Registre_Maintenance_Part[[#This Row],[Longitude]],LEN(Registre_Maintenance_Part[[#This Row],[Longitude]])-SEARCH(",",Registre_Maintenance_Part[[#This Row],[Longitude]])))=6,Registre_Maintenance_Part[[#This Row],[Longitude]],"")</f>
        <v>18.960726000000001</v>
      </c>
    </row>
    <row r="84" spans="1:9" x14ac:dyDescent="0.3">
      <c r="A84" t="s">
        <v>1447</v>
      </c>
      <c r="B84" t="s">
        <v>1260</v>
      </c>
      <c r="C84" t="s">
        <v>15</v>
      </c>
      <c r="D84">
        <v>-7.6951369999999999</v>
      </c>
      <c r="E84">
        <v>13.346605</v>
      </c>
      <c r="F84" t="s">
        <v>1429</v>
      </c>
      <c r="G84" t="s">
        <v>1427</v>
      </c>
      <c r="H84">
        <f>IF(LEN(RIGHT(Registre_Maintenance_Part[[#This Row],[Latitude]],LEN(Registre_Maintenance_Part[[#This Row],[Latitude]])-SEARCH(",",Registre_Maintenance_Part[[#This Row],[Latitude]])))=6,Registre_Maintenance_Part[[#This Row],[Latitude]],"")</f>
        <v>-7.6951369999999999</v>
      </c>
      <c r="I84">
        <f>IF(LEN(RIGHT(Registre_Maintenance_Part[[#This Row],[Longitude]],LEN(Registre_Maintenance_Part[[#This Row],[Longitude]])-SEARCH(",",Registre_Maintenance_Part[[#This Row],[Longitude]])))=6,Registre_Maintenance_Part[[#This Row],[Longitude]],"")</f>
        <v>13.346605</v>
      </c>
    </row>
    <row r="85" spans="1:9" x14ac:dyDescent="0.3">
      <c r="A85" t="s">
        <v>1447</v>
      </c>
      <c r="B85" t="s">
        <v>1030</v>
      </c>
      <c r="C85" t="s">
        <v>59</v>
      </c>
      <c r="D85">
        <v>-9.5840350000000001</v>
      </c>
      <c r="E85">
        <v>15.966024000000001</v>
      </c>
      <c r="F85" t="s">
        <v>1426</v>
      </c>
      <c r="G85" t="s">
        <v>1438</v>
      </c>
      <c r="H85">
        <f>IF(LEN(RIGHT(Registre_Maintenance_Part[[#This Row],[Latitude]],LEN(Registre_Maintenance_Part[[#This Row],[Latitude]])-SEARCH(",",Registre_Maintenance_Part[[#This Row],[Latitude]])))=6,Registre_Maintenance_Part[[#This Row],[Latitude]],"")</f>
        <v>-9.5840350000000001</v>
      </c>
      <c r="I85">
        <f>IF(LEN(RIGHT(Registre_Maintenance_Part[[#This Row],[Longitude]],LEN(Registre_Maintenance_Part[[#This Row],[Longitude]])-SEARCH(",",Registre_Maintenance_Part[[#This Row],[Longitude]])))=6,Registre_Maintenance_Part[[#This Row],[Longitude]],"")</f>
        <v>15.966024000000001</v>
      </c>
    </row>
    <row r="86" spans="1:9" x14ac:dyDescent="0.3">
      <c r="A86" t="s">
        <v>1447</v>
      </c>
      <c r="B86" t="s">
        <v>1380</v>
      </c>
      <c r="C86" t="s">
        <v>17</v>
      </c>
      <c r="D86">
        <v>-9.6407190000000007</v>
      </c>
      <c r="E86">
        <v>21.336704999999998</v>
      </c>
      <c r="F86" t="s">
        <v>1429</v>
      </c>
      <c r="G86" t="s">
        <v>1432</v>
      </c>
      <c r="H86">
        <f>IF(LEN(RIGHT(Registre_Maintenance_Part[[#This Row],[Latitude]],LEN(Registre_Maintenance_Part[[#This Row],[Latitude]])-SEARCH(",",Registre_Maintenance_Part[[#This Row],[Latitude]])))=6,Registre_Maintenance_Part[[#This Row],[Latitude]],"")</f>
        <v>-9.6407190000000007</v>
      </c>
      <c r="I86">
        <f>IF(LEN(RIGHT(Registre_Maintenance_Part[[#This Row],[Longitude]],LEN(Registre_Maintenance_Part[[#This Row],[Longitude]])-SEARCH(",",Registre_Maintenance_Part[[#This Row],[Longitude]])))=6,Registre_Maintenance_Part[[#This Row],[Longitude]],"")</f>
        <v>21.336704999999998</v>
      </c>
    </row>
    <row r="87" spans="1:9" x14ac:dyDescent="0.3">
      <c r="A87" t="s">
        <v>1447</v>
      </c>
      <c r="B87" t="s">
        <v>1458</v>
      </c>
      <c r="C87" t="s">
        <v>57</v>
      </c>
      <c r="D87">
        <v>-6.7420359999999997</v>
      </c>
      <c r="E87">
        <v>28.905578999999999</v>
      </c>
      <c r="F87" t="s">
        <v>1431</v>
      </c>
      <c r="G87" t="s">
        <v>1430</v>
      </c>
      <c r="H87">
        <f>IF(LEN(RIGHT(Registre_Maintenance_Part[[#This Row],[Latitude]],LEN(Registre_Maintenance_Part[[#This Row],[Latitude]])-SEARCH(",",Registre_Maintenance_Part[[#This Row],[Latitude]])))=6,Registre_Maintenance_Part[[#This Row],[Latitude]],"")</f>
        <v>-6.7420359999999997</v>
      </c>
      <c r="I87">
        <f>IF(LEN(RIGHT(Registre_Maintenance_Part[[#This Row],[Longitude]],LEN(Registre_Maintenance_Part[[#This Row],[Longitude]])-SEARCH(",",Registre_Maintenance_Part[[#This Row],[Longitude]])))=6,Registre_Maintenance_Part[[#This Row],[Longitude]],"")</f>
        <v>28.905578999999999</v>
      </c>
    </row>
    <row r="88" spans="1:9" x14ac:dyDescent="0.3">
      <c r="A88" t="s">
        <v>1459</v>
      </c>
      <c r="B88" t="s">
        <v>950</v>
      </c>
      <c r="C88" t="s">
        <v>23</v>
      </c>
      <c r="D88">
        <v>0.16841400000000001</v>
      </c>
      <c r="E88">
        <v>30.029876999999999</v>
      </c>
      <c r="F88" t="s">
        <v>1426</v>
      </c>
      <c r="G88" t="s">
        <v>1430</v>
      </c>
      <c r="H88">
        <f>IF(LEN(RIGHT(Registre_Maintenance_Part[[#This Row],[Latitude]],LEN(Registre_Maintenance_Part[[#This Row],[Latitude]])-SEARCH(",",Registre_Maintenance_Part[[#This Row],[Latitude]])))=6,Registre_Maintenance_Part[[#This Row],[Latitude]],"")</f>
        <v>0.16841400000000001</v>
      </c>
      <c r="I88">
        <f>IF(LEN(RIGHT(Registre_Maintenance_Part[[#This Row],[Longitude]],LEN(Registre_Maintenance_Part[[#This Row],[Longitude]])-SEARCH(",",Registre_Maintenance_Part[[#This Row],[Longitude]])))=6,Registre_Maintenance_Part[[#This Row],[Longitude]],"")</f>
        <v>30.029876999999999</v>
      </c>
    </row>
    <row r="89" spans="1:9" x14ac:dyDescent="0.3">
      <c r="A89" t="s">
        <v>1459</v>
      </c>
      <c r="B89" t="s">
        <v>1460</v>
      </c>
      <c r="C89" t="s">
        <v>24</v>
      </c>
      <c r="D89">
        <v>-5.9281110000000004</v>
      </c>
      <c r="E89">
        <v>29.607863999999999</v>
      </c>
      <c r="F89" t="s">
        <v>1429</v>
      </c>
      <c r="G89" t="s">
        <v>1430</v>
      </c>
      <c r="H89">
        <f>IF(LEN(RIGHT(Registre_Maintenance_Part[[#This Row],[Latitude]],LEN(Registre_Maintenance_Part[[#This Row],[Latitude]])-SEARCH(",",Registre_Maintenance_Part[[#This Row],[Latitude]])))=6,Registre_Maintenance_Part[[#This Row],[Latitude]],"")</f>
        <v>-5.9281110000000004</v>
      </c>
      <c r="I89">
        <f>IF(LEN(RIGHT(Registre_Maintenance_Part[[#This Row],[Longitude]],LEN(Registre_Maintenance_Part[[#This Row],[Longitude]])-SEARCH(",",Registre_Maintenance_Part[[#This Row],[Longitude]])))=6,Registre_Maintenance_Part[[#This Row],[Longitude]],"")</f>
        <v>29.607863999999999</v>
      </c>
    </row>
    <row r="90" spans="1:9" x14ac:dyDescent="0.3">
      <c r="A90" t="s">
        <v>1459</v>
      </c>
      <c r="B90" t="s">
        <v>767</v>
      </c>
      <c r="C90" t="s">
        <v>27</v>
      </c>
      <c r="D90">
        <v>-4.9789079999999997</v>
      </c>
      <c r="E90">
        <v>28.506295000000001</v>
      </c>
      <c r="F90" t="s">
        <v>1429</v>
      </c>
      <c r="G90" t="s">
        <v>1430</v>
      </c>
      <c r="H90">
        <f>IF(LEN(RIGHT(Registre_Maintenance_Part[[#This Row],[Latitude]],LEN(Registre_Maintenance_Part[[#This Row],[Latitude]])-SEARCH(",",Registre_Maintenance_Part[[#This Row],[Latitude]])))=6,Registre_Maintenance_Part[[#This Row],[Latitude]],"")</f>
        <v>-4.9789079999999997</v>
      </c>
      <c r="I90">
        <f>IF(LEN(RIGHT(Registre_Maintenance_Part[[#This Row],[Longitude]],LEN(Registre_Maintenance_Part[[#This Row],[Longitude]])-SEARCH(",",Registre_Maintenance_Part[[#This Row],[Longitude]])))=6,Registre_Maintenance_Part[[#This Row],[Longitude]],"")</f>
        <v>28.506295000000001</v>
      </c>
    </row>
    <row r="91" spans="1:9" x14ac:dyDescent="0.3">
      <c r="A91" t="s">
        <v>1459</v>
      </c>
      <c r="B91" t="s">
        <v>1055</v>
      </c>
      <c r="C91" t="s">
        <v>24</v>
      </c>
      <c r="D91">
        <v>-2.2876210000000001</v>
      </c>
      <c r="E91">
        <v>27.582545</v>
      </c>
      <c r="F91" t="s">
        <v>1429</v>
      </c>
      <c r="G91" t="s">
        <v>1430</v>
      </c>
      <c r="H91">
        <f>IF(LEN(RIGHT(Registre_Maintenance_Part[[#This Row],[Latitude]],LEN(Registre_Maintenance_Part[[#This Row],[Latitude]])-SEARCH(",",Registre_Maintenance_Part[[#This Row],[Latitude]])))=6,Registre_Maintenance_Part[[#This Row],[Latitude]],"")</f>
        <v>-2.2876210000000001</v>
      </c>
      <c r="I91">
        <f>IF(LEN(RIGHT(Registre_Maintenance_Part[[#This Row],[Longitude]],LEN(Registre_Maintenance_Part[[#This Row],[Longitude]])-SEARCH(",",Registre_Maintenance_Part[[#This Row],[Longitude]])))=6,Registre_Maintenance_Part[[#This Row],[Longitude]],"")</f>
        <v>27.582545</v>
      </c>
    </row>
    <row r="92" spans="1:9" x14ac:dyDescent="0.3">
      <c r="A92" t="s">
        <v>1459</v>
      </c>
      <c r="B92" t="s">
        <v>1296</v>
      </c>
      <c r="C92" t="s">
        <v>35</v>
      </c>
      <c r="D92">
        <v>-3.9148719999999999</v>
      </c>
      <c r="E92">
        <v>12.260933</v>
      </c>
      <c r="F92" t="s">
        <v>1429</v>
      </c>
      <c r="G92" t="s">
        <v>1427</v>
      </c>
      <c r="H92">
        <f>IF(LEN(RIGHT(Registre_Maintenance_Part[[#This Row],[Latitude]],LEN(Registre_Maintenance_Part[[#This Row],[Latitude]])-SEARCH(",",Registre_Maintenance_Part[[#This Row],[Latitude]])))=6,Registre_Maintenance_Part[[#This Row],[Latitude]],"")</f>
        <v>-3.9148719999999999</v>
      </c>
      <c r="I92">
        <f>IF(LEN(RIGHT(Registre_Maintenance_Part[[#This Row],[Longitude]],LEN(Registre_Maintenance_Part[[#This Row],[Longitude]])-SEARCH(",",Registre_Maintenance_Part[[#This Row],[Longitude]])))=6,Registre_Maintenance_Part[[#This Row],[Longitude]],"")</f>
        <v>12.260933</v>
      </c>
    </row>
    <row r="93" spans="1:9" x14ac:dyDescent="0.3">
      <c r="A93" t="s">
        <v>1459</v>
      </c>
      <c r="B93" t="s">
        <v>854</v>
      </c>
      <c r="C93" t="s">
        <v>35</v>
      </c>
      <c r="D93">
        <v>-9.002459</v>
      </c>
      <c r="E93">
        <v>25.182109000000001</v>
      </c>
      <c r="F93" t="s">
        <v>1426</v>
      </c>
      <c r="G93" t="s">
        <v>1430</v>
      </c>
      <c r="H93">
        <f>IF(LEN(RIGHT(Registre_Maintenance_Part[[#This Row],[Latitude]],LEN(Registre_Maintenance_Part[[#This Row],[Latitude]])-SEARCH(",",Registre_Maintenance_Part[[#This Row],[Latitude]])))=6,Registre_Maintenance_Part[[#This Row],[Latitude]],"")</f>
        <v>-9.002459</v>
      </c>
      <c r="I93">
        <f>IF(LEN(RIGHT(Registre_Maintenance_Part[[#This Row],[Longitude]],LEN(Registre_Maintenance_Part[[#This Row],[Longitude]])-SEARCH(",",Registre_Maintenance_Part[[#This Row],[Longitude]])))=6,Registre_Maintenance_Part[[#This Row],[Longitude]],"")</f>
        <v>25.182109000000001</v>
      </c>
    </row>
    <row r="94" spans="1:9" x14ac:dyDescent="0.3">
      <c r="A94" t="s">
        <v>1459</v>
      </c>
      <c r="B94" t="s">
        <v>992</v>
      </c>
      <c r="C94" t="s">
        <v>83</v>
      </c>
      <c r="D94">
        <v>-7.7839049999999999</v>
      </c>
      <c r="E94">
        <v>14.114281999999999</v>
      </c>
      <c r="F94" t="s">
        <v>1431</v>
      </c>
      <c r="G94" t="s">
        <v>1432</v>
      </c>
      <c r="H94">
        <f>IF(LEN(RIGHT(Registre_Maintenance_Part[[#This Row],[Latitude]],LEN(Registre_Maintenance_Part[[#This Row],[Latitude]])-SEARCH(",",Registre_Maintenance_Part[[#This Row],[Latitude]])))=6,Registre_Maintenance_Part[[#This Row],[Latitude]],"")</f>
        <v>-7.7839049999999999</v>
      </c>
      <c r="I94">
        <f>IF(LEN(RIGHT(Registre_Maintenance_Part[[#This Row],[Longitude]],LEN(Registre_Maintenance_Part[[#This Row],[Longitude]])-SEARCH(",",Registre_Maintenance_Part[[#This Row],[Longitude]])))=6,Registre_Maintenance_Part[[#This Row],[Longitude]],"")</f>
        <v>14.114281999999999</v>
      </c>
    </row>
    <row r="95" spans="1:9" x14ac:dyDescent="0.3">
      <c r="A95" t="s">
        <v>1459</v>
      </c>
      <c r="B95" t="s">
        <v>1461</v>
      </c>
      <c r="C95" t="s">
        <v>29</v>
      </c>
      <c r="D95">
        <v>-10.620597</v>
      </c>
      <c r="E95">
        <v>12.432214</v>
      </c>
      <c r="F95" t="s">
        <v>1429</v>
      </c>
      <c r="G95" t="s">
        <v>1430</v>
      </c>
      <c r="H95">
        <f>IF(LEN(RIGHT(Registre_Maintenance_Part[[#This Row],[Latitude]],LEN(Registre_Maintenance_Part[[#This Row],[Latitude]])-SEARCH(",",Registre_Maintenance_Part[[#This Row],[Latitude]])))=6,Registre_Maintenance_Part[[#This Row],[Latitude]],"")</f>
        <v>-10.620597</v>
      </c>
      <c r="I95">
        <f>IF(LEN(RIGHT(Registre_Maintenance_Part[[#This Row],[Longitude]],LEN(Registre_Maintenance_Part[[#This Row],[Longitude]])-SEARCH(",",Registre_Maintenance_Part[[#This Row],[Longitude]])))=6,Registre_Maintenance_Part[[#This Row],[Longitude]],"")</f>
        <v>12.432214</v>
      </c>
    </row>
    <row r="96" spans="1:9" x14ac:dyDescent="0.3">
      <c r="A96" t="s">
        <v>1459</v>
      </c>
      <c r="B96" t="s">
        <v>816</v>
      </c>
      <c r="C96" t="s">
        <v>15</v>
      </c>
      <c r="D96">
        <v>-11.514188000000001</v>
      </c>
      <c r="E96">
        <v>15.971181</v>
      </c>
      <c r="F96" t="s">
        <v>1426</v>
      </c>
      <c r="G96" t="s">
        <v>1427</v>
      </c>
      <c r="H96">
        <f>IF(LEN(RIGHT(Registre_Maintenance_Part[[#This Row],[Latitude]],LEN(Registre_Maintenance_Part[[#This Row],[Latitude]])-SEARCH(",",Registre_Maintenance_Part[[#This Row],[Latitude]])))=6,Registre_Maintenance_Part[[#This Row],[Latitude]],"")</f>
        <v>-11.514188000000001</v>
      </c>
      <c r="I96">
        <f>IF(LEN(RIGHT(Registre_Maintenance_Part[[#This Row],[Longitude]],LEN(Registre_Maintenance_Part[[#This Row],[Longitude]])-SEARCH(",",Registre_Maintenance_Part[[#This Row],[Longitude]])))=6,Registre_Maintenance_Part[[#This Row],[Longitude]],"")</f>
        <v>15.971181</v>
      </c>
    </row>
    <row r="97" spans="1:9" x14ac:dyDescent="0.3">
      <c r="A97" t="s">
        <v>1459</v>
      </c>
      <c r="B97" t="s">
        <v>801</v>
      </c>
      <c r="C97" t="s">
        <v>33</v>
      </c>
      <c r="D97">
        <v>-2.7140689999999998</v>
      </c>
      <c r="E97">
        <v>22.222104000000002</v>
      </c>
      <c r="F97" t="s">
        <v>1429</v>
      </c>
      <c r="G97" t="s">
        <v>1438</v>
      </c>
      <c r="H97">
        <f>IF(LEN(RIGHT(Registre_Maintenance_Part[[#This Row],[Latitude]],LEN(Registre_Maintenance_Part[[#This Row],[Latitude]])-SEARCH(",",Registre_Maintenance_Part[[#This Row],[Latitude]])))=6,Registre_Maintenance_Part[[#This Row],[Latitude]],"")</f>
        <v>-2.7140689999999998</v>
      </c>
      <c r="I97">
        <f>IF(LEN(RIGHT(Registre_Maintenance_Part[[#This Row],[Longitude]],LEN(Registre_Maintenance_Part[[#This Row],[Longitude]])-SEARCH(",",Registre_Maintenance_Part[[#This Row],[Longitude]])))=6,Registre_Maintenance_Part[[#This Row],[Longitude]],"")</f>
        <v>22.222104000000002</v>
      </c>
    </row>
    <row r="98" spans="1:9" x14ac:dyDescent="0.3">
      <c r="A98" t="s">
        <v>1459</v>
      </c>
      <c r="B98" t="s">
        <v>1413</v>
      </c>
      <c r="C98" t="s">
        <v>17</v>
      </c>
      <c r="D98">
        <v>-5.8145569999999998</v>
      </c>
      <c r="E98">
        <v>21.942052</v>
      </c>
      <c r="F98" t="s">
        <v>1426</v>
      </c>
      <c r="G98" t="s">
        <v>1430</v>
      </c>
      <c r="H98">
        <f>IF(LEN(RIGHT(Registre_Maintenance_Part[[#This Row],[Latitude]],LEN(Registre_Maintenance_Part[[#This Row],[Latitude]])-SEARCH(",",Registre_Maintenance_Part[[#This Row],[Latitude]])))=6,Registre_Maintenance_Part[[#This Row],[Latitude]],"")</f>
        <v>-5.8145569999999998</v>
      </c>
      <c r="I98">
        <f>IF(LEN(RIGHT(Registre_Maintenance_Part[[#This Row],[Longitude]],LEN(Registre_Maintenance_Part[[#This Row],[Longitude]])-SEARCH(",",Registre_Maintenance_Part[[#This Row],[Longitude]])))=6,Registre_Maintenance_Part[[#This Row],[Longitude]],"")</f>
        <v>21.942052</v>
      </c>
    </row>
    <row r="99" spans="1:9" x14ac:dyDescent="0.3">
      <c r="A99" t="s">
        <v>1459</v>
      </c>
      <c r="B99" t="s">
        <v>1151</v>
      </c>
      <c r="C99" t="s">
        <v>23</v>
      </c>
      <c r="D99">
        <v>-11.468578000000001</v>
      </c>
      <c r="E99">
        <v>16.914501999999999</v>
      </c>
      <c r="F99" t="s">
        <v>1429</v>
      </c>
      <c r="G99" t="s">
        <v>1427</v>
      </c>
      <c r="H99">
        <f>IF(LEN(RIGHT(Registre_Maintenance_Part[[#This Row],[Latitude]],LEN(Registre_Maintenance_Part[[#This Row],[Latitude]])-SEARCH(",",Registre_Maintenance_Part[[#This Row],[Latitude]])))=6,Registre_Maintenance_Part[[#This Row],[Latitude]],"")</f>
        <v>-11.468578000000001</v>
      </c>
      <c r="I99">
        <f>IF(LEN(RIGHT(Registre_Maintenance_Part[[#This Row],[Longitude]],LEN(Registre_Maintenance_Part[[#This Row],[Longitude]])-SEARCH(",",Registre_Maintenance_Part[[#This Row],[Longitude]])))=6,Registre_Maintenance_Part[[#This Row],[Longitude]],"")</f>
        <v>16.914501999999999</v>
      </c>
    </row>
    <row r="100" spans="1:9" x14ac:dyDescent="0.3">
      <c r="A100" t="s">
        <v>1459</v>
      </c>
      <c r="B100" t="s">
        <v>1462</v>
      </c>
      <c r="C100" t="s">
        <v>122</v>
      </c>
      <c r="D100">
        <v>0.92885200000000001</v>
      </c>
      <c r="E100">
        <v>25.868548000000001</v>
      </c>
      <c r="F100" t="s">
        <v>1426</v>
      </c>
      <c r="G100" t="s">
        <v>1438</v>
      </c>
      <c r="H100">
        <f>IF(LEN(RIGHT(Registre_Maintenance_Part[[#This Row],[Latitude]],LEN(Registre_Maintenance_Part[[#This Row],[Latitude]])-SEARCH(",",Registre_Maintenance_Part[[#This Row],[Latitude]])))=6,Registre_Maintenance_Part[[#This Row],[Latitude]],"")</f>
        <v>0.92885200000000001</v>
      </c>
      <c r="I100">
        <f>IF(LEN(RIGHT(Registre_Maintenance_Part[[#This Row],[Longitude]],LEN(Registre_Maintenance_Part[[#This Row],[Longitude]])-SEARCH(",",Registre_Maintenance_Part[[#This Row],[Longitude]])))=6,Registre_Maintenance_Part[[#This Row],[Longitude]],"")</f>
        <v>25.868548000000001</v>
      </c>
    </row>
    <row r="101" spans="1:9" x14ac:dyDescent="0.3">
      <c r="A101" t="s">
        <v>1459</v>
      </c>
      <c r="B101" t="s">
        <v>1197</v>
      </c>
      <c r="C101" t="s">
        <v>37</v>
      </c>
      <c r="D101">
        <v>-10.653247</v>
      </c>
      <c r="E101">
        <v>14.685601</v>
      </c>
      <c r="F101" t="s">
        <v>1429</v>
      </c>
      <c r="G101" t="s">
        <v>1427</v>
      </c>
      <c r="H101">
        <f>IF(LEN(RIGHT(Registre_Maintenance_Part[[#This Row],[Latitude]],LEN(Registre_Maintenance_Part[[#This Row],[Latitude]])-SEARCH(",",Registre_Maintenance_Part[[#This Row],[Latitude]])))=6,Registre_Maintenance_Part[[#This Row],[Latitude]],"")</f>
        <v>-10.653247</v>
      </c>
      <c r="I101">
        <f>IF(LEN(RIGHT(Registre_Maintenance_Part[[#This Row],[Longitude]],LEN(Registre_Maintenance_Part[[#This Row],[Longitude]])-SEARCH(",",Registre_Maintenance_Part[[#This Row],[Longitude]])))=6,Registre_Maintenance_Part[[#This Row],[Longitude]],"")</f>
        <v>14.685601</v>
      </c>
    </row>
    <row r="102" spans="1:9" x14ac:dyDescent="0.3">
      <c r="A102" t="s">
        <v>1459</v>
      </c>
      <c r="B102" t="s">
        <v>1463</v>
      </c>
      <c r="C102" t="s">
        <v>126</v>
      </c>
      <c r="D102">
        <v>-10.572326</v>
      </c>
      <c r="E102">
        <v>25.276349</v>
      </c>
      <c r="F102" t="s">
        <v>1431</v>
      </c>
      <c r="G102" t="s">
        <v>1432</v>
      </c>
      <c r="H102">
        <f>IF(LEN(RIGHT(Registre_Maintenance_Part[[#This Row],[Latitude]],LEN(Registre_Maintenance_Part[[#This Row],[Latitude]])-SEARCH(",",Registre_Maintenance_Part[[#This Row],[Latitude]])))=6,Registre_Maintenance_Part[[#This Row],[Latitude]],"")</f>
        <v>-10.572326</v>
      </c>
      <c r="I102">
        <f>IF(LEN(RIGHT(Registre_Maintenance_Part[[#This Row],[Longitude]],LEN(Registre_Maintenance_Part[[#This Row],[Longitude]])-SEARCH(",",Registre_Maintenance_Part[[#This Row],[Longitude]])))=6,Registre_Maintenance_Part[[#This Row],[Longitude]],"")</f>
        <v>25.276349</v>
      </c>
    </row>
    <row r="103" spans="1:9" x14ac:dyDescent="0.3">
      <c r="A103" t="s">
        <v>1459</v>
      </c>
      <c r="B103" t="s">
        <v>1464</v>
      </c>
      <c r="C103" t="s">
        <v>59</v>
      </c>
      <c r="D103">
        <v>-2.9326690000000002</v>
      </c>
      <c r="E103">
        <v>12.349382</v>
      </c>
      <c r="F103" t="s">
        <v>1426</v>
      </c>
      <c r="G103" t="s">
        <v>1432</v>
      </c>
      <c r="H103">
        <f>IF(LEN(RIGHT(Registre_Maintenance_Part[[#This Row],[Latitude]],LEN(Registre_Maintenance_Part[[#This Row],[Latitude]])-SEARCH(",",Registre_Maintenance_Part[[#This Row],[Latitude]])))=6,Registre_Maintenance_Part[[#This Row],[Latitude]],"")</f>
        <v>-2.9326690000000002</v>
      </c>
      <c r="I103">
        <f>IF(LEN(RIGHT(Registre_Maintenance_Part[[#This Row],[Longitude]],LEN(Registre_Maintenance_Part[[#This Row],[Longitude]])-SEARCH(",",Registre_Maintenance_Part[[#This Row],[Longitude]])))=6,Registre_Maintenance_Part[[#This Row],[Longitude]],"")</f>
        <v>12.349382</v>
      </c>
    </row>
    <row r="104" spans="1:9" x14ac:dyDescent="0.3">
      <c r="A104" t="s">
        <v>1459</v>
      </c>
      <c r="B104" t="s">
        <v>1465</v>
      </c>
      <c r="C104" t="s">
        <v>72</v>
      </c>
      <c r="D104">
        <v>-1.259528</v>
      </c>
      <c r="E104">
        <v>24.607037999999999</v>
      </c>
      <c r="F104" t="s">
        <v>1429</v>
      </c>
      <c r="G104" t="s">
        <v>1432</v>
      </c>
      <c r="H104">
        <f>IF(LEN(RIGHT(Registre_Maintenance_Part[[#This Row],[Latitude]],LEN(Registre_Maintenance_Part[[#This Row],[Latitude]])-SEARCH(",",Registre_Maintenance_Part[[#This Row],[Latitude]])))=6,Registre_Maintenance_Part[[#This Row],[Latitude]],"")</f>
        <v>-1.259528</v>
      </c>
      <c r="I104">
        <f>IF(LEN(RIGHT(Registre_Maintenance_Part[[#This Row],[Longitude]],LEN(Registre_Maintenance_Part[[#This Row],[Longitude]])-SEARCH(",",Registre_Maintenance_Part[[#This Row],[Longitude]])))=6,Registre_Maintenance_Part[[#This Row],[Longitude]],"")</f>
        <v>24.607037999999999</v>
      </c>
    </row>
    <row r="105" spans="1:9" x14ac:dyDescent="0.3">
      <c r="A105" t="s">
        <v>1459</v>
      </c>
      <c r="B105" t="s">
        <v>845</v>
      </c>
      <c r="C105" t="s">
        <v>20</v>
      </c>
      <c r="D105">
        <v>-9.4702129999999993</v>
      </c>
      <c r="E105">
        <v>12.826158</v>
      </c>
      <c r="F105" t="s">
        <v>1431</v>
      </c>
      <c r="G105" t="s">
        <v>1427</v>
      </c>
      <c r="H105">
        <f>IF(LEN(RIGHT(Registre_Maintenance_Part[[#This Row],[Latitude]],LEN(Registre_Maintenance_Part[[#This Row],[Latitude]])-SEARCH(",",Registre_Maintenance_Part[[#This Row],[Latitude]])))=6,Registre_Maintenance_Part[[#This Row],[Latitude]],"")</f>
        <v>-9.4702129999999993</v>
      </c>
      <c r="I105">
        <f>IF(LEN(RIGHT(Registre_Maintenance_Part[[#This Row],[Longitude]],LEN(Registre_Maintenance_Part[[#This Row],[Longitude]])-SEARCH(",",Registre_Maintenance_Part[[#This Row],[Longitude]])))=6,Registre_Maintenance_Part[[#This Row],[Longitude]],"")</f>
        <v>12.826158</v>
      </c>
    </row>
    <row r="106" spans="1:9" x14ac:dyDescent="0.3">
      <c r="A106" t="s">
        <v>1459</v>
      </c>
      <c r="B106" t="s">
        <v>1031</v>
      </c>
      <c r="C106" t="s">
        <v>9</v>
      </c>
      <c r="D106">
        <v>-1.9120569999999999</v>
      </c>
      <c r="E106">
        <v>15.236072999999999</v>
      </c>
      <c r="F106" t="s">
        <v>1426</v>
      </c>
      <c r="G106" t="s">
        <v>1430</v>
      </c>
      <c r="H106">
        <f>IF(LEN(RIGHT(Registre_Maintenance_Part[[#This Row],[Latitude]],LEN(Registre_Maintenance_Part[[#This Row],[Latitude]])-SEARCH(",",Registre_Maintenance_Part[[#This Row],[Latitude]])))=6,Registre_Maintenance_Part[[#This Row],[Latitude]],"")</f>
        <v>-1.9120569999999999</v>
      </c>
      <c r="I106">
        <f>IF(LEN(RIGHT(Registre_Maintenance_Part[[#This Row],[Longitude]],LEN(Registre_Maintenance_Part[[#This Row],[Longitude]])-SEARCH(",",Registre_Maintenance_Part[[#This Row],[Longitude]])))=6,Registre_Maintenance_Part[[#This Row],[Longitude]],"")</f>
        <v>15.236072999999999</v>
      </c>
    </row>
    <row r="107" spans="1:9" x14ac:dyDescent="0.3">
      <c r="A107" t="s">
        <v>1459</v>
      </c>
      <c r="B107" t="s">
        <v>871</v>
      </c>
      <c r="C107" t="s">
        <v>48</v>
      </c>
      <c r="D107">
        <v>-8.5675749999999997</v>
      </c>
      <c r="E107">
        <v>26.994581</v>
      </c>
      <c r="F107" t="s">
        <v>1431</v>
      </c>
      <c r="G107" t="s">
        <v>1438</v>
      </c>
      <c r="H107">
        <f>IF(LEN(RIGHT(Registre_Maintenance_Part[[#This Row],[Latitude]],LEN(Registre_Maintenance_Part[[#This Row],[Latitude]])-SEARCH(",",Registre_Maintenance_Part[[#This Row],[Latitude]])))=6,Registre_Maintenance_Part[[#This Row],[Latitude]],"")</f>
        <v>-8.5675749999999997</v>
      </c>
      <c r="I107">
        <f>IF(LEN(RIGHT(Registre_Maintenance_Part[[#This Row],[Longitude]],LEN(Registre_Maintenance_Part[[#This Row],[Longitude]])-SEARCH(",",Registre_Maintenance_Part[[#This Row],[Longitude]])))=6,Registre_Maintenance_Part[[#This Row],[Longitude]],"")</f>
        <v>26.994581</v>
      </c>
    </row>
    <row r="108" spans="1:9" x14ac:dyDescent="0.3">
      <c r="A108" t="s">
        <v>1459</v>
      </c>
      <c r="B108" t="s">
        <v>786</v>
      </c>
      <c r="C108" t="s">
        <v>126</v>
      </c>
      <c r="D108">
        <v>-11.710407999999999</v>
      </c>
      <c r="E108">
        <v>23.741330999999999</v>
      </c>
      <c r="F108" t="s">
        <v>1431</v>
      </c>
      <c r="G108" t="s">
        <v>1430</v>
      </c>
      <c r="H108">
        <f>IF(LEN(RIGHT(Registre_Maintenance_Part[[#This Row],[Latitude]],LEN(Registre_Maintenance_Part[[#This Row],[Latitude]])-SEARCH(",",Registre_Maintenance_Part[[#This Row],[Latitude]])))=6,Registre_Maintenance_Part[[#This Row],[Latitude]],"")</f>
        <v>-11.710407999999999</v>
      </c>
      <c r="I108">
        <f>IF(LEN(RIGHT(Registre_Maintenance_Part[[#This Row],[Longitude]],LEN(Registre_Maintenance_Part[[#This Row],[Longitude]])-SEARCH(",",Registre_Maintenance_Part[[#This Row],[Longitude]])))=6,Registre_Maintenance_Part[[#This Row],[Longitude]],"")</f>
        <v>23.741330999999999</v>
      </c>
    </row>
    <row r="109" spans="1:9" x14ac:dyDescent="0.3">
      <c r="A109" t="s">
        <v>1459</v>
      </c>
      <c r="B109" t="s">
        <v>1056</v>
      </c>
      <c r="C109" t="s">
        <v>15</v>
      </c>
      <c r="D109">
        <v>3.6344850000000002</v>
      </c>
      <c r="E109">
        <v>12.158348999999999</v>
      </c>
      <c r="F109" t="s">
        <v>1426</v>
      </c>
      <c r="G109" t="s">
        <v>1427</v>
      </c>
      <c r="H109">
        <f>IF(LEN(RIGHT(Registre_Maintenance_Part[[#This Row],[Latitude]],LEN(Registre_Maintenance_Part[[#This Row],[Latitude]])-SEARCH(",",Registre_Maintenance_Part[[#This Row],[Latitude]])))=6,Registre_Maintenance_Part[[#This Row],[Latitude]],"")</f>
        <v>3.6344850000000002</v>
      </c>
      <c r="I109">
        <f>IF(LEN(RIGHT(Registre_Maintenance_Part[[#This Row],[Longitude]],LEN(Registre_Maintenance_Part[[#This Row],[Longitude]])-SEARCH(",",Registre_Maintenance_Part[[#This Row],[Longitude]])))=6,Registre_Maintenance_Part[[#This Row],[Longitude]],"")</f>
        <v>12.158348999999999</v>
      </c>
    </row>
    <row r="110" spans="1:9" x14ac:dyDescent="0.3">
      <c r="A110" t="s">
        <v>1459</v>
      </c>
      <c r="B110" t="s">
        <v>1073</v>
      </c>
      <c r="C110" t="s">
        <v>29</v>
      </c>
      <c r="D110">
        <v>-11.387295999999999</v>
      </c>
      <c r="E110">
        <v>19.384257999999999</v>
      </c>
      <c r="F110" t="s">
        <v>1431</v>
      </c>
      <c r="G110" t="s">
        <v>1430</v>
      </c>
      <c r="H110">
        <f>IF(LEN(RIGHT(Registre_Maintenance_Part[[#This Row],[Latitude]],LEN(Registre_Maintenance_Part[[#This Row],[Latitude]])-SEARCH(",",Registre_Maintenance_Part[[#This Row],[Latitude]])))=6,Registre_Maintenance_Part[[#This Row],[Latitude]],"")</f>
        <v>-11.387295999999999</v>
      </c>
      <c r="I110">
        <f>IF(LEN(RIGHT(Registre_Maintenance_Part[[#This Row],[Longitude]],LEN(Registre_Maintenance_Part[[#This Row],[Longitude]])-SEARCH(",",Registre_Maintenance_Part[[#This Row],[Longitude]])))=6,Registre_Maintenance_Part[[#This Row],[Longitude]],"")</f>
        <v>19.384257999999999</v>
      </c>
    </row>
    <row r="111" spans="1:9" x14ac:dyDescent="0.3">
      <c r="A111" t="s">
        <v>1459</v>
      </c>
      <c r="B111" t="s">
        <v>1066</v>
      </c>
      <c r="C111" t="s">
        <v>61</v>
      </c>
      <c r="D111">
        <v>-0.90854400000000002</v>
      </c>
      <c r="E111">
        <v>17.154896999999998</v>
      </c>
      <c r="F111" t="s">
        <v>1431</v>
      </c>
      <c r="G111" t="s">
        <v>1430</v>
      </c>
      <c r="H111">
        <f>IF(LEN(RIGHT(Registre_Maintenance_Part[[#This Row],[Latitude]],LEN(Registre_Maintenance_Part[[#This Row],[Latitude]])-SEARCH(",",Registre_Maintenance_Part[[#This Row],[Latitude]])))=6,Registre_Maintenance_Part[[#This Row],[Latitude]],"")</f>
        <v>-0.90854400000000002</v>
      </c>
      <c r="I111">
        <f>IF(LEN(RIGHT(Registre_Maintenance_Part[[#This Row],[Longitude]],LEN(Registre_Maintenance_Part[[#This Row],[Longitude]])-SEARCH(",",Registre_Maintenance_Part[[#This Row],[Longitude]])))=6,Registre_Maintenance_Part[[#This Row],[Longitude]],"")</f>
        <v>17.154896999999998</v>
      </c>
    </row>
    <row r="112" spans="1:9" x14ac:dyDescent="0.3">
      <c r="A112" t="s">
        <v>1459</v>
      </c>
      <c r="B112" t="s">
        <v>1043</v>
      </c>
      <c r="C112" t="s">
        <v>15</v>
      </c>
      <c r="D112">
        <v>-5.3762689999999997</v>
      </c>
      <c r="E112">
        <v>28.189575999999999</v>
      </c>
      <c r="F112" t="s">
        <v>1426</v>
      </c>
      <c r="G112" t="s">
        <v>1430</v>
      </c>
      <c r="H112">
        <f>IF(LEN(RIGHT(Registre_Maintenance_Part[[#This Row],[Latitude]],LEN(Registre_Maintenance_Part[[#This Row],[Latitude]])-SEARCH(",",Registre_Maintenance_Part[[#This Row],[Latitude]])))=6,Registre_Maintenance_Part[[#This Row],[Latitude]],"")</f>
        <v>-5.3762689999999997</v>
      </c>
      <c r="I112">
        <f>IF(LEN(RIGHT(Registre_Maintenance_Part[[#This Row],[Longitude]],LEN(Registre_Maintenance_Part[[#This Row],[Longitude]])-SEARCH(",",Registre_Maintenance_Part[[#This Row],[Longitude]])))=6,Registre_Maintenance_Part[[#This Row],[Longitude]],"")</f>
        <v>28.189575999999999</v>
      </c>
    </row>
    <row r="113" spans="1:9" x14ac:dyDescent="0.3">
      <c r="A113" t="s">
        <v>1459</v>
      </c>
      <c r="B113" t="s">
        <v>1466</v>
      </c>
      <c r="C113" t="s">
        <v>126</v>
      </c>
      <c r="D113">
        <v>-6.7304589999999997</v>
      </c>
      <c r="E113">
        <v>24.541906999999998</v>
      </c>
      <c r="F113" t="s">
        <v>1429</v>
      </c>
      <c r="G113" t="s">
        <v>1438</v>
      </c>
      <c r="H113">
        <f>IF(LEN(RIGHT(Registre_Maintenance_Part[[#This Row],[Latitude]],LEN(Registre_Maintenance_Part[[#This Row],[Latitude]])-SEARCH(",",Registre_Maintenance_Part[[#This Row],[Latitude]])))=6,Registre_Maintenance_Part[[#This Row],[Latitude]],"")</f>
        <v>-6.7304589999999997</v>
      </c>
      <c r="I113">
        <f>IF(LEN(RIGHT(Registre_Maintenance_Part[[#This Row],[Longitude]],LEN(Registre_Maintenance_Part[[#This Row],[Longitude]])-SEARCH(",",Registre_Maintenance_Part[[#This Row],[Longitude]])))=6,Registre_Maintenance_Part[[#This Row],[Longitude]],"")</f>
        <v>24.541906999999998</v>
      </c>
    </row>
    <row r="114" spans="1:9" x14ac:dyDescent="0.3">
      <c r="A114" t="s">
        <v>1459</v>
      </c>
      <c r="B114" t="s">
        <v>1412</v>
      </c>
      <c r="C114" t="s">
        <v>15</v>
      </c>
      <c r="D114">
        <v>-7.2267089999999996</v>
      </c>
      <c r="E114">
        <v>28.421362999999999</v>
      </c>
      <c r="F114" t="s">
        <v>1426</v>
      </c>
      <c r="G114" t="s">
        <v>1427</v>
      </c>
      <c r="H114">
        <f>IF(LEN(RIGHT(Registre_Maintenance_Part[[#This Row],[Latitude]],LEN(Registre_Maintenance_Part[[#This Row],[Latitude]])-SEARCH(",",Registre_Maintenance_Part[[#This Row],[Latitude]])))=6,Registre_Maintenance_Part[[#This Row],[Latitude]],"")</f>
        <v>-7.2267089999999996</v>
      </c>
      <c r="I114">
        <f>IF(LEN(RIGHT(Registre_Maintenance_Part[[#This Row],[Longitude]],LEN(Registre_Maintenance_Part[[#This Row],[Longitude]])-SEARCH(",",Registre_Maintenance_Part[[#This Row],[Longitude]])))=6,Registre_Maintenance_Part[[#This Row],[Longitude]],"")</f>
        <v>28.421362999999999</v>
      </c>
    </row>
    <row r="115" spans="1:9" x14ac:dyDescent="0.3">
      <c r="A115" t="s">
        <v>1459</v>
      </c>
      <c r="B115" t="s">
        <v>885</v>
      </c>
      <c r="C115" t="s">
        <v>122</v>
      </c>
      <c r="D115">
        <v>-2.3102109999999998</v>
      </c>
      <c r="E115">
        <v>12.362488000000001</v>
      </c>
      <c r="F115" t="s">
        <v>1426</v>
      </c>
      <c r="G115" t="s">
        <v>1438</v>
      </c>
      <c r="H115">
        <f>IF(LEN(RIGHT(Registre_Maintenance_Part[[#This Row],[Latitude]],LEN(Registre_Maintenance_Part[[#This Row],[Latitude]])-SEARCH(",",Registre_Maintenance_Part[[#This Row],[Latitude]])))=6,Registre_Maintenance_Part[[#This Row],[Latitude]],"")</f>
        <v>-2.3102109999999998</v>
      </c>
      <c r="I115">
        <f>IF(LEN(RIGHT(Registre_Maintenance_Part[[#This Row],[Longitude]],LEN(Registre_Maintenance_Part[[#This Row],[Longitude]])-SEARCH(",",Registre_Maintenance_Part[[#This Row],[Longitude]])))=6,Registre_Maintenance_Part[[#This Row],[Longitude]],"")</f>
        <v>12.362488000000001</v>
      </c>
    </row>
    <row r="116" spans="1:9" x14ac:dyDescent="0.3">
      <c r="A116" t="s">
        <v>1459</v>
      </c>
      <c r="B116" t="s">
        <v>977</v>
      </c>
      <c r="C116" t="s">
        <v>59</v>
      </c>
      <c r="D116">
        <v>-12.564277000000001</v>
      </c>
      <c r="E116">
        <v>28.480798</v>
      </c>
      <c r="F116" t="s">
        <v>1426</v>
      </c>
      <c r="G116" t="s">
        <v>1432</v>
      </c>
      <c r="H116">
        <f>IF(LEN(RIGHT(Registre_Maintenance_Part[[#This Row],[Latitude]],LEN(Registre_Maintenance_Part[[#This Row],[Latitude]])-SEARCH(",",Registre_Maintenance_Part[[#This Row],[Latitude]])))=6,Registre_Maintenance_Part[[#This Row],[Latitude]],"")</f>
        <v>-12.564277000000001</v>
      </c>
      <c r="I116">
        <f>IF(LEN(RIGHT(Registre_Maintenance_Part[[#This Row],[Longitude]],LEN(Registre_Maintenance_Part[[#This Row],[Longitude]])-SEARCH(",",Registre_Maintenance_Part[[#This Row],[Longitude]])))=6,Registre_Maintenance_Part[[#This Row],[Longitude]],"")</f>
        <v>28.480798</v>
      </c>
    </row>
    <row r="117" spans="1:9" x14ac:dyDescent="0.3">
      <c r="A117" t="s">
        <v>1459</v>
      </c>
      <c r="B117" t="s">
        <v>1368</v>
      </c>
      <c r="C117" t="s">
        <v>33</v>
      </c>
      <c r="D117">
        <v>-7.513261</v>
      </c>
      <c r="E117">
        <v>24.338812000000001</v>
      </c>
      <c r="F117" t="s">
        <v>1426</v>
      </c>
      <c r="G117" t="s">
        <v>1430</v>
      </c>
      <c r="H117">
        <f>IF(LEN(RIGHT(Registre_Maintenance_Part[[#This Row],[Latitude]],LEN(Registre_Maintenance_Part[[#This Row],[Latitude]])-SEARCH(",",Registre_Maintenance_Part[[#This Row],[Latitude]])))=6,Registre_Maintenance_Part[[#This Row],[Latitude]],"")</f>
        <v>-7.513261</v>
      </c>
      <c r="I117">
        <f>IF(LEN(RIGHT(Registre_Maintenance_Part[[#This Row],[Longitude]],LEN(Registre_Maintenance_Part[[#This Row],[Longitude]])-SEARCH(",",Registre_Maintenance_Part[[#This Row],[Longitude]])))=6,Registre_Maintenance_Part[[#This Row],[Longitude]],"")</f>
        <v>24.338812000000001</v>
      </c>
    </row>
    <row r="118" spans="1:9" x14ac:dyDescent="0.3">
      <c r="A118" t="s">
        <v>1459</v>
      </c>
      <c r="B118" t="s">
        <v>1168</v>
      </c>
      <c r="C118" t="s">
        <v>68</v>
      </c>
      <c r="D118">
        <v>4.7777349999999998</v>
      </c>
      <c r="E118">
        <v>16.392204</v>
      </c>
      <c r="F118" t="s">
        <v>1426</v>
      </c>
      <c r="G118" t="s">
        <v>1432</v>
      </c>
      <c r="H118">
        <f>IF(LEN(RIGHT(Registre_Maintenance_Part[[#This Row],[Latitude]],LEN(Registre_Maintenance_Part[[#This Row],[Latitude]])-SEARCH(",",Registre_Maintenance_Part[[#This Row],[Latitude]])))=6,Registre_Maintenance_Part[[#This Row],[Latitude]],"")</f>
        <v>4.7777349999999998</v>
      </c>
      <c r="I118">
        <f>IF(LEN(RIGHT(Registre_Maintenance_Part[[#This Row],[Longitude]],LEN(Registre_Maintenance_Part[[#This Row],[Longitude]])-SEARCH(",",Registre_Maintenance_Part[[#This Row],[Longitude]])))=6,Registre_Maintenance_Part[[#This Row],[Longitude]],"")</f>
        <v>16.392204</v>
      </c>
    </row>
    <row r="119" spans="1:9" x14ac:dyDescent="0.3">
      <c r="A119" t="s">
        <v>1459</v>
      </c>
      <c r="B119" t="s">
        <v>1467</v>
      </c>
      <c r="C119" t="s">
        <v>59</v>
      </c>
      <c r="D119">
        <v>-1.9080220000000001</v>
      </c>
      <c r="E119">
        <v>19.233322999999999</v>
      </c>
      <c r="F119" t="s">
        <v>1431</v>
      </c>
      <c r="G119" t="s">
        <v>1427</v>
      </c>
      <c r="H119">
        <f>IF(LEN(RIGHT(Registre_Maintenance_Part[[#This Row],[Latitude]],LEN(Registre_Maintenance_Part[[#This Row],[Latitude]])-SEARCH(",",Registre_Maintenance_Part[[#This Row],[Latitude]])))=6,Registre_Maintenance_Part[[#This Row],[Latitude]],"")</f>
        <v>-1.9080220000000001</v>
      </c>
      <c r="I119">
        <f>IF(LEN(RIGHT(Registre_Maintenance_Part[[#This Row],[Longitude]],LEN(Registre_Maintenance_Part[[#This Row],[Longitude]])-SEARCH(",",Registre_Maintenance_Part[[#This Row],[Longitude]])))=6,Registre_Maintenance_Part[[#This Row],[Longitude]],"")</f>
        <v>19.233322999999999</v>
      </c>
    </row>
    <row r="120" spans="1:9" x14ac:dyDescent="0.3">
      <c r="A120" t="s">
        <v>1459</v>
      </c>
      <c r="B120" t="s">
        <v>1219</v>
      </c>
      <c r="C120" t="s">
        <v>72</v>
      </c>
      <c r="D120">
        <v>4.8228650000000002</v>
      </c>
      <c r="E120">
        <v>30.555627000000001</v>
      </c>
      <c r="F120" t="s">
        <v>1429</v>
      </c>
      <c r="G120" t="s">
        <v>1430</v>
      </c>
      <c r="H120">
        <f>IF(LEN(RIGHT(Registre_Maintenance_Part[[#This Row],[Latitude]],LEN(Registre_Maintenance_Part[[#This Row],[Latitude]])-SEARCH(",",Registre_Maintenance_Part[[#This Row],[Latitude]])))=6,Registre_Maintenance_Part[[#This Row],[Latitude]],"")</f>
        <v>4.8228650000000002</v>
      </c>
      <c r="I120">
        <f>IF(LEN(RIGHT(Registre_Maintenance_Part[[#This Row],[Longitude]],LEN(Registre_Maintenance_Part[[#This Row],[Longitude]])-SEARCH(",",Registre_Maintenance_Part[[#This Row],[Longitude]])))=6,Registre_Maintenance_Part[[#This Row],[Longitude]],"")</f>
        <v>30.555627000000001</v>
      </c>
    </row>
    <row r="121" spans="1:9" x14ac:dyDescent="0.3">
      <c r="A121" t="s">
        <v>1459</v>
      </c>
      <c r="B121" t="s">
        <v>859</v>
      </c>
      <c r="C121" t="s">
        <v>57</v>
      </c>
      <c r="D121">
        <v>-5.0402180000000003</v>
      </c>
      <c r="E121">
        <v>13.892471</v>
      </c>
      <c r="F121" t="s">
        <v>1431</v>
      </c>
      <c r="G121" t="s">
        <v>1432</v>
      </c>
      <c r="H121">
        <f>IF(LEN(RIGHT(Registre_Maintenance_Part[[#This Row],[Latitude]],LEN(Registre_Maintenance_Part[[#This Row],[Latitude]])-SEARCH(",",Registre_Maintenance_Part[[#This Row],[Latitude]])))=6,Registre_Maintenance_Part[[#This Row],[Latitude]],"")</f>
        <v>-5.0402180000000003</v>
      </c>
      <c r="I121">
        <f>IF(LEN(RIGHT(Registre_Maintenance_Part[[#This Row],[Longitude]],LEN(Registre_Maintenance_Part[[#This Row],[Longitude]])-SEARCH(",",Registre_Maintenance_Part[[#This Row],[Longitude]])))=6,Registre_Maintenance_Part[[#This Row],[Longitude]],"")</f>
        <v>13.892471</v>
      </c>
    </row>
    <row r="122" spans="1:9" x14ac:dyDescent="0.3">
      <c r="A122" t="s">
        <v>1459</v>
      </c>
      <c r="B122" t="s">
        <v>748</v>
      </c>
      <c r="C122" t="s">
        <v>83</v>
      </c>
      <c r="D122">
        <v>-10.375266999999999</v>
      </c>
      <c r="E122">
        <v>17.993663000000002</v>
      </c>
      <c r="F122" t="s">
        <v>1426</v>
      </c>
      <c r="G122" t="s">
        <v>1432</v>
      </c>
      <c r="H122">
        <f>IF(LEN(RIGHT(Registre_Maintenance_Part[[#This Row],[Latitude]],LEN(Registre_Maintenance_Part[[#This Row],[Latitude]])-SEARCH(",",Registre_Maintenance_Part[[#This Row],[Latitude]])))=6,Registre_Maintenance_Part[[#This Row],[Latitude]],"")</f>
        <v>-10.375266999999999</v>
      </c>
      <c r="I122">
        <f>IF(LEN(RIGHT(Registre_Maintenance_Part[[#This Row],[Longitude]],LEN(Registre_Maintenance_Part[[#This Row],[Longitude]])-SEARCH(",",Registre_Maintenance_Part[[#This Row],[Longitude]])))=6,Registre_Maintenance_Part[[#This Row],[Longitude]],"")</f>
        <v>17.993663000000002</v>
      </c>
    </row>
    <row r="123" spans="1:9" x14ac:dyDescent="0.3">
      <c r="A123" t="s">
        <v>1459</v>
      </c>
      <c r="B123" t="s">
        <v>1156</v>
      </c>
      <c r="C123" t="s">
        <v>41</v>
      </c>
      <c r="D123">
        <v>-12.192204</v>
      </c>
      <c r="E123">
        <v>28.468682000000001</v>
      </c>
      <c r="F123" t="s">
        <v>1431</v>
      </c>
      <c r="G123" t="s">
        <v>1432</v>
      </c>
      <c r="H123">
        <f>IF(LEN(RIGHT(Registre_Maintenance_Part[[#This Row],[Latitude]],LEN(Registre_Maintenance_Part[[#This Row],[Latitude]])-SEARCH(",",Registre_Maintenance_Part[[#This Row],[Latitude]])))=6,Registre_Maintenance_Part[[#This Row],[Latitude]],"")</f>
        <v>-12.192204</v>
      </c>
      <c r="I123">
        <f>IF(LEN(RIGHT(Registre_Maintenance_Part[[#This Row],[Longitude]],LEN(Registre_Maintenance_Part[[#This Row],[Longitude]])-SEARCH(",",Registre_Maintenance_Part[[#This Row],[Longitude]])))=6,Registre_Maintenance_Part[[#This Row],[Longitude]],"")</f>
        <v>28.468682000000001</v>
      </c>
    </row>
    <row r="124" spans="1:9" x14ac:dyDescent="0.3">
      <c r="A124" t="s">
        <v>1459</v>
      </c>
      <c r="B124" t="s">
        <v>1098</v>
      </c>
      <c r="C124" t="s">
        <v>72</v>
      </c>
      <c r="D124">
        <v>1.727095</v>
      </c>
      <c r="E124">
        <v>22.099651999999999</v>
      </c>
      <c r="F124" t="s">
        <v>1429</v>
      </c>
      <c r="G124" t="s">
        <v>1430</v>
      </c>
      <c r="H124">
        <f>IF(LEN(RIGHT(Registre_Maintenance_Part[[#This Row],[Latitude]],LEN(Registre_Maintenance_Part[[#This Row],[Latitude]])-SEARCH(",",Registre_Maintenance_Part[[#This Row],[Latitude]])))=6,Registre_Maintenance_Part[[#This Row],[Latitude]],"")</f>
        <v>1.727095</v>
      </c>
      <c r="I124">
        <f>IF(LEN(RIGHT(Registre_Maintenance_Part[[#This Row],[Longitude]],LEN(Registre_Maintenance_Part[[#This Row],[Longitude]])-SEARCH(",",Registre_Maintenance_Part[[#This Row],[Longitude]])))=6,Registre_Maintenance_Part[[#This Row],[Longitude]],"")</f>
        <v>22.099651999999999</v>
      </c>
    </row>
    <row r="125" spans="1:9" x14ac:dyDescent="0.3">
      <c r="A125" t="s">
        <v>1459</v>
      </c>
      <c r="B125" t="s">
        <v>1468</v>
      </c>
      <c r="C125" t="s">
        <v>35</v>
      </c>
      <c r="D125">
        <v>-6.2712260000000004</v>
      </c>
      <c r="E125">
        <v>21.512366</v>
      </c>
      <c r="F125" t="s">
        <v>1426</v>
      </c>
      <c r="G125" t="s">
        <v>1430</v>
      </c>
      <c r="H125">
        <f>IF(LEN(RIGHT(Registre_Maintenance_Part[[#This Row],[Latitude]],LEN(Registre_Maintenance_Part[[#This Row],[Latitude]])-SEARCH(",",Registre_Maintenance_Part[[#This Row],[Latitude]])))=6,Registre_Maintenance_Part[[#This Row],[Latitude]],"")</f>
        <v>-6.2712260000000004</v>
      </c>
      <c r="I125">
        <f>IF(LEN(RIGHT(Registre_Maintenance_Part[[#This Row],[Longitude]],LEN(Registre_Maintenance_Part[[#This Row],[Longitude]])-SEARCH(",",Registre_Maintenance_Part[[#This Row],[Longitude]])))=6,Registre_Maintenance_Part[[#This Row],[Longitude]],"")</f>
        <v>21.512366</v>
      </c>
    </row>
    <row r="126" spans="1:9" x14ac:dyDescent="0.3">
      <c r="A126" t="s">
        <v>1459</v>
      </c>
      <c r="B126" t="s">
        <v>937</v>
      </c>
      <c r="C126" t="s">
        <v>54</v>
      </c>
      <c r="D126">
        <v>0.639208</v>
      </c>
      <c r="E126">
        <v>20.701739</v>
      </c>
      <c r="F126" t="s">
        <v>1429</v>
      </c>
      <c r="G126" t="s">
        <v>1430</v>
      </c>
      <c r="H126">
        <f>IF(LEN(RIGHT(Registre_Maintenance_Part[[#This Row],[Latitude]],LEN(Registre_Maintenance_Part[[#This Row],[Latitude]])-SEARCH(",",Registre_Maintenance_Part[[#This Row],[Latitude]])))=6,Registre_Maintenance_Part[[#This Row],[Latitude]],"")</f>
        <v>0.639208</v>
      </c>
      <c r="I126">
        <f>IF(LEN(RIGHT(Registre_Maintenance_Part[[#This Row],[Longitude]],LEN(Registre_Maintenance_Part[[#This Row],[Longitude]])-SEARCH(",",Registre_Maintenance_Part[[#This Row],[Longitude]])))=6,Registre_Maintenance_Part[[#This Row],[Longitude]],"")</f>
        <v>20.701739</v>
      </c>
    </row>
    <row r="127" spans="1:9" x14ac:dyDescent="0.3">
      <c r="A127" t="s">
        <v>1459</v>
      </c>
      <c r="B127" t="s">
        <v>1469</v>
      </c>
      <c r="C127" t="s">
        <v>41</v>
      </c>
      <c r="D127">
        <v>2.349755</v>
      </c>
      <c r="E127">
        <v>29.600649000000001</v>
      </c>
      <c r="F127" t="s">
        <v>1429</v>
      </c>
      <c r="G127" t="s">
        <v>1438</v>
      </c>
      <c r="H127">
        <f>IF(LEN(RIGHT(Registre_Maintenance_Part[[#This Row],[Latitude]],LEN(Registre_Maintenance_Part[[#This Row],[Latitude]])-SEARCH(",",Registre_Maintenance_Part[[#This Row],[Latitude]])))=6,Registre_Maintenance_Part[[#This Row],[Latitude]],"")</f>
        <v>2.349755</v>
      </c>
      <c r="I127">
        <f>IF(LEN(RIGHT(Registre_Maintenance_Part[[#This Row],[Longitude]],LEN(Registre_Maintenance_Part[[#This Row],[Longitude]])-SEARCH(",",Registre_Maintenance_Part[[#This Row],[Longitude]])))=6,Registre_Maintenance_Part[[#This Row],[Longitude]],"")</f>
        <v>29.600649000000001</v>
      </c>
    </row>
    <row r="128" spans="1:9" x14ac:dyDescent="0.3">
      <c r="A128" t="s">
        <v>1459</v>
      </c>
      <c r="B128" t="s">
        <v>1344</v>
      </c>
      <c r="C128" t="s">
        <v>59</v>
      </c>
      <c r="D128">
        <v>-10.977309</v>
      </c>
      <c r="E128">
        <v>12.408281000000001</v>
      </c>
      <c r="F128" t="s">
        <v>1426</v>
      </c>
      <c r="G128" t="s">
        <v>1432</v>
      </c>
      <c r="H128">
        <f>IF(LEN(RIGHT(Registre_Maintenance_Part[[#This Row],[Latitude]],LEN(Registre_Maintenance_Part[[#This Row],[Latitude]])-SEARCH(",",Registre_Maintenance_Part[[#This Row],[Latitude]])))=6,Registre_Maintenance_Part[[#This Row],[Latitude]],"")</f>
        <v>-10.977309</v>
      </c>
      <c r="I128">
        <f>IF(LEN(RIGHT(Registre_Maintenance_Part[[#This Row],[Longitude]],LEN(Registre_Maintenance_Part[[#This Row],[Longitude]])-SEARCH(",",Registre_Maintenance_Part[[#This Row],[Longitude]])))=6,Registre_Maintenance_Part[[#This Row],[Longitude]],"")</f>
        <v>12.408281000000001</v>
      </c>
    </row>
    <row r="129" spans="1:9" x14ac:dyDescent="0.3">
      <c r="A129" t="s">
        <v>1459</v>
      </c>
      <c r="B129" t="s">
        <v>1470</v>
      </c>
      <c r="C129" t="s">
        <v>12</v>
      </c>
      <c r="D129">
        <v>-12.018316</v>
      </c>
      <c r="E129">
        <v>16.700451000000001</v>
      </c>
      <c r="F129" t="s">
        <v>1431</v>
      </c>
      <c r="G129" t="s">
        <v>1438</v>
      </c>
      <c r="H129">
        <f>IF(LEN(RIGHT(Registre_Maintenance_Part[[#This Row],[Latitude]],LEN(Registre_Maintenance_Part[[#This Row],[Latitude]])-SEARCH(",",Registre_Maintenance_Part[[#This Row],[Latitude]])))=6,Registre_Maintenance_Part[[#This Row],[Latitude]],"")</f>
        <v>-12.018316</v>
      </c>
      <c r="I129">
        <f>IF(LEN(RIGHT(Registre_Maintenance_Part[[#This Row],[Longitude]],LEN(Registre_Maintenance_Part[[#This Row],[Longitude]])-SEARCH(",",Registre_Maintenance_Part[[#This Row],[Longitude]])))=6,Registre_Maintenance_Part[[#This Row],[Longitude]],"")</f>
        <v>16.700451000000001</v>
      </c>
    </row>
    <row r="130" spans="1:9" x14ac:dyDescent="0.3">
      <c r="A130" t="s">
        <v>1471</v>
      </c>
      <c r="B130" t="s">
        <v>1127</v>
      </c>
      <c r="C130" t="s">
        <v>54</v>
      </c>
      <c r="D130">
        <v>-1.648326</v>
      </c>
      <c r="E130">
        <v>25.528901999999999</v>
      </c>
      <c r="F130" t="s">
        <v>1429</v>
      </c>
      <c r="G130" t="s">
        <v>1430</v>
      </c>
      <c r="H130">
        <f>IF(LEN(RIGHT(Registre_Maintenance_Part[[#This Row],[Latitude]],LEN(Registre_Maintenance_Part[[#This Row],[Latitude]])-SEARCH(",",Registre_Maintenance_Part[[#This Row],[Latitude]])))=6,Registre_Maintenance_Part[[#This Row],[Latitude]],"")</f>
        <v>-1.648326</v>
      </c>
      <c r="I130">
        <f>IF(LEN(RIGHT(Registre_Maintenance_Part[[#This Row],[Longitude]],LEN(Registre_Maintenance_Part[[#This Row],[Longitude]])-SEARCH(",",Registre_Maintenance_Part[[#This Row],[Longitude]])))=6,Registre_Maintenance_Part[[#This Row],[Longitude]],"")</f>
        <v>25.528901999999999</v>
      </c>
    </row>
    <row r="131" spans="1:9" x14ac:dyDescent="0.3">
      <c r="A131" t="s">
        <v>1471</v>
      </c>
      <c r="B131" t="s">
        <v>922</v>
      </c>
      <c r="C131" t="s">
        <v>17</v>
      </c>
      <c r="D131">
        <v>-12.112682</v>
      </c>
      <c r="E131">
        <v>19.972052000000001</v>
      </c>
      <c r="F131" t="s">
        <v>1429</v>
      </c>
      <c r="G131" t="s">
        <v>1430</v>
      </c>
      <c r="H131">
        <f>IF(LEN(RIGHT(Registre_Maintenance_Part[[#This Row],[Latitude]],LEN(Registre_Maintenance_Part[[#This Row],[Latitude]])-SEARCH(",",Registre_Maintenance_Part[[#This Row],[Latitude]])))=6,Registre_Maintenance_Part[[#This Row],[Latitude]],"")</f>
        <v>-12.112682</v>
      </c>
      <c r="I131">
        <f>IF(LEN(RIGHT(Registre_Maintenance_Part[[#This Row],[Longitude]],LEN(Registre_Maintenance_Part[[#This Row],[Longitude]])-SEARCH(",",Registre_Maintenance_Part[[#This Row],[Longitude]])))=6,Registre_Maintenance_Part[[#This Row],[Longitude]],"")</f>
        <v>19.972052000000001</v>
      </c>
    </row>
    <row r="132" spans="1:9" x14ac:dyDescent="0.3">
      <c r="A132" t="s">
        <v>1471</v>
      </c>
      <c r="B132" t="s">
        <v>1306</v>
      </c>
      <c r="C132" t="s">
        <v>12</v>
      </c>
      <c r="D132">
        <v>-7.7587710000000003</v>
      </c>
      <c r="E132">
        <v>17.880848</v>
      </c>
      <c r="F132" t="s">
        <v>1431</v>
      </c>
      <c r="G132" t="s">
        <v>1427</v>
      </c>
      <c r="H132">
        <f>IF(LEN(RIGHT(Registre_Maintenance_Part[[#This Row],[Latitude]],LEN(Registre_Maintenance_Part[[#This Row],[Latitude]])-SEARCH(",",Registre_Maintenance_Part[[#This Row],[Latitude]])))=6,Registre_Maintenance_Part[[#This Row],[Latitude]],"")</f>
        <v>-7.7587710000000003</v>
      </c>
      <c r="I132">
        <f>IF(LEN(RIGHT(Registre_Maintenance_Part[[#This Row],[Longitude]],LEN(Registre_Maintenance_Part[[#This Row],[Longitude]])-SEARCH(",",Registre_Maintenance_Part[[#This Row],[Longitude]])))=6,Registre_Maintenance_Part[[#This Row],[Longitude]],"")</f>
        <v>17.880848</v>
      </c>
    </row>
    <row r="133" spans="1:9" x14ac:dyDescent="0.3">
      <c r="A133" t="s">
        <v>1471</v>
      </c>
      <c r="B133" t="s">
        <v>1123</v>
      </c>
      <c r="C133" t="s">
        <v>31</v>
      </c>
      <c r="D133">
        <v>-5.8352820000000003</v>
      </c>
      <c r="E133">
        <v>26.603978000000001</v>
      </c>
      <c r="F133" t="s">
        <v>1429</v>
      </c>
      <c r="G133" t="s">
        <v>1430</v>
      </c>
      <c r="H133">
        <f>IF(LEN(RIGHT(Registre_Maintenance_Part[[#This Row],[Latitude]],LEN(Registre_Maintenance_Part[[#This Row],[Latitude]])-SEARCH(",",Registre_Maintenance_Part[[#This Row],[Latitude]])))=6,Registre_Maintenance_Part[[#This Row],[Latitude]],"")</f>
        <v>-5.8352820000000003</v>
      </c>
      <c r="I133">
        <f>IF(LEN(RIGHT(Registre_Maintenance_Part[[#This Row],[Longitude]],LEN(Registre_Maintenance_Part[[#This Row],[Longitude]])-SEARCH(",",Registre_Maintenance_Part[[#This Row],[Longitude]])))=6,Registre_Maintenance_Part[[#This Row],[Longitude]],"")</f>
        <v>26.603978000000001</v>
      </c>
    </row>
    <row r="134" spans="1:9" x14ac:dyDescent="0.3">
      <c r="A134" t="s">
        <v>1471</v>
      </c>
      <c r="B134" t="s">
        <v>1472</v>
      </c>
      <c r="C134" t="s">
        <v>126</v>
      </c>
      <c r="D134">
        <v>-7.5180249999999997</v>
      </c>
      <c r="E134">
        <v>20.478905999999998</v>
      </c>
      <c r="F134" t="s">
        <v>1426</v>
      </c>
      <c r="G134" t="s">
        <v>1438</v>
      </c>
      <c r="H134">
        <f>IF(LEN(RIGHT(Registre_Maintenance_Part[[#This Row],[Latitude]],LEN(Registre_Maintenance_Part[[#This Row],[Latitude]])-SEARCH(",",Registre_Maintenance_Part[[#This Row],[Latitude]])))=6,Registre_Maintenance_Part[[#This Row],[Latitude]],"")</f>
        <v>-7.5180249999999997</v>
      </c>
      <c r="I134">
        <f>IF(LEN(RIGHT(Registre_Maintenance_Part[[#This Row],[Longitude]],LEN(Registre_Maintenance_Part[[#This Row],[Longitude]])-SEARCH(",",Registre_Maintenance_Part[[#This Row],[Longitude]])))=6,Registre_Maintenance_Part[[#This Row],[Longitude]],"")</f>
        <v>20.478905999999998</v>
      </c>
    </row>
    <row r="135" spans="1:9" x14ac:dyDescent="0.3">
      <c r="A135" t="s">
        <v>1471</v>
      </c>
      <c r="B135" t="s">
        <v>1144</v>
      </c>
      <c r="C135" t="s">
        <v>31</v>
      </c>
      <c r="D135">
        <v>1.897178</v>
      </c>
      <c r="E135">
        <v>23.902604</v>
      </c>
      <c r="F135" t="s">
        <v>1431</v>
      </c>
      <c r="G135" t="s">
        <v>1438</v>
      </c>
      <c r="H135">
        <f>IF(LEN(RIGHT(Registre_Maintenance_Part[[#This Row],[Latitude]],LEN(Registre_Maintenance_Part[[#This Row],[Latitude]])-SEARCH(",",Registre_Maintenance_Part[[#This Row],[Latitude]])))=6,Registre_Maintenance_Part[[#This Row],[Latitude]],"")</f>
        <v>1.897178</v>
      </c>
      <c r="I135">
        <f>IF(LEN(RIGHT(Registre_Maintenance_Part[[#This Row],[Longitude]],LEN(Registre_Maintenance_Part[[#This Row],[Longitude]])-SEARCH(",",Registre_Maintenance_Part[[#This Row],[Longitude]])))=6,Registre_Maintenance_Part[[#This Row],[Longitude]],"")</f>
        <v>23.902604</v>
      </c>
    </row>
    <row r="136" spans="1:9" x14ac:dyDescent="0.3">
      <c r="A136" t="s">
        <v>1471</v>
      </c>
      <c r="B136" t="s">
        <v>1165</v>
      </c>
      <c r="C136" t="s">
        <v>37</v>
      </c>
      <c r="D136">
        <v>-4.6957509999999996</v>
      </c>
      <c r="E136">
        <v>14.233525999999999</v>
      </c>
      <c r="F136" t="s">
        <v>1429</v>
      </c>
      <c r="G136" t="s">
        <v>1438</v>
      </c>
      <c r="H136">
        <f>IF(LEN(RIGHT(Registre_Maintenance_Part[[#This Row],[Latitude]],LEN(Registre_Maintenance_Part[[#This Row],[Latitude]])-SEARCH(",",Registre_Maintenance_Part[[#This Row],[Latitude]])))=6,Registre_Maintenance_Part[[#This Row],[Latitude]],"")</f>
        <v>-4.6957509999999996</v>
      </c>
      <c r="I136">
        <f>IF(LEN(RIGHT(Registre_Maintenance_Part[[#This Row],[Longitude]],LEN(Registre_Maintenance_Part[[#This Row],[Longitude]])-SEARCH(",",Registre_Maintenance_Part[[#This Row],[Longitude]])))=6,Registre_Maintenance_Part[[#This Row],[Longitude]],"")</f>
        <v>14.233525999999999</v>
      </c>
    </row>
    <row r="137" spans="1:9" x14ac:dyDescent="0.3">
      <c r="A137" t="s">
        <v>1471</v>
      </c>
      <c r="B137" t="s">
        <v>1473</v>
      </c>
      <c r="C137" t="s">
        <v>118</v>
      </c>
      <c r="D137">
        <v>-1.9635830000000001</v>
      </c>
      <c r="E137">
        <v>15.854182</v>
      </c>
      <c r="F137" t="s">
        <v>1431</v>
      </c>
      <c r="G137" t="s">
        <v>1438</v>
      </c>
      <c r="H137">
        <f>IF(LEN(RIGHT(Registre_Maintenance_Part[[#This Row],[Latitude]],LEN(Registre_Maintenance_Part[[#This Row],[Latitude]])-SEARCH(",",Registre_Maintenance_Part[[#This Row],[Latitude]])))=6,Registre_Maintenance_Part[[#This Row],[Latitude]],"")</f>
        <v>-1.9635830000000001</v>
      </c>
      <c r="I137">
        <f>IF(LEN(RIGHT(Registre_Maintenance_Part[[#This Row],[Longitude]],LEN(Registre_Maintenance_Part[[#This Row],[Longitude]])-SEARCH(",",Registre_Maintenance_Part[[#This Row],[Longitude]])))=6,Registre_Maintenance_Part[[#This Row],[Longitude]],"")</f>
        <v>15.854182</v>
      </c>
    </row>
    <row r="138" spans="1:9" x14ac:dyDescent="0.3">
      <c r="A138" t="s">
        <v>1471</v>
      </c>
      <c r="B138" t="s">
        <v>903</v>
      </c>
      <c r="C138" t="s">
        <v>24</v>
      </c>
      <c r="D138">
        <v>-3.6945459999999999</v>
      </c>
      <c r="E138">
        <v>16.809108999999999</v>
      </c>
      <c r="F138" t="s">
        <v>1426</v>
      </c>
      <c r="G138" t="s">
        <v>1432</v>
      </c>
      <c r="H138">
        <f>IF(LEN(RIGHT(Registre_Maintenance_Part[[#This Row],[Latitude]],LEN(Registre_Maintenance_Part[[#This Row],[Latitude]])-SEARCH(",",Registre_Maintenance_Part[[#This Row],[Latitude]])))=6,Registre_Maintenance_Part[[#This Row],[Latitude]],"")</f>
        <v>-3.6945459999999999</v>
      </c>
      <c r="I138">
        <f>IF(LEN(RIGHT(Registre_Maintenance_Part[[#This Row],[Longitude]],LEN(Registre_Maintenance_Part[[#This Row],[Longitude]])-SEARCH(",",Registre_Maintenance_Part[[#This Row],[Longitude]])))=6,Registre_Maintenance_Part[[#This Row],[Longitude]],"")</f>
        <v>16.809108999999999</v>
      </c>
    </row>
    <row r="139" spans="1:9" x14ac:dyDescent="0.3">
      <c r="A139" t="s">
        <v>1471</v>
      </c>
      <c r="B139" t="s">
        <v>1014</v>
      </c>
      <c r="C139" t="s">
        <v>118</v>
      </c>
      <c r="D139">
        <v>-4.869434</v>
      </c>
      <c r="E139">
        <v>22.326522000000001</v>
      </c>
      <c r="F139" t="s">
        <v>1426</v>
      </c>
      <c r="G139" t="s">
        <v>1427</v>
      </c>
      <c r="H139">
        <f>IF(LEN(RIGHT(Registre_Maintenance_Part[[#This Row],[Latitude]],LEN(Registre_Maintenance_Part[[#This Row],[Latitude]])-SEARCH(",",Registre_Maintenance_Part[[#This Row],[Latitude]])))=6,Registre_Maintenance_Part[[#This Row],[Latitude]],"")</f>
        <v>-4.869434</v>
      </c>
      <c r="I139">
        <f>IF(LEN(RIGHT(Registre_Maintenance_Part[[#This Row],[Longitude]],LEN(Registre_Maintenance_Part[[#This Row],[Longitude]])-SEARCH(",",Registre_Maintenance_Part[[#This Row],[Longitude]])))=6,Registre_Maintenance_Part[[#This Row],[Longitude]],"")</f>
        <v>22.326522000000001</v>
      </c>
    </row>
    <row r="140" spans="1:9" x14ac:dyDescent="0.3">
      <c r="A140" t="s">
        <v>1471</v>
      </c>
      <c r="B140" t="s">
        <v>1474</v>
      </c>
      <c r="C140" t="s">
        <v>9</v>
      </c>
      <c r="D140">
        <v>-10.962911</v>
      </c>
      <c r="E140">
        <v>28.771355</v>
      </c>
      <c r="F140" t="s">
        <v>1426</v>
      </c>
      <c r="G140" t="s">
        <v>1430</v>
      </c>
      <c r="H140">
        <f>IF(LEN(RIGHT(Registre_Maintenance_Part[[#This Row],[Latitude]],LEN(Registre_Maintenance_Part[[#This Row],[Latitude]])-SEARCH(",",Registre_Maintenance_Part[[#This Row],[Latitude]])))=6,Registre_Maintenance_Part[[#This Row],[Latitude]],"")</f>
        <v>-10.962911</v>
      </c>
      <c r="I140">
        <f>IF(LEN(RIGHT(Registre_Maintenance_Part[[#This Row],[Longitude]],LEN(Registre_Maintenance_Part[[#This Row],[Longitude]])-SEARCH(",",Registre_Maintenance_Part[[#This Row],[Longitude]])))=6,Registre_Maintenance_Part[[#This Row],[Longitude]],"")</f>
        <v>28.771355</v>
      </c>
    </row>
    <row r="141" spans="1:9" x14ac:dyDescent="0.3">
      <c r="A141" t="s">
        <v>1471</v>
      </c>
      <c r="B141" t="s">
        <v>834</v>
      </c>
      <c r="C141" t="s">
        <v>122</v>
      </c>
      <c r="D141">
        <v>1.017161</v>
      </c>
      <c r="E141">
        <v>16.519689</v>
      </c>
      <c r="F141" t="s">
        <v>1431</v>
      </c>
      <c r="G141" t="s">
        <v>1438</v>
      </c>
      <c r="H141">
        <f>IF(LEN(RIGHT(Registre_Maintenance_Part[[#This Row],[Latitude]],LEN(Registre_Maintenance_Part[[#This Row],[Latitude]])-SEARCH(",",Registre_Maintenance_Part[[#This Row],[Latitude]])))=6,Registre_Maintenance_Part[[#This Row],[Latitude]],"")</f>
        <v>1.017161</v>
      </c>
      <c r="I141">
        <f>IF(LEN(RIGHT(Registre_Maintenance_Part[[#This Row],[Longitude]],LEN(Registre_Maintenance_Part[[#This Row],[Longitude]])-SEARCH(",",Registre_Maintenance_Part[[#This Row],[Longitude]])))=6,Registre_Maintenance_Part[[#This Row],[Longitude]],"")</f>
        <v>16.519689</v>
      </c>
    </row>
    <row r="142" spans="1:9" x14ac:dyDescent="0.3">
      <c r="A142" t="s">
        <v>1471</v>
      </c>
      <c r="B142" t="s">
        <v>1475</v>
      </c>
      <c r="C142" t="s">
        <v>126</v>
      </c>
      <c r="D142">
        <v>3.8811640000000001</v>
      </c>
      <c r="E142">
        <v>23.188383999999999</v>
      </c>
      <c r="F142" t="s">
        <v>1426</v>
      </c>
      <c r="G142" t="s">
        <v>1430</v>
      </c>
      <c r="H142">
        <f>IF(LEN(RIGHT(Registre_Maintenance_Part[[#This Row],[Latitude]],LEN(Registre_Maintenance_Part[[#This Row],[Latitude]])-SEARCH(",",Registre_Maintenance_Part[[#This Row],[Latitude]])))=6,Registre_Maintenance_Part[[#This Row],[Latitude]],"")</f>
        <v>3.8811640000000001</v>
      </c>
      <c r="I142">
        <f>IF(LEN(RIGHT(Registre_Maintenance_Part[[#This Row],[Longitude]],LEN(Registre_Maintenance_Part[[#This Row],[Longitude]])-SEARCH(",",Registre_Maintenance_Part[[#This Row],[Longitude]])))=6,Registre_Maintenance_Part[[#This Row],[Longitude]],"")</f>
        <v>23.188383999999999</v>
      </c>
    </row>
    <row r="143" spans="1:9" x14ac:dyDescent="0.3">
      <c r="A143" t="s">
        <v>1471</v>
      </c>
      <c r="B143" t="s">
        <v>1299</v>
      </c>
      <c r="C143" t="s">
        <v>59</v>
      </c>
      <c r="D143">
        <v>-0.469945</v>
      </c>
      <c r="E143">
        <v>21.038527999999999</v>
      </c>
      <c r="F143" t="s">
        <v>1431</v>
      </c>
      <c r="G143" t="s">
        <v>1427</v>
      </c>
      <c r="H143">
        <f>IF(LEN(RIGHT(Registre_Maintenance_Part[[#This Row],[Latitude]],LEN(Registre_Maintenance_Part[[#This Row],[Latitude]])-SEARCH(",",Registre_Maintenance_Part[[#This Row],[Latitude]])))=6,Registre_Maintenance_Part[[#This Row],[Latitude]],"")</f>
        <v>-0.469945</v>
      </c>
      <c r="I143">
        <f>IF(LEN(RIGHT(Registre_Maintenance_Part[[#This Row],[Longitude]],LEN(Registre_Maintenance_Part[[#This Row],[Longitude]])-SEARCH(",",Registre_Maintenance_Part[[#This Row],[Longitude]])))=6,Registre_Maintenance_Part[[#This Row],[Longitude]],"")</f>
        <v>21.038527999999999</v>
      </c>
    </row>
    <row r="144" spans="1:9" x14ac:dyDescent="0.3">
      <c r="A144" t="s">
        <v>1471</v>
      </c>
      <c r="B144" t="s">
        <v>1339</v>
      </c>
      <c r="C144" t="s">
        <v>17</v>
      </c>
      <c r="D144">
        <v>-5.5559329999999996</v>
      </c>
      <c r="E144">
        <v>13.508692999999999</v>
      </c>
      <c r="F144" t="s">
        <v>1431</v>
      </c>
      <c r="G144" t="s">
        <v>1438</v>
      </c>
      <c r="H144">
        <f>IF(LEN(RIGHT(Registre_Maintenance_Part[[#This Row],[Latitude]],LEN(Registre_Maintenance_Part[[#This Row],[Latitude]])-SEARCH(",",Registre_Maintenance_Part[[#This Row],[Latitude]])))=6,Registre_Maintenance_Part[[#This Row],[Latitude]],"")</f>
        <v>-5.5559329999999996</v>
      </c>
      <c r="I144">
        <f>IF(LEN(RIGHT(Registre_Maintenance_Part[[#This Row],[Longitude]],LEN(Registre_Maintenance_Part[[#This Row],[Longitude]])-SEARCH(",",Registre_Maintenance_Part[[#This Row],[Longitude]])))=6,Registre_Maintenance_Part[[#This Row],[Longitude]],"")</f>
        <v>13.508692999999999</v>
      </c>
    </row>
    <row r="145" spans="1:9" x14ac:dyDescent="0.3">
      <c r="A145" t="s">
        <v>1471</v>
      </c>
      <c r="B145" t="s">
        <v>892</v>
      </c>
      <c r="C145" t="s">
        <v>72</v>
      </c>
      <c r="D145">
        <v>-2.3743210000000001</v>
      </c>
      <c r="E145">
        <v>22.399491000000001</v>
      </c>
      <c r="F145" t="s">
        <v>1426</v>
      </c>
      <c r="G145" t="s">
        <v>1427</v>
      </c>
      <c r="H145">
        <f>IF(LEN(RIGHT(Registre_Maintenance_Part[[#This Row],[Latitude]],LEN(Registre_Maintenance_Part[[#This Row],[Latitude]])-SEARCH(",",Registre_Maintenance_Part[[#This Row],[Latitude]])))=6,Registre_Maintenance_Part[[#This Row],[Latitude]],"")</f>
        <v>-2.3743210000000001</v>
      </c>
      <c r="I145">
        <f>IF(LEN(RIGHT(Registre_Maintenance_Part[[#This Row],[Longitude]],LEN(Registre_Maintenance_Part[[#This Row],[Longitude]])-SEARCH(",",Registre_Maintenance_Part[[#This Row],[Longitude]])))=6,Registre_Maintenance_Part[[#This Row],[Longitude]],"")</f>
        <v>22.399491000000001</v>
      </c>
    </row>
    <row r="146" spans="1:9" x14ac:dyDescent="0.3">
      <c r="A146" t="s">
        <v>1471</v>
      </c>
      <c r="B146" t="s">
        <v>1269</v>
      </c>
      <c r="C146" t="s">
        <v>122</v>
      </c>
      <c r="D146">
        <v>-0.17258100000000001</v>
      </c>
      <c r="E146">
        <v>23.775555000000001</v>
      </c>
      <c r="F146" t="s">
        <v>1426</v>
      </c>
      <c r="G146" t="s">
        <v>1438</v>
      </c>
      <c r="H146">
        <f>IF(LEN(RIGHT(Registre_Maintenance_Part[[#This Row],[Latitude]],LEN(Registre_Maintenance_Part[[#This Row],[Latitude]])-SEARCH(",",Registre_Maintenance_Part[[#This Row],[Latitude]])))=6,Registre_Maintenance_Part[[#This Row],[Latitude]],"")</f>
        <v>-0.17258100000000001</v>
      </c>
      <c r="I146">
        <f>IF(LEN(RIGHT(Registre_Maintenance_Part[[#This Row],[Longitude]],LEN(Registre_Maintenance_Part[[#This Row],[Longitude]])-SEARCH(",",Registre_Maintenance_Part[[#This Row],[Longitude]])))=6,Registre_Maintenance_Part[[#This Row],[Longitude]],"")</f>
        <v>23.775555000000001</v>
      </c>
    </row>
    <row r="147" spans="1:9" x14ac:dyDescent="0.3">
      <c r="A147" t="s">
        <v>1471</v>
      </c>
      <c r="B147" t="s">
        <v>822</v>
      </c>
      <c r="C147" t="s">
        <v>29</v>
      </c>
      <c r="D147">
        <v>-9.3652239999999995</v>
      </c>
      <c r="E147">
        <v>22.593423999999999</v>
      </c>
      <c r="F147" t="s">
        <v>1426</v>
      </c>
      <c r="G147" t="s">
        <v>1438</v>
      </c>
      <c r="H147">
        <f>IF(LEN(RIGHT(Registre_Maintenance_Part[[#This Row],[Latitude]],LEN(Registre_Maintenance_Part[[#This Row],[Latitude]])-SEARCH(",",Registre_Maintenance_Part[[#This Row],[Latitude]])))=6,Registre_Maintenance_Part[[#This Row],[Latitude]],"")</f>
        <v>-9.3652239999999995</v>
      </c>
      <c r="I147">
        <f>IF(LEN(RIGHT(Registre_Maintenance_Part[[#This Row],[Longitude]],LEN(Registre_Maintenance_Part[[#This Row],[Longitude]])-SEARCH(",",Registre_Maintenance_Part[[#This Row],[Longitude]])))=6,Registre_Maintenance_Part[[#This Row],[Longitude]],"")</f>
        <v>22.593423999999999</v>
      </c>
    </row>
    <row r="148" spans="1:9" x14ac:dyDescent="0.3">
      <c r="A148" t="s">
        <v>1471</v>
      </c>
      <c r="B148" t="s">
        <v>1136</v>
      </c>
      <c r="C148" t="s">
        <v>17</v>
      </c>
      <c r="D148">
        <v>-4.8157019999999999</v>
      </c>
      <c r="E148">
        <v>27.679798000000002</v>
      </c>
      <c r="F148" t="s">
        <v>1431</v>
      </c>
      <c r="G148" t="s">
        <v>1427</v>
      </c>
      <c r="H148">
        <f>IF(LEN(RIGHT(Registre_Maintenance_Part[[#This Row],[Latitude]],LEN(Registre_Maintenance_Part[[#This Row],[Latitude]])-SEARCH(",",Registre_Maintenance_Part[[#This Row],[Latitude]])))=6,Registre_Maintenance_Part[[#This Row],[Latitude]],"")</f>
        <v>-4.8157019999999999</v>
      </c>
      <c r="I148">
        <f>IF(LEN(RIGHT(Registre_Maintenance_Part[[#This Row],[Longitude]],LEN(Registre_Maintenance_Part[[#This Row],[Longitude]])-SEARCH(",",Registre_Maintenance_Part[[#This Row],[Longitude]])))=6,Registre_Maintenance_Part[[#This Row],[Longitude]],"")</f>
        <v>27.679798000000002</v>
      </c>
    </row>
    <row r="149" spans="1:9" x14ac:dyDescent="0.3">
      <c r="A149" t="s">
        <v>1471</v>
      </c>
      <c r="B149" t="s">
        <v>1203</v>
      </c>
      <c r="C149" t="s">
        <v>83</v>
      </c>
      <c r="D149">
        <v>-8.4985189999999999</v>
      </c>
      <c r="E149">
        <v>12.929456999999999</v>
      </c>
      <c r="F149" t="s">
        <v>1429</v>
      </c>
      <c r="G149" t="s">
        <v>1427</v>
      </c>
      <c r="H149">
        <f>IF(LEN(RIGHT(Registre_Maintenance_Part[[#This Row],[Latitude]],LEN(Registre_Maintenance_Part[[#This Row],[Latitude]])-SEARCH(",",Registre_Maintenance_Part[[#This Row],[Latitude]])))=6,Registre_Maintenance_Part[[#This Row],[Latitude]],"")</f>
        <v>-8.4985189999999999</v>
      </c>
      <c r="I149">
        <f>IF(LEN(RIGHT(Registre_Maintenance_Part[[#This Row],[Longitude]],LEN(Registre_Maintenance_Part[[#This Row],[Longitude]])-SEARCH(",",Registre_Maintenance_Part[[#This Row],[Longitude]])))=6,Registre_Maintenance_Part[[#This Row],[Longitude]],"")</f>
        <v>12.929456999999999</v>
      </c>
    </row>
    <row r="150" spans="1:9" x14ac:dyDescent="0.3">
      <c r="A150" t="s">
        <v>1471</v>
      </c>
      <c r="B150" t="s">
        <v>1390</v>
      </c>
      <c r="C150" t="s">
        <v>29</v>
      </c>
      <c r="D150">
        <v>-0.54908599999999996</v>
      </c>
      <c r="E150">
        <v>14.816867</v>
      </c>
      <c r="F150" t="s">
        <v>1426</v>
      </c>
      <c r="G150" t="s">
        <v>1432</v>
      </c>
      <c r="H150">
        <f>IF(LEN(RIGHT(Registre_Maintenance_Part[[#This Row],[Latitude]],LEN(Registre_Maintenance_Part[[#This Row],[Latitude]])-SEARCH(",",Registre_Maintenance_Part[[#This Row],[Latitude]])))=6,Registre_Maintenance_Part[[#This Row],[Latitude]],"")</f>
        <v>-0.54908599999999996</v>
      </c>
      <c r="I150">
        <f>IF(LEN(RIGHT(Registre_Maintenance_Part[[#This Row],[Longitude]],LEN(Registre_Maintenance_Part[[#This Row],[Longitude]])-SEARCH(",",Registre_Maintenance_Part[[#This Row],[Longitude]])))=6,Registre_Maintenance_Part[[#This Row],[Longitude]],"")</f>
        <v>14.816867</v>
      </c>
    </row>
    <row r="151" spans="1:9" x14ac:dyDescent="0.3">
      <c r="A151" t="s">
        <v>1471</v>
      </c>
      <c r="B151" t="s">
        <v>931</v>
      </c>
      <c r="C151" t="s">
        <v>57</v>
      </c>
      <c r="D151">
        <v>3.3289240000000002</v>
      </c>
      <c r="E151">
        <v>24.412261000000001</v>
      </c>
      <c r="F151" t="s">
        <v>1426</v>
      </c>
      <c r="G151" t="s">
        <v>1438</v>
      </c>
      <c r="H151">
        <f>IF(LEN(RIGHT(Registre_Maintenance_Part[[#This Row],[Latitude]],LEN(Registre_Maintenance_Part[[#This Row],[Latitude]])-SEARCH(",",Registre_Maintenance_Part[[#This Row],[Latitude]])))=6,Registre_Maintenance_Part[[#This Row],[Latitude]],"")</f>
        <v>3.3289240000000002</v>
      </c>
      <c r="I151">
        <f>IF(LEN(RIGHT(Registre_Maintenance_Part[[#This Row],[Longitude]],LEN(Registre_Maintenance_Part[[#This Row],[Longitude]])-SEARCH(",",Registre_Maintenance_Part[[#This Row],[Longitude]])))=6,Registre_Maintenance_Part[[#This Row],[Longitude]],"")</f>
        <v>24.412261000000001</v>
      </c>
    </row>
    <row r="152" spans="1:9" x14ac:dyDescent="0.3">
      <c r="A152" t="s">
        <v>1471</v>
      </c>
      <c r="B152" t="s">
        <v>1476</v>
      </c>
      <c r="C152" t="s">
        <v>15</v>
      </c>
      <c r="D152">
        <v>-6.9254999999999997E-2</v>
      </c>
      <c r="E152">
        <v>28.222756</v>
      </c>
      <c r="F152" t="s">
        <v>1426</v>
      </c>
      <c r="G152" t="s">
        <v>1430</v>
      </c>
      <c r="H152">
        <f>IF(LEN(RIGHT(Registre_Maintenance_Part[[#This Row],[Latitude]],LEN(Registre_Maintenance_Part[[#This Row],[Latitude]])-SEARCH(",",Registre_Maintenance_Part[[#This Row],[Latitude]])))=6,Registre_Maintenance_Part[[#This Row],[Latitude]],"")</f>
        <v>-6.9254999999999997E-2</v>
      </c>
      <c r="I152">
        <f>IF(LEN(RIGHT(Registre_Maintenance_Part[[#This Row],[Longitude]],LEN(Registre_Maintenance_Part[[#This Row],[Longitude]])-SEARCH(",",Registre_Maintenance_Part[[#This Row],[Longitude]])))=6,Registre_Maintenance_Part[[#This Row],[Longitude]],"")</f>
        <v>28.222756</v>
      </c>
    </row>
    <row r="153" spans="1:9" x14ac:dyDescent="0.3">
      <c r="A153" t="s">
        <v>1471</v>
      </c>
      <c r="B153" t="s">
        <v>773</v>
      </c>
      <c r="C153" t="s">
        <v>35</v>
      </c>
      <c r="D153">
        <v>-10.776204</v>
      </c>
      <c r="E153">
        <v>24.672934000000001</v>
      </c>
      <c r="F153" t="s">
        <v>1429</v>
      </c>
      <c r="G153" t="s">
        <v>1427</v>
      </c>
      <c r="H153">
        <f>IF(LEN(RIGHT(Registre_Maintenance_Part[[#This Row],[Latitude]],LEN(Registre_Maintenance_Part[[#This Row],[Latitude]])-SEARCH(",",Registre_Maintenance_Part[[#This Row],[Latitude]])))=6,Registre_Maintenance_Part[[#This Row],[Latitude]],"")</f>
        <v>-10.776204</v>
      </c>
      <c r="I153">
        <f>IF(LEN(RIGHT(Registre_Maintenance_Part[[#This Row],[Longitude]],LEN(Registre_Maintenance_Part[[#This Row],[Longitude]])-SEARCH(",",Registre_Maintenance_Part[[#This Row],[Longitude]])))=6,Registre_Maintenance_Part[[#This Row],[Longitude]],"")</f>
        <v>24.672934000000001</v>
      </c>
    </row>
    <row r="154" spans="1:9" x14ac:dyDescent="0.3">
      <c r="A154" t="s">
        <v>1471</v>
      </c>
      <c r="B154" t="s">
        <v>1229</v>
      </c>
      <c r="C154" t="s">
        <v>23</v>
      </c>
      <c r="D154">
        <v>-10.945031</v>
      </c>
      <c r="E154">
        <v>27.922274000000002</v>
      </c>
      <c r="F154" t="s">
        <v>1429</v>
      </c>
      <c r="G154" t="s">
        <v>1427</v>
      </c>
      <c r="H154">
        <f>IF(LEN(RIGHT(Registre_Maintenance_Part[[#This Row],[Latitude]],LEN(Registre_Maintenance_Part[[#This Row],[Latitude]])-SEARCH(",",Registre_Maintenance_Part[[#This Row],[Latitude]])))=6,Registre_Maintenance_Part[[#This Row],[Latitude]],"")</f>
        <v>-10.945031</v>
      </c>
      <c r="I154">
        <f>IF(LEN(RIGHT(Registre_Maintenance_Part[[#This Row],[Longitude]],LEN(Registre_Maintenance_Part[[#This Row],[Longitude]])-SEARCH(",",Registre_Maintenance_Part[[#This Row],[Longitude]])))=6,Registre_Maintenance_Part[[#This Row],[Longitude]],"")</f>
        <v>27.922274000000002</v>
      </c>
    </row>
    <row r="155" spans="1:9" x14ac:dyDescent="0.3">
      <c r="A155" t="s">
        <v>1471</v>
      </c>
      <c r="B155" t="s">
        <v>1477</v>
      </c>
      <c r="C155" t="s">
        <v>59</v>
      </c>
      <c r="D155">
        <v>-4.9108280000000004</v>
      </c>
      <c r="E155">
        <v>17.670389</v>
      </c>
      <c r="F155" t="s">
        <v>1426</v>
      </c>
      <c r="G155" t="s">
        <v>1432</v>
      </c>
      <c r="H155">
        <f>IF(LEN(RIGHT(Registre_Maintenance_Part[[#This Row],[Latitude]],LEN(Registre_Maintenance_Part[[#This Row],[Latitude]])-SEARCH(",",Registre_Maintenance_Part[[#This Row],[Latitude]])))=6,Registre_Maintenance_Part[[#This Row],[Latitude]],"")</f>
        <v>-4.9108280000000004</v>
      </c>
      <c r="I155">
        <f>IF(LEN(RIGHT(Registre_Maintenance_Part[[#This Row],[Longitude]],LEN(Registre_Maintenance_Part[[#This Row],[Longitude]])-SEARCH(",",Registre_Maintenance_Part[[#This Row],[Longitude]])))=6,Registre_Maintenance_Part[[#This Row],[Longitude]],"")</f>
        <v>17.670389</v>
      </c>
    </row>
    <row r="156" spans="1:9" x14ac:dyDescent="0.3">
      <c r="A156" t="s">
        <v>1471</v>
      </c>
      <c r="B156" t="s">
        <v>1305</v>
      </c>
      <c r="C156" t="s">
        <v>68</v>
      </c>
      <c r="D156">
        <v>-6.4670189999999996</v>
      </c>
      <c r="E156">
        <v>29.487309</v>
      </c>
      <c r="F156" t="s">
        <v>1429</v>
      </c>
      <c r="G156" t="s">
        <v>1432</v>
      </c>
      <c r="H156">
        <f>IF(LEN(RIGHT(Registre_Maintenance_Part[[#This Row],[Latitude]],LEN(Registre_Maintenance_Part[[#This Row],[Latitude]])-SEARCH(",",Registre_Maintenance_Part[[#This Row],[Latitude]])))=6,Registre_Maintenance_Part[[#This Row],[Latitude]],"")</f>
        <v>-6.4670189999999996</v>
      </c>
      <c r="I156">
        <f>IF(LEN(RIGHT(Registre_Maintenance_Part[[#This Row],[Longitude]],LEN(Registre_Maintenance_Part[[#This Row],[Longitude]])-SEARCH(",",Registre_Maintenance_Part[[#This Row],[Longitude]])))=6,Registre_Maintenance_Part[[#This Row],[Longitude]],"")</f>
        <v>29.487309</v>
      </c>
    </row>
    <row r="157" spans="1:9" x14ac:dyDescent="0.3">
      <c r="A157" t="s">
        <v>1471</v>
      </c>
      <c r="B157" t="s">
        <v>1478</v>
      </c>
      <c r="C157" t="s">
        <v>48</v>
      </c>
      <c r="D157">
        <v>-3.571288</v>
      </c>
      <c r="E157">
        <v>12.931596000000001</v>
      </c>
      <c r="F157" t="s">
        <v>1429</v>
      </c>
      <c r="G157" t="s">
        <v>1438</v>
      </c>
      <c r="H157">
        <f>IF(LEN(RIGHT(Registre_Maintenance_Part[[#This Row],[Latitude]],LEN(Registre_Maintenance_Part[[#This Row],[Latitude]])-SEARCH(",",Registre_Maintenance_Part[[#This Row],[Latitude]])))=6,Registre_Maintenance_Part[[#This Row],[Latitude]],"")</f>
        <v>-3.571288</v>
      </c>
      <c r="I157">
        <f>IF(LEN(RIGHT(Registre_Maintenance_Part[[#This Row],[Longitude]],LEN(Registre_Maintenance_Part[[#This Row],[Longitude]])-SEARCH(",",Registre_Maintenance_Part[[#This Row],[Longitude]])))=6,Registre_Maintenance_Part[[#This Row],[Longitude]],"")</f>
        <v>12.931596000000001</v>
      </c>
    </row>
    <row r="158" spans="1:9" x14ac:dyDescent="0.3">
      <c r="A158" t="s">
        <v>1471</v>
      </c>
      <c r="B158" t="s">
        <v>1479</v>
      </c>
      <c r="C158" t="s">
        <v>118</v>
      </c>
      <c r="D158">
        <v>-6.0864269999999996</v>
      </c>
      <c r="E158">
        <v>19.922181999999999</v>
      </c>
      <c r="F158" t="s">
        <v>1426</v>
      </c>
      <c r="G158" t="s">
        <v>1430</v>
      </c>
      <c r="H158">
        <f>IF(LEN(RIGHT(Registre_Maintenance_Part[[#This Row],[Latitude]],LEN(Registre_Maintenance_Part[[#This Row],[Latitude]])-SEARCH(",",Registre_Maintenance_Part[[#This Row],[Latitude]])))=6,Registre_Maintenance_Part[[#This Row],[Latitude]],"")</f>
        <v>-6.0864269999999996</v>
      </c>
      <c r="I158">
        <f>IF(LEN(RIGHT(Registre_Maintenance_Part[[#This Row],[Longitude]],LEN(Registre_Maintenance_Part[[#This Row],[Longitude]])-SEARCH(",",Registre_Maintenance_Part[[#This Row],[Longitude]])))=6,Registre_Maintenance_Part[[#This Row],[Longitude]],"")</f>
        <v>19.922181999999999</v>
      </c>
    </row>
    <row r="159" spans="1:9" x14ac:dyDescent="0.3">
      <c r="A159" t="s">
        <v>1471</v>
      </c>
      <c r="B159" t="s">
        <v>1204</v>
      </c>
      <c r="C159" t="s">
        <v>118</v>
      </c>
      <c r="D159">
        <v>1.2391989999999999</v>
      </c>
      <c r="E159">
        <v>15.386718999999999</v>
      </c>
      <c r="F159" t="s">
        <v>1426</v>
      </c>
      <c r="G159" t="s">
        <v>1432</v>
      </c>
      <c r="H159">
        <f>IF(LEN(RIGHT(Registre_Maintenance_Part[[#This Row],[Latitude]],LEN(Registre_Maintenance_Part[[#This Row],[Latitude]])-SEARCH(",",Registre_Maintenance_Part[[#This Row],[Latitude]])))=6,Registre_Maintenance_Part[[#This Row],[Latitude]],"")</f>
        <v>1.2391989999999999</v>
      </c>
      <c r="I159">
        <f>IF(LEN(RIGHT(Registre_Maintenance_Part[[#This Row],[Longitude]],LEN(Registre_Maintenance_Part[[#This Row],[Longitude]])-SEARCH(",",Registre_Maintenance_Part[[#This Row],[Longitude]])))=6,Registre_Maintenance_Part[[#This Row],[Longitude]],"")</f>
        <v>15.386718999999999</v>
      </c>
    </row>
    <row r="160" spans="1:9" x14ac:dyDescent="0.3">
      <c r="A160" t="s">
        <v>1471</v>
      </c>
      <c r="B160" t="s">
        <v>1480</v>
      </c>
      <c r="C160" t="s">
        <v>59</v>
      </c>
      <c r="D160">
        <v>-3.7900040000000002</v>
      </c>
      <c r="E160">
        <v>24.769718999999998</v>
      </c>
      <c r="F160" t="s">
        <v>1426</v>
      </c>
      <c r="G160" t="s">
        <v>1430</v>
      </c>
      <c r="H160">
        <f>IF(LEN(RIGHT(Registre_Maintenance_Part[[#This Row],[Latitude]],LEN(Registre_Maintenance_Part[[#This Row],[Latitude]])-SEARCH(",",Registre_Maintenance_Part[[#This Row],[Latitude]])))=6,Registre_Maintenance_Part[[#This Row],[Latitude]],"")</f>
        <v>-3.7900040000000002</v>
      </c>
      <c r="I160">
        <f>IF(LEN(RIGHT(Registre_Maintenance_Part[[#This Row],[Longitude]],LEN(Registre_Maintenance_Part[[#This Row],[Longitude]])-SEARCH(",",Registre_Maintenance_Part[[#This Row],[Longitude]])))=6,Registre_Maintenance_Part[[#This Row],[Longitude]],"")</f>
        <v>24.769718999999998</v>
      </c>
    </row>
    <row r="161" spans="1:9" x14ac:dyDescent="0.3">
      <c r="A161" t="s">
        <v>1471</v>
      </c>
      <c r="B161" t="s">
        <v>766</v>
      </c>
      <c r="C161" t="s">
        <v>68</v>
      </c>
      <c r="D161">
        <v>-6.1837850000000003</v>
      </c>
      <c r="E161">
        <v>25.138759</v>
      </c>
      <c r="F161" t="s">
        <v>1431</v>
      </c>
      <c r="G161" t="s">
        <v>1427</v>
      </c>
      <c r="H161">
        <f>IF(LEN(RIGHT(Registre_Maintenance_Part[[#This Row],[Latitude]],LEN(Registre_Maintenance_Part[[#This Row],[Latitude]])-SEARCH(",",Registre_Maintenance_Part[[#This Row],[Latitude]])))=6,Registre_Maintenance_Part[[#This Row],[Latitude]],"")</f>
        <v>-6.1837850000000003</v>
      </c>
      <c r="I161">
        <f>IF(LEN(RIGHT(Registre_Maintenance_Part[[#This Row],[Longitude]],LEN(Registre_Maintenance_Part[[#This Row],[Longitude]])-SEARCH(",",Registre_Maintenance_Part[[#This Row],[Longitude]])))=6,Registre_Maintenance_Part[[#This Row],[Longitude]],"")</f>
        <v>25.138759</v>
      </c>
    </row>
    <row r="162" spans="1:9" x14ac:dyDescent="0.3">
      <c r="A162" t="s">
        <v>1471</v>
      </c>
      <c r="B162" t="s">
        <v>1202</v>
      </c>
      <c r="C162" t="s">
        <v>57</v>
      </c>
      <c r="D162">
        <v>-6.1490739999999997</v>
      </c>
      <c r="E162">
        <v>23.304411000000002</v>
      </c>
      <c r="F162" t="s">
        <v>1426</v>
      </c>
      <c r="G162" t="s">
        <v>1432</v>
      </c>
      <c r="H162">
        <f>IF(LEN(RIGHT(Registre_Maintenance_Part[[#This Row],[Latitude]],LEN(Registre_Maintenance_Part[[#This Row],[Latitude]])-SEARCH(",",Registre_Maintenance_Part[[#This Row],[Latitude]])))=6,Registre_Maintenance_Part[[#This Row],[Latitude]],"")</f>
        <v>-6.1490739999999997</v>
      </c>
      <c r="I162">
        <f>IF(LEN(RIGHT(Registre_Maintenance_Part[[#This Row],[Longitude]],LEN(Registre_Maintenance_Part[[#This Row],[Longitude]])-SEARCH(",",Registre_Maintenance_Part[[#This Row],[Longitude]])))=6,Registre_Maintenance_Part[[#This Row],[Longitude]],"")</f>
        <v>23.304411000000002</v>
      </c>
    </row>
    <row r="163" spans="1:9" x14ac:dyDescent="0.3">
      <c r="A163" t="s">
        <v>1471</v>
      </c>
      <c r="B163" t="s">
        <v>799</v>
      </c>
      <c r="C163" t="s">
        <v>122</v>
      </c>
      <c r="D163">
        <v>0.82868600000000003</v>
      </c>
      <c r="E163">
        <v>26.958843999999999</v>
      </c>
      <c r="F163" t="s">
        <v>1426</v>
      </c>
      <c r="G163" t="s">
        <v>1432</v>
      </c>
      <c r="H163">
        <f>IF(LEN(RIGHT(Registre_Maintenance_Part[[#This Row],[Latitude]],LEN(Registre_Maintenance_Part[[#This Row],[Latitude]])-SEARCH(",",Registre_Maintenance_Part[[#This Row],[Latitude]])))=6,Registre_Maintenance_Part[[#This Row],[Latitude]],"")</f>
        <v>0.82868600000000003</v>
      </c>
      <c r="I163">
        <f>IF(LEN(RIGHT(Registre_Maintenance_Part[[#This Row],[Longitude]],LEN(Registre_Maintenance_Part[[#This Row],[Longitude]])-SEARCH(",",Registre_Maintenance_Part[[#This Row],[Longitude]])))=6,Registre_Maintenance_Part[[#This Row],[Longitude]],"")</f>
        <v>26.958843999999999</v>
      </c>
    </row>
    <row r="164" spans="1:9" x14ac:dyDescent="0.3">
      <c r="A164" t="s">
        <v>1471</v>
      </c>
      <c r="B164" t="s">
        <v>741</v>
      </c>
      <c r="C164" t="s">
        <v>59</v>
      </c>
      <c r="D164">
        <v>-2.8211520000000001</v>
      </c>
      <c r="E164">
        <v>20.651419000000001</v>
      </c>
      <c r="F164" t="s">
        <v>1426</v>
      </c>
      <c r="G164" t="s">
        <v>1427</v>
      </c>
      <c r="H164">
        <f>IF(LEN(RIGHT(Registre_Maintenance_Part[[#This Row],[Latitude]],LEN(Registre_Maintenance_Part[[#This Row],[Latitude]])-SEARCH(",",Registre_Maintenance_Part[[#This Row],[Latitude]])))=6,Registre_Maintenance_Part[[#This Row],[Latitude]],"")</f>
        <v>-2.8211520000000001</v>
      </c>
      <c r="I164">
        <f>IF(LEN(RIGHT(Registre_Maintenance_Part[[#This Row],[Longitude]],LEN(Registre_Maintenance_Part[[#This Row],[Longitude]])-SEARCH(",",Registre_Maintenance_Part[[#This Row],[Longitude]])))=6,Registre_Maintenance_Part[[#This Row],[Longitude]],"")</f>
        <v>20.651419000000001</v>
      </c>
    </row>
    <row r="165" spans="1:9" x14ac:dyDescent="0.3">
      <c r="A165" t="s">
        <v>1471</v>
      </c>
      <c r="B165" t="s">
        <v>1357</v>
      </c>
      <c r="C165" t="s">
        <v>122</v>
      </c>
      <c r="D165">
        <v>-10.298385</v>
      </c>
      <c r="E165">
        <v>29.698117</v>
      </c>
      <c r="F165" t="s">
        <v>1426</v>
      </c>
      <c r="G165" t="s">
        <v>1438</v>
      </c>
      <c r="H165">
        <f>IF(LEN(RIGHT(Registre_Maintenance_Part[[#This Row],[Latitude]],LEN(Registre_Maintenance_Part[[#This Row],[Latitude]])-SEARCH(",",Registre_Maintenance_Part[[#This Row],[Latitude]])))=6,Registre_Maintenance_Part[[#This Row],[Latitude]],"")</f>
        <v>-10.298385</v>
      </c>
      <c r="I165">
        <f>IF(LEN(RIGHT(Registre_Maintenance_Part[[#This Row],[Longitude]],LEN(Registre_Maintenance_Part[[#This Row],[Longitude]])-SEARCH(",",Registre_Maintenance_Part[[#This Row],[Longitude]])))=6,Registre_Maintenance_Part[[#This Row],[Longitude]],"")</f>
        <v>29.698117</v>
      </c>
    </row>
    <row r="166" spans="1:9" x14ac:dyDescent="0.3">
      <c r="A166" t="s">
        <v>1471</v>
      </c>
      <c r="B166" t="s">
        <v>1481</v>
      </c>
      <c r="C166" t="s">
        <v>68</v>
      </c>
      <c r="D166">
        <v>2.6387339999999999</v>
      </c>
      <c r="E166">
        <v>13.769399</v>
      </c>
      <c r="F166" t="s">
        <v>1429</v>
      </c>
      <c r="G166" t="s">
        <v>1430</v>
      </c>
      <c r="H166">
        <f>IF(LEN(RIGHT(Registre_Maintenance_Part[[#This Row],[Latitude]],LEN(Registre_Maintenance_Part[[#This Row],[Latitude]])-SEARCH(",",Registre_Maintenance_Part[[#This Row],[Latitude]])))=6,Registre_Maintenance_Part[[#This Row],[Latitude]],"")</f>
        <v>2.6387339999999999</v>
      </c>
      <c r="I166">
        <f>IF(LEN(RIGHT(Registre_Maintenance_Part[[#This Row],[Longitude]],LEN(Registre_Maintenance_Part[[#This Row],[Longitude]])-SEARCH(",",Registre_Maintenance_Part[[#This Row],[Longitude]])))=6,Registre_Maintenance_Part[[#This Row],[Longitude]],"")</f>
        <v>13.769399</v>
      </c>
    </row>
    <row r="167" spans="1:9" x14ac:dyDescent="0.3">
      <c r="A167" t="s">
        <v>1471</v>
      </c>
      <c r="B167" t="s">
        <v>874</v>
      </c>
      <c r="C167" t="s">
        <v>126</v>
      </c>
      <c r="D167">
        <v>-9.7803979999999999</v>
      </c>
      <c r="E167">
        <v>17.686595000000001</v>
      </c>
      <c r="F167" t="s">
        <v>1429</v>
      </c>
      <c r="G167" t="s">
        <v>1427</v>
      </c>
      <c r="H167">
        <f>IF(LEN(RIGHT(Registre_Maintenance_Part[[#This Row],[Latitude]],LEN(Registre_Maintenance_Part[[#This Row],[Latitude]])-SEARCH(",",Registre_Maintenance_Part[[#This Row],[Latitude]])))=6,Registre_Maintenance_Part[[#This Row],[Latitude]],"")</f>
        <v>-9.7803979999999999</v>
      </c>
      <c r="I167">
        <f>IF(LEN(RIGHT(Registre_Maintenance_Part[[#This Row],[Longitude]],LEN(Registre_Maintenance_Part[[#This Row],[Longitude]])-SEARCH(",",Registre_Maintenance_Part[[#This Row],[Longitude]])))=6,Registre_Maintenance_Part[[#This Row],[Longitude]],"")</f>
        <v>17.686595000000001</v>
      </c>
    </row>
    <row r="168" spans="1:9" x14ac:dyDescent="0.3">
      <c r="A168" t="s">
        <v>1482</v>
      </c>
      <c r="B168" t="s">
        <v>1483</v>
      </c>
      <c r="C168" t="s">
        <v>20</v>
      </c>
      <c r="D168">
        <v>-6.8779139999999996</v>
      </c>
      <c r="E168">
        <v>12.550860999999999</v>
      </c>
      <c r="F168" t="s">
        <v>1426</v>
      </c>
      <c r="G168" t="s">
        <v>1432</v>
      </c>
      <c r="H168">
        <f>IF(LEN(RIGHT(Registre_Maintenance_Part[[#This Row],[Latitude]],LEN(Registre_Maintenance_Part[[#This Row],[Latitude]])-SEARCH(",",Registre_Maintenance_Part[[#This Row],[Latitude]])))=6,Registre_Maintenance_Part[[#This Row],[Latitude]],"")</f>
        <v>-6.8779139999999996</v>
      </c>
      <c r="I168">
        <f>IF(LEN(RIGHT(Registre_Maintenance_Part[[#This Row],[Longitude]],LEN(Registre_Maintenance_Part[[#This Row],[Longitude]])-SEARCH(",",Registre_Maintenance_Part[[#This Row],[Longitude]])))=6,Registre_Maintenance_Part[[#This Row],[Longitude]],"")</f>
        <v>12.550860999999999</v>
      </c>
    </row>
    <row r="169" spans="1:9" x14ac:dyDescent="0.3">
      <c r="A169" t="s">
        <v>1482</v>
      </c>
      <c r="B169" t="s">
        <v>1484</v>
      </c>
      <c r="C169" t="s">
        <v>37</v>
      </c>
      <c r="D169">
        <v>-4.2975050000000001</v>
      </c>
      <c r="E169">
        <v>29.162555999999999</v>
      </c>
      <c r="F169" t="s">
        <v>1426</v>
      </c>
      <c r="G169" t="s">
        <v>1427</v>
      </c>
      <c r="H169">
        <f>IF(LEN(RIGHT(Registre_Maintenance_Part[[#This Row],[Latitude]],LEN(Registre_Maintenance_Part[[#This Row],[Latitude]])-SEARCH(",",Registre_Maintenance_Part[[#This Row],[Latitude]])))=6,Registre_Maintenance_Part[[#This Row],[Latitude]],"")</f>
        <v>-4.2975050000000001</v>
      </c>
      <c r="I169">
        <f>IF(LEN(RIGHT(Registre_Maintenance_Part[[#This Row],[Longitude]],LEN(Registre_Maintenance_Part[[#This Row],[Longitude]])-SEARCH(",",Registre_Maintenance_Part[[#This Row],[Longitude]])))=6,Registre_Maintenance_Part[[#This Row],[Longitude]],"")</f>
        <v>29.162555999999999</v>
      </c>
    </row>
    <row r="170" spans="1:9" x14ac:dyDescent="0.3">
      <c r="A170" t="s">
        <v>1482</v>
      </c>
      <c r="B170" t="s">
        <v>1485</v>
      </c>
      <c r="C170" t="s">
        <v>41</v>
      </c>
      <c r="D170">
        <v>2.7298239999999998</v>
      </c>
      <c r="E170">
        <v>12.958664000000001</v>
      </c>
      <c r="F170" t="s">
        <v>1431</v>
      </c>
      <c r="G170" t="s">
        <v>1432</v>
      </c>
      <c r="H170">
        <f>IF(LEN(RIGHT(Registre_Maintenance_Part[[#This Row],[Latitude]],LEN(Registre_Maintenance_Part[[#This Row],[Latitude]])-SEARCH(",",Registre_Maintenance_Part[[#This Row],[Latitude]])))=6,Registre_Maintenance_Part[[#This Row],[Latitude]],"")</f>
        <v>2.7298239999999998</v>
      </c>
      <c r="I170">
        <f>IF(LEN(RIGHT(Registre_Maintenance_Part[[#This Row],[Longitude]],LEN(Registre_Maintenance_Part[[#This Row],[Longitude]])-SEARCH(",",Registre_Maintenance_Part[[#This Row],[Longitude]])))=6,Registre_Maintenance_Part[[#This Row],[Longitude]],"")</f>
        <v>12.958664000000001</v>
      </c>
    </row>
    <row r="171" spans="1:9" x14ac:dyDescent="0.3">
      <c r="A171" t="s">
        <v>1482</v>
      </c>
      <c r="B171" t="s">
        <v>1486</v>
      </c>
      <c r="C171" t="s">
        <v>62</v>
      </c>
      <c r="D171">
        <v>-7.4135429999999998</v>
      </c>
      <c r="E171">
        <v>19.288392999999999</v>
      </c>
      <c r="F171" t="s">
        <v>1429</v>
      </c>
      <c r="G171" t="s">
        <v>1438</v>
      </c>
      <c r="H171">
        <f>IF(LEN(RIGHT(Registre_Maintenance_Part[[#This Row],[Latitude]],LEN(Registre_Maintenance_Part[[#This Row],[Latitude]])-SEARCH(",",Registre_Maintenance_Part[[#This Row],[Latitude]])))=6,Registre_Maintenance_Part[[#This Row],[Latitude]],"")</f>
        <v>-7.4135429999999998</v>
      </c>
      <c r="I171">
        <f>IF(LEN(RIGHT(Registre_Maintenance_Part[[#This Row],[Longitude]],LEN(Registre_Maintenance_Part[[#This Row],[Longitude]])-SEARCH(",",Registre_Maintenance_Part[[#This Row],[Longitude]])))=6,Registre_Maintenance_Part[[#This Row],[Longitude]],"")</f>
        <v>19.288392999999999</v>
      </c>
    </row>
    <row r="172" spans="1:9" x14ac:dyDescent="0.3">
      <c r="A172" t="s">
        <v>1482</v>
      </c>
      <c r="B172" t="s">
        <v>1366</v>
      </c>
      <c r="C172" t="s">
        <v>61</v>
      </c>
      <c r="D172">
        <v>-7.1079169999999996</v>
      </c>
      <c r="E172">
        <v>13.636272</v>
      </c>
      <c r="F172" t="s">
        <v>1426</v>
      </c>
      <c r="G172" t="s">
        <v>1438</v>
      </c>
      <c r="H172">
        <f>IF(LEN(RIGHT(Registre_Maintenance_Part[[#This Row],[Latitude]],LEN(Registre_Maintenance_Part[[#This Row],[Latitude]])-SEARCH(",",Registre_Maintenance_Part[[#This Row],[Latitude]])))=6,Registre_Maintenance_Part[[#This Row],[Latitude]],"")</f>
        <v>-7.1079169999999996</v>
      </c>
      <c r="I172">
        <f>IF(LEN(RIGHT(Registre_Maintenance_Part[[#This Row],[Longitude]],LEN(Registre_Maintenance_Part[[#This Row],[Longitude]])-SEARCH(",",Registre_Maintenance_Part[[#This Row],[Longitude]])))=6,Registre_Maintenance_Part[[#This Row],[Longitude]],"")</f>
        <v>13.636272</v>
      </c>
    </row>
    <row r="173" spans="1:9" x14ac:dyDescent="0.3">
      <c r="A173" t="s">
        <v>1482</v>
      </c>
      <c r="B173" t="s">
        <v>1487</v>
      </c>
      <c r="C173" t="s">
        <v>72</v>
      </c>
      <c r="D173">
        <v>0.850665</v>
      </c>
      <c r="E173">
        <v>19.446418000000001</v>
      </c>
      <c r="F173" t="s">
        <v>1429</v>
      </c>
      <c r="G173" t="s">
        <v>1430</v>
      </c>
      <c r="H173">
        <f>IF(LEN(RIGHT(Registre_Maintenance_Part[[#This Row],[Latitude]],LEN(Registre_Maintenance_Part[[#This Row],[Latitude]])-SEARCH(",",Registre_Maintenance_Part[[#This Row],[Latitude]])))=6,Registre_Maintenance_Part[[#This Row],[Latitude]],"")</f>
        <v>0.850665</v>
      </c>
      <c r="I173">
        <f>IF(LEN(RIGHT(Registre_Maintenance_Part[[#This Row],[Longitude]],LEN(Registre_Maintenance_Part[[#This Row],[Longitude]])-SEARCH(",",Registre_Maintenance_Part[[#This Row],[Longitude]])))=6,Registre_Maintenance_Part[[#This Row],[Longitude]],"")</f>
        <v>19.446418000000001</v>
      </c>
    </row>
    <row r="174" spans="1:9" x14ac:dyDescent="0.3">
      <c r="A174" t="s">
        <v>1482</v>
      </c>
      <c r="B174" t="s">
        <v>1275</v>
      </c>
      <c r="C174" t="s">
        <v>122</v>
      </c>
      <c r="D174">
        <v>-11.231472</v>
      </c>
      <c r="E174">
        <v>25.388874000000001</v>
      </c>
      <c r="F174" t="s">
        <v>1429</v>
      </c>
      <c r="G174" t="s">
        <v>1430</v>
      </c>
      <c r="H174">
        <f>IF(LEN(RIGHT(Registre_Maintenance_Part[[#This Row],[Latitude]],LEN(Registre_Maintenance_Part[[#This Row],[Latitude]])-SEARCH(",",Registre_Maintenance_Part[[#This Row],[Latitude]])))=6,Registre_Maintenance_Part[[#This Row],[Latitude]],"")</f>
        <v>-11.231472</v>
      </c>
      <c r="I174">
        <f>IF(LEN(RIGHT(Registre_Maintenance_Part[[#This Row],[Longitude]],LEN(Registre_Maintenance_Part[[#This Row],[Longitude]])-SEARCH(",",Registre_Maintenance_Part[[#This Row],[Longitude]])))=6,Registre_Maintenance_Part[[#This Row],[Longitude]],"")</f>
        <v>25.388874000000001</v>
      </c>
    </row>
    <row r="175" spans="1:9" x14ac:dyDescent="0.3">
      <c r="A175" t="s">
        <v>1482</v>
      </c>
      <c r="B175" t="s">
        <v>1028</v>
      </c>
      <c r="C175" t="s">
        <v>15</v>
      </c>
      <c r="D175">
        <v>4.6809229999999999</v>
      </c>
      <c r="E175">
        <v>28.934242000000001</v>
      </c>
      <c r="F175" t="s">
        <v>1426</v>
      </c>
      <c r="G175" t="s">
        <v>1438</v>
      </c>
      <c r="H175">
        <f>IF(LEN(RIGHT(Registre_Maintenance_Part[[#This Row],[Latitude]],LEN(Registre_Maintenance_Part[[#This Row],[Latitude]])-SEARCH(",",Registre_Maintenance_Part[[#This Row],[Latitude]])))=6,Registre_Maintenance_Part[[#This Row],[Latitude]],"")</f>
        <v>4.6809229999999999</v>
      </c>
      <c r="I175">
        <f>IF(LEN(RIGHT(Registre_Maintenance_Part[[#This Row],[Longitude]],LEN(Registre_Maintenance_Part[[#This Row],[Longitude]])-SEARCH(",",Registre_Maintenance_Part[[#This Row],[Longitude]])))=6,Registre_Maintenance_Part[[#This Row],[Longitude]],"")</f>
        <v>28.934242000000001</v>
      </c>
    </row>
    <row r="176" spans="1:9" x14ac:dyDescent="0.3">
      <c r="A176" t="s">
        <v>1482</v>
      </c>
      <c r="B176" t="s">
        <v>1488</v>
      </c>
      <c r="C176" t="s">
        <v>57</v>
      </c>
      <c r="D176">
        <v>-3.7093609999999999</v>
      </c>
      <c r="E176">
        <v>23.959942999999999</v>
      </c>
      <c r="F176" t="s">
        <v>1429</v>
      </c>
      <c r="G176" t="s">
        <v>1430</v>
      </c>
      <c r="H176">
        <f>IF(LEN(RIGHT(Registre_Maintenance_Part[[#This Row],[Latitude]],LEN(Registre_Maintenance_Part[[#This Row],[Latitude]])-SEARCH(",",Registre_Maintenance_Part[[#This Row],[Latitude]])))=6,Registre_Maintenance_Part[[#This Row],[Latitude]],"")</f>
        <v>-3.7093609999999999</v>
      </c>
      <c r="I176">
        <f>IF(LEN(RIGHT(Registre_Maintenance_Part[[#This Row],[Longitude]],LEN(Registre_Maintenance_Part[[#This Row],[Longitude]])-SEARCH(",",Registre_Maintenance_Part[[#This Row],[Longitude]])))=6,Registre_Maintenance_Part[[#This Row],[Longitude]],"")</f>
        <v>23.959942999999999</v>
      </c>
    </row>
    <row r="177" spans="1:9" x14ac:dyDescent="0.3">
      <c r="A177" t="s">
        <v>1482</v>
      </c>
      <c r="B177" t="s">
        <v>1081</v>
      </c>
      <c r="C177" t="s">
        <v>27</v>
      </c>
      <c r="D177">
        <v>4.8689660000000003</v>
      </c>
      <c r="E177">
        <v>25.112373000000002</v>
      </c>
      <c r="F177" t="s">
        <v>1431</v>
      </c>
      <c r="G177" t="s">
        <v>1430</v>
      </c>
      <c r="H177">
        <f>IF(LEN(RIGHT(Registre_Maintenance_Part[[#This Row],[Latitude]],LEN(Registre_Maintenance_Part[[#This Row],[Latitude]])-SEARCH(",",Registre_Maintenance_Part[[#This Row],[Latitude]])))=6,Registre_Maintenance_Part[[#This Row],[Latitude]],"")</f>
        <v>4.8689660000000003</v>
      </c>
      <c r="I177">
        <f>IF(LEN(RIGHT(Registre_Maintenance_Part[[#This Row],[Longitude]],LEN(Registre_Maintenance_Part[[#This Row],[Longitude]])-SEARCH(",",Registre_Maintenance_Part[[#This Row],[Longitude]])))=6,Registre_Maintenance_Part[[#This Row],[Longitude]],"")</f>
        <v>25.112373000000002</v>
      </c>
    </row>
    <row r="178" spans="1:9" x14ac:dyDescent="0.3">
      <c r="A178" t="s">
        <v>1482</v>
      </c>
      <c r="B178" t="s">
        <v>818</v>
      </c>
      <c r="C178" t="s">
        <v>83</v>
      </c>
      <c r="D178">
        <v>-9.3066320000000005</v>
      </c>
      <c r="E178">
        <v>20.470889</v>
      </c>
      <c r="F178" t="s">
        <v>1426</v>
      </c>
      <c r="G178" t="s">
        <v>1432</v>
      </c>
      <c r="H178">
        <f>IF(LEN(RIGHT(Registre_Maintenance_Part[[#This Row],[Latitude]],LEN(Registre_Maintenance_Part[[#This Row],[Latitude]])-SEARCH(",",Registre_Maintenance_Part[[#This Row],[Latitude]])))=6,Registre_Maintenance_Part[[#This Row],[Latitude]],"")</f>
        <v>-9.3066320000000005</v>
      </c>
      <c r="I178">
        <f>IF(LEN(RIGHT(Registre_Maintenance_Part[[#This Row],[Longitude]],LEN(Registre_Maintenance_Part[[#This Row],[Longitude]])-SEARCH(",",Registre_Maintenance_Part[[#This Row],[Longitude]])))=6,Registre_Maintenance_Part[[#This Row],[Longitude]],"")</f>
        <v>20.470889</v>
      </c>
    </row>
    <row r="179" spans="1:9" x14ac:dyDescent="0.3">
      <c r="A179" t="s">
        <v>1482</v>
      </c>
      <c r="B179" t="s">
        <v>943</v>
      </c>
      <c r="C179" t="s">
        <v>29</v>
      </c>
      <c r="D179">
        <v>-12.342053999999999</v>
      </c>
      <c r="E179">
        <v>18.756862000000002</v>
      </c>
      <c r="F179" t="s">
        <v>1431</v>
      </c>
      <c r="G179" t="s">
        <v>1427</v>
      </c>
      <c r="H179">
        <f>IF(LEN(RIGHT(Registre_Maintenance_Part[[#This Row],[Latitude]],LEN(Registre_Maintenance_Part[[#This Row],[Latitude]])-SEARCH(",",Registre_Maintenance_Part[[#This Row],[Latitude]])))=6,Registre_Maintenance_Part[[#This Row],[Latitude]],"")</f>
        <v>-12.342053999999999</v>
      </c>
      <c r="I179">
        <f>IF(LEN(RIGHT(Registre_Maintenance_Part[[#This Row],[Longitude]],LEN(Registre_Maintenance_Part[[#This Row],[Longitude]])-SEARCH(",",Registre_Maintenance_Part[[#This Row],[Longitude]])))=6,Registre_Maintenance_Part[[#This Row],[Longitude]],"")</f>
        <v>18.756862000000002</v>
      </c>
    </row>
    <row r="180" spans="1:9" x14ac:dyDescent="0.3">
      <c r="A180" t="s">
        <v>1482</v>
      </c>
      <c r="B180" t="s">
        <v>1333</v>
      </c>
      <c r="C180" t="s">
        <v>27</v>
      </c>
      <c r="D180">
        <v>2.5665840000000002</v>
      </c>
      <c r="E180">
        <v>15.764796</v>
      </c>
      <c r="F180" t="s">
        <v>1431</v>
      </c>
      <c r="G180" t="s">
        <v>1432</v>
      </c>
      <c r="H180">
        <f>IF(LEN(RIGHT(Registre_Maintenance_Part[[#This Row],[Latitude]],LEN(Registre_Maintenance_Part[[#This Row],[Latitude]])-SEARCH(",",Registre_Maintenance_Part[[#This Row],[Latitude]])))=6,Registre_Maintenance_Part[[#This Row],[Latitude]],"")</f>
        <v>2.5665840000000002</v>
      </c>
      <c r="I180">
        <f>IF(LEN(RIGHT(Registre_Maintenance_Part[[#This Row],[Longitude]],LEN(Registre_Maintenance_Part[[#This Row],[Longitude]])-SEARCH(",",Registre_Maintenance_Part[[#This Row],[Longitude]])))=6,Registre_Maintenance_Part[[#This Row],[Longitude]],"")</f>
        <v>15.764796</v>
      </c>
    </row>
    <row r="181" spans="1:9" x14ac:dyDescent="0.3">
      <c r="A181" t="s">
        <v>1482</v>
      </c>
      <c r="B181" t="s">
        <v>812</v>
      </c>
      <c r="C181" t="s">
        <v>29</v>
      </c>
      <c r="D181">
        <v>-10.914952</v>
      </c>
      <c r="E181">
        <v>26.409648000000001</v>
      </c>
      <c r="F181" t="s">
        <v>1429</v>
      </c>
      <c r="G181" t="s">
        <v>1430</v>
      </c>
      <c r="H181">
        <f>IF(LEN(RIGHT(Registre_Maintenance_Part[[#This Row],[Latitude]],LEN(Registre_Maintenance_Part[[#This Row],[Latitude]])-SEARCH(",",Registre_Maintenance_Part[[#This Row],[Latitude]])))=6,Registre_Maintenance_Part[[#This Row],[Latitude]],"")</f>
        <v>-10.914952</v>
      </c>
      <c r="I181">
        <f>IF(LEN(RIGHT(Registre_Maintenance_Part[[#This Row],[Longitude]],LEN(Registre_Maintenance_Part[[#This Row],[Longitude]])-SEARCH(",",Registre_Maintenance_Part[[#This Row],[Longitude]])))=6,Registre_Maintenance_Part[[#This Row],[Longitude]],"")</f>
        <v>26.409648000000001</v>
      </c>
    </row>
    <row r="182" spans="1:9" x14ac:dyDescent="0.3">
      <c r="A182" t="s">
        <v>1482</v>
      </c>
      <c r="B182" t="s">
        <v>1228</v>
      </c>
      <c r="C182" t="s">
        <v>48</v>
      </c>
      <c r="D182">
        <v>-7.402336</v>
      </c>
      <c r="E182">
        <v>27.376697</v>
      </c>
      <c r="F182" t="s">
        <v>1429</v>
      </c>
      <c r="G182" t="s">
        <v>1430</v>
      </c>
      <c r="H182">
        <f>IF(LEN(RIGHT(Registre_Maintenance_Part[[#This Row],[Latitude]],LEN(Registre_Maintenance_Part[[#This Row],[Latitude]])-SEARCH(",",Registre_Maintenance_Part[[#This Row],[Latitude]])))=6,Registre_Maintenance_Part[[#This Row],[Latitude]],"")</f>
        <v>-7.402336</v>
      </c>
      <c r="I182">
        <f>IF(LEN(RIGHT(Registre_Maintenance_Part[[#This Row],[Longitude]],LEN(Registre_Maintenance_Part[[#This Row],[Longitude]])-SEARCH(",",Registre_Maintenance_Part[[#This Row],[Longitude]])))=6,Registre_Maintenance_Part[[#This Row],[Longitude]],"")</f>
        <v>27.376697</v>
      </c>
    </row>
    <row r="183" spans="1:9" x14ac:dyDescent="0.3">
      <c r="A183" t="s">
        <v>1482</v>
      </c>
      <c r="B183" t="s">
        <v>1489</v>
      </c>
      <c r="C183" t="s">
        <v>23</v>
      </c>
      <c r="D183">
        <v>-12.207461</v>
      </c>
      <c r="E183">
        <v>13.492367</v>
      </c>
      <c r="F183" t="s">
        <v>1431</v>
      </c>
      <c r="G183" t="s">
        <v>1427</v>
      </c>
      <c r="H183">
        <f>IF(LEN(RIGHT(Registre_Maintenance_Part[[#This Row],[Latitude]],LEN(Registre_Maintenance_Part[[#This Row],[Latitude]])-SEARCH(",",Registre_Maintenance_Part[[#This Row],[Latitude]])))=6,Registre_Maintenance_Part[[#This Row],[Latitude]],"")</f>
        <v>-12.207461</v>
      </c>
      <c r="I183">
        <f>IF(LEN(RIGHT(Registre_Maintenance_Part[[#This Row],[Longitude]],LEN(Registre_Maintenance_Part[[#This Row],[Longitude]])-SEARCH(",",Registre_Maintenance_Part[[#This Row],[Longitude]])))=6,Registre_Maintenance_Part[[#This Row],[Longitude]],"")</f>
        <v>13.492367</v>
      </c>
    </row>
    <row r="184" spans="1:9" x14ac:dyDescent="0.3">
      <c r="A184" t="s">
        <v>1482</v>
      </c>
      <c r="B184" t="s">
        <v>1490</v>
      </c>
      <c r="C184" t="s">
        <v>126</v>
      </c>
      <c r="D184">
        <v>2.266232</v>
      </c>
      <c r="E184">
        <v>29.532896000000001</v>
      </c>
      <c r="F184" t="s">
        <v>1429</v>
      </c>
      <c r="G184" t="s">
        <v>1427</v>
      </c>
      <c r="H184">
        <f>IF(LEN(RIGHT(Registre_Maintenance_Part[[#This Row],[Latitude]],LEN(Registre_Maintenance_Part[[#This Row],[Latitude]])-SEARCH(",",Registre_Maintenance_Part[[#This Row],[Latitude]])))=6,Registre_Maintenance_Part[[#This Row],[Latitude]],"")</f>
        <v>2.266232</v>
      </c>
      <c r="I184">
        <f>IF(LEN(RIGHT(Registre_Maintenance_Part[[#This Row],[Longitude]],LEN(Registre_Maintenance_Part[[#This Row],[Longitude]])-SEARCH(",",Registre_Maintenance_Part[[#This Row],[Longitude]])))=6,Registre_Maintenance_Part[[#This Row],[Longitude]],"")</f>
        <v>29.532896000000001</v>
      </c>
    </row>
    <row r="185" spans="1:9" x14ac:dyDescent="0.3">
      <c r="A185" t="s">
        <v>1482</v>
      </c>
      <c r="B185" t="s">
        <v>1491</v>
      </c>
      <c r="C185" t="s">
        <v>33</v>
      </c>
      <c r="D185">
        <v>2.6937519999999999</v>
      </c>
      <c r="E185">
        <v>26.524137</v>
      </c>
      <c r="F185" t="s">
        <v>1431</v>
      </c>
      <c r="G185" t="s">
        <v>1427</v>
      </c>
      <c r="H185">
        <f>IF(LEN(RIGHT(Registre_Maintenance_Part[[#This Row],[Latitude]],LEN(Registre_Maintenance_Part[[#This Row],[Latitude]])-SEARCH(",",Registre_Maintenance_Part[[#This Row],[Latitude]])))=6,Registre_Maintenance_Part[[#This Row],[Latitude]],"")</f>
        <v>2.6937519999999999</v>
      </c>
      <c r="I185">
        <f>IF(LEN(RIGHT(Registre_Maintenance_Part[[#This Row],[Longitude]],LEN(Registre_Maintenance_Part[[#This Row],[Longitude]])-SEARCH(",",Registre_Maintenance_Part[[#This Row],[Longitude]])))=6,Registre_Maintenance_Part[[#This Row],[Longitude]],"")</f>
        <v>26.524137</v>
      </c>
    </row>
    <row r="186" spans="1:9" x14ac:dyDescent="0.3">
      <c r="A186" t="s">
        <v>1482</v>
      </c>
      <c r="B186" t="s">
        <v>1355</v>
      </c>
      <c r="C186" t="s">
        <v>35</v>
      </c>
      <c r="D186">
        <v>-7.0007840000000003</v>
      </c>
      <c r="E186">
        <v>22.787997000000001</v>
      </c>
      <c r="F186" t="s">
        <v>1426</v>
      </c>
      <c r="G186" t="s">
        <v>1432</v>
      </c>
      <c r="H186">
        <f>IF(LEN(RIGHT(Registre_Maintenance_Part[[#This Row],[Latitude]],LEN(Registre_Maintenance_Part[[#This Row],[Latitude]])-SEARCH(",",Registre_Maintenance_Part[[#This Row],[Latitude]])))=6,Registre_Maintenance_Part[[#This Row],[Latitude]],"")</f>
        <v>-7.0007840000000003</v>
      </c>
      <c r="I186">
        <f>IF(LEN(RIGHT(Registre_Maintenance_Part[[#This Row],[Longitude]],LEN(Registre_Maintenance_Part[[#This Row],[Longitude]])-SEARCH(",",Registre_Maintenance_Part[[#This Row],[Longitude]])))=6,Registre_Maintenance_Part[[#This Row],[Longitude]],"")</f>
        <v>22.787997000000001</v>
      </c>
    </row>
    <row r="187" spans="1:9" x14ac:dyDescent="0.3">
      <c r="A187" t="s">
        <v>1482</v>
      </c>
      <c r="B187" t="s">
        <v>1492</v>
      </c>
      <c r="C187" t="s">
        <v>72</v>
      </c>
      <c r="D187">
        <v>3.0053459999999999</v>
      </c>
      <c r="E187">
        <v>13.765407</v>
      </c>
      <c r="F187" t="s">
        <v>1426</v>
      </c>
      <c r="G187" t="s">
        <v>1427</v>
      </c>
      <c r="H187">
        <f>IF(LEN(RIGHT(Registre_Maintenance_Part[[#This Row],[Latitude]],LEN(Registre_Maintenance_Part[[#This Row],[Latitude]])-SEARCH(",",Registre_Maintenance_Part[[#This Row],[Latitude]])))=6,Registre_Maintenance_Part[[#This Row],[Latitude]],"")</f>
        <v>3.0053459999999999</v>
      </c>
      <c r="I187">
        <f>IF(LEN(RIGHT(Registre_Maintenance_Part[[#This Row],[Longitude]],LEN(Registre_Maintenance_Part[[#This Row],[Longitude]])-SEARCH(",",Registre_Maintenance_Part[[#This Row],[Longitude]])))=6,Registre_Maintenance_Part[[#This Row],[Longitude]],"")</f>
        <v>13.765407</v>
      </c>
    </row>
    <row r="188" spans="1:9" x14ac:dyDescent="0.3">
      <c r="A188" t="s">
        <v>1482</v>
      </c>
      <c r="B188" t="s">
        <v>733</v>
      </c>
      <c r="C188" t="s">
        <v>35</v>
      </c>
      <c r="D188">
        <v>-11.144149000000001</v>
      </c>
      <c r="E188">
        <v>27.244658999999999</v>
      </c>
      <c r="F188" t="s">
        <v>1429</v>
      </c>
      <c r="G188" t="s">
        <v>1438</v>
      </c>
      <c r="H188">
        <f>IF(LEN(RIGHT(Registre_Maintenance_Part[[#This Row],[Latitude]],LEN(Registre_Maintenance_Part[[#This Row],[Latitude]])-SEARCH(",",Registre_Maintenance_Part[[#This Row],[Latitude]])))=6,Registre_Maintenance_Part[[#This Row],[Latitude]],"")</f>
        <v>-11.144149000000001</v>
      </c>
      <c r="I188">
        <f>IF(LEN(RIGHT(Registre_Maintenance_Part[[#This Row],[Longitude]],LEN(Registre_Maintenance_Part[[#This Row],[Longitude]])-SEARCH(",",Registre_Maintenance_Part[[#This Row],[Longitude]])))=6,Registre_Maintenance_Part[[#This Row],[Longitude]],"")</f>
        <v>27.244658999999999</v>
      </c>
    </row>
    <row r="189" spans="1:9" x14ac:dyDescent="0.3">
      <c r="A189" t="s">
        <v>1482</v>
      </c>
      <c r="B189" t="s">
        <v>866</v>
      </c>
      <c r="C189" t="s">
        <v>59</v>
      </c>
      <c r="D189">
        <v>0.79124300000000003</v>
      </c>
      <c r="E189">
        <v>25.273389000000002</v>
      </c>
      <c r="F189" t="s">
        <v>1429</v>
      </c>
      <c r="G189" t="s">
        <v>1438</v>
      </c>
      <c r="H189">
        <f>IF(LEN(RIGHT(Registre_Maintenance_Part[[#This Row],[Latitude]],LEN(Registre_Maintenance_Part[[#This Row],[Latitude]])-SEARCH(",",Registre_Maintenance_Part[[#This Row],[Latitude]])))=6,Registre_Maintenance_Part[[#This Row],[Latitude]],"")</f>
        <v>0.79124300000000003</v>
      </c>
      <c r="I189">
        <f>IF(LEN(RIGHT(Registre_Maintenance_Part[[#This Row],[Longitude]],LEN(Registre_Maintenance_Part[[#This Row],[Longitude]])-SEARCH(",",Registre_Maintenance_Part[[#This Row],[Longitude]])))=6,Registre_Maintenance_Part[[#This Row],[Longitude]],"")</f>
        <v>25.273389000000002</v>
      </c>
    </row>
    <row r="190" spans="1:9" x14ac:dyDescent="0.3">
      <c r="A190" t="s">
        <v>1482</v>
      </c>
      <c r="B190" t="s">
        <v>1493</v>
      </c>
      <c r="C190" t="s">
        <v>62</v>
      </c>
      <c r="D190">
        <v>0.419985</v>
      </c>
      <c r="E190">
        <v>13.847996999999999</v>
      </c>
      <c r="F190" t="s">
        <v>1426</v>
      </c>
      <c r="G190" t="s">
        <v>1432</v>
      </c>
      <c r="H190">
        <f>IF(LEN(RIGHT(Registre_Maintenance_Part[[#This Row],[Latitude]],LEN(Registre_Maintenance_Part[[#This Row],[Latitude]])-SEARCH(",",Registre_Maintenance_Part[[#This Row],[Latitude]])))=6,Registre_Maintenance_Part[[#This Row],[Latitude]],"")</f>
        <v>0.419985</v>
      </c>
      <c r="I190">
        <f>IF(LEN(RIGHT(Registre_Maintenance_Part[[#This Row],[Longitude]],LEN(Registre_Maintenance_Part[[#This Row],[Longitude]])-SEARCH(",",Registre_Maintenance_Part[[#This Row],[Longitude]])))=6,Registre_Maintenance_Part[[#This Row],[Longitude]],"")</f>
        <v>13.847996999999999</v>
      </c>
    </row>
    <row r="191" spans="1:9" x14ac:dyDescent="0.3">
      <c r="A191" t="s">
        <v>1482</v>
      </c>
      <c r="B191" t="s">
        <v>1215</v>
      </c>
      <c r="C191" t="s">
        <v>9</v>
      </c>
      <c r="D191">
        <v>-12.595355</v>
      </c>
      <c r="E191">
        <v>17.897442000000002</v>
      </c>
      <c r="F191" t="s">
        <v>1429</v>
      </c>
      <c r="G191" t="s">
        <v>1430</v>
      </c>
      <c r="H191">
        <f>IF(LEN(RIGHT(Registre_Maintenance_Part[[#This Row],[Latitude]],LEN(Registre_Maintenance_Part[[#This Row],[Latitude]])-SEARCH(",",Registre_Maintenance_Part[[#This Row],[Latitude]])))=6,Registre_Maintenance_Part[[#This Row],[Latitude]],"")</f>
        <v>-12.595355</v>
      </c>
      <c r="I191">
        <f>IF(LEN(RIGHT(Registre_Maintenance_Part[[#This Row],[Longitude]],LEN(Registre_Maintenance_Part[[#This Row],[Longitude]])-SEARCH(",",Registre_Maintenance_Part[[#This Row],[Longitude]])))=6,Registre_Maintenance_Part[[#This Row],[Longitude]],"")</f>
        <v>17.897442000000002</v>
      </c>
    </row>
    <row r="192" spans="1:9" x14ac:dyDescent="0.3">
      <c r="A192" t="s">
        <v>1482</v>
      </c>
      <c r="B192" t="s">
        <v>1234</v>
      </c>
      <c r="C192" t="s">
        <v>37</v>
      </c>
      <c r="D192">
        <v>0.65288900000000005</v>
      </c>
      <c r="E192">
        <v>24.243953999999999</v>
      </c>
      <c r="F192" t="s">
        <v>1426</v>
      </c>
      <c r="G192" t="s">
        <v>1427</v>
      </c>
      <c r="H192">
        <f>IF(LEN(RIGHT(Registre_Maintenance_Part[[#This Row],[Latitude]],LEN(Registre_Maintenance_Part[[#This Row],[Latitude]])-SEARCH(",",Registre_Maintenance_Part[[#This Row],[Latitude]])))=6,Registre_Maintenance_Part[[#This Row],[Latitude]],"")</f>
        <v>0.65288900000000005</v>
      </c>
      <c r="I192">
        <f>IF(LEN(RIGHT(Registre_Maintenance_Part[[#This Row],[Longitude]],LEN(Registre_Maintenance_Part[[#This Row],[Longitude]])-SEARCH(",",Registre_Maintenance_Part[[#This Row],[Longitude]])))=6,Registre_Maintenance_Part[[#This Row],[Longitude]],"")</f>
        <v>24.243953999999999</v>
      </c>
    </row>
    <row r="193" spans="1:9" x14ac:dyDescent="0.3">
      <c r="A193" t="s">
        <v>1482</v>
      </c>
      <c r="B193" t="s">
        <v>1262</v>
      </c>
      <c r="C193" t="s">
        <v>24</v>
      </c>
      <c r="D193">
        <v>-1.500685</v>
      </c>
      <c r="E193">
        <v>26.563376000000002</v>
      </c>
      <c r="F193" t="s">
        <v>1426</v>
      </c>
      <c r="G193" t="s">
        <v>1438</v>
      </c>
      <c r="H193">
        <f>IF(LEN(RIGHT(Registre_Maintenance_Part[[#This Row],[Latitude]],LEN(Registre_Maintenance_Part[[#This Row],[Latitude]])-SEARCH(",",Registre_Maintenance_Part[[#This Row],[Latitude]])))=6,Registre_Maintenance_Part[[#This Row],[Latitude]],"")</f>
        <v>-1.500685</v>
      </c>
      <c r="I193">
        <f>IF(LEN(RIGHT(Registre_Maintenance_Part[[#This Row],[Longitude]],LEN(Registre_Maintenance_Part[[#This Row],[Longitude]])-SEARCH(",",Registre_Maintenance_Part[[#This Row],[Longitude]])))=6,Registre_Maintenance_Part[[#This Row],[Longitude]],"")</f>
        <v>26.563376000000002</v>
      </c>
    </row>
    <row r="194" spans="1:9" x14ac:dyDescent="0.3">
      <c r="A194" t="s">
        <v>1482</v>
      </c>
      <c r="B194" t="s">
        <v>1494</v>
      </c>
      <c r="C194" t="s">
        <v>54</v>
      </c>
      <c r="D194">
        <v>-9.2227779999999999</v>
      </c>
      <c r="E194">
        <v>20.940372</v>
      </c>
      <c r="F194" t="s">
        <v>1431</v>
      </c>
      <c r="G194" t="s">
        <v>1427</v>
      </c>
      <c r="H194">
        <f>IF(LEN(RIGHT(Registre_Maintenance_Part[[#This Row],[Latitude]],LEN(Registre_Maintenance_Part[[#This Row],[Latitude]])-SEARCH(",",Registre_Maintenance_Part[[#This Row],[Latitude]])))=6,Registre_Maintenance_Part[[#This Row],[Latitude]],"")</f>
        <v>-9.2227779999999999</v>
      </c>
      <c r="I194">
        <f>IF(LEN(RIGHT(Registre_Maintenance_Part[[#This Row],[Longitude]],LEN(Registre_Maintenance_Part[[#This Row],[Longitude]])-SEARCH(",",Registre_Maintenance_Part[[#This Row],[Longitude]])))=6,Registre_Maintenance_Part[[#This Row],[Longitude]],"")</f>
        <v>20.940372</v>
      </c>
    </row>
    <row r="195" spans="1:9" x14ac:dyDescent="0.3">
      <c r="A195" t="s">
        <v>1482</v>
      </c>
      <c r="B195" t="s">
        <v>966</v>
      </c>
      <c r="C195" t="s">
        <v>20</v>
      </c>
      <c r="D195">
        <v>-9.3900009999999998</v>
      </c>
      <c r="E195">
        <v>30.001517</v>
      </c>
      <c r="F195" t="s">
        <v>1431</v>
      </c>
      <c r="G195" t="s">
        <v>1438</v>
      </c>
      <c r="H195">
        <f>IF(LEN(RIGHT(Registre_Maintenance_Part[[#This Row],[Latitude]],LEN(Registre_Maintenance_Part[[#This Row],[Latitude]])-SEARCH(",",Registre_Maintenance_Part[[#This Row],[Latitude]])))=6,Registre_Maintenance_Part[[#This Row],[Latitude]],"")</f>
        <v>-9.3900009999999998</v>
      </c>
      <c r="I195">
        <f>IF(LEN(RIGHT(Registre_Maintenance_Part[[#This Row],[Longitude]],LEN(Registre_Maintenance_Part[[#This Row],[Longitude]])-SEARCH(",",Registre_Maintenance_Part[[#This Row],[Longitude]])))=6,Registre_Maintenance_Part[[#This Row],[Longitude]],"")</f>
        <v>30.001517</v>
      </c>
    </row>
    <row r="196" spans="1:9" x14ac:dyDescent="0.3">
      <c r="A196" t="s">
        <v>1482</v>
      </c>
      <c r="B196" t="s">
        <v>1495</v>
      </c>
      <c r="C196" t="s">
        <v>118</v>
      </c>
      <c r="D196">
        <v>-7.8417870000000001</v>
      </c>
      <c r="E196">
        <v>14.730712</v>
      </c>
      <c r="F196" t="s">
        <v>1426</v>
      </c>
      <c r="G196" t="s">
        <v>1438</v>
      </c>
      <c r="H196">
        <f>IF(LEN(RIGHT(Registre_Maintenance_Part[[#This Row],[Latitude]],LEN(Registre_Maintenance_Part[[#This Row],[Latitude]])-SEARCH(",",Registre_Maintenance_Part[[#This Row],[Latitude]])))=6,Registre_Maintenance_Part[[#This Row],[Latitude]],"")</f>
        <v>-7.8417870000000001</v>
      </c>
      <c r="I196">
        <f>IF(LEN(RIGHT(Registre_Maintenance_Part[[#This Row],[Longitude]],LEN(Registre_Maintenance_Part[[#This Row],[Longitude]])-SEARCH(",",Registre_Maintenance_Part[[#This Row],[Longitude]])))=6,Registre_Maintenance_Part[[#This Row],[Longitude]],"")</f>
        <v>14.730712</v>
      </c>
    </row>
    <row r="197" spans="1:9" x14ac:dyDescent="0.3">
      <c r="A197" t="s">
        <v>1482</v>
      </c>
      <c r="B197" t="s">
        <v>1496</v>
      </c>
      <c r="C197" t="s">
        <v>33</v>
      </c>
      <c r="D197">
        <v>-3.419035</v>
      </c>
      <c r="E197">
        <v>29.018315999999999</v>
      </c>
      <c r="F197" t="s">
        <v>1426</v>
      </c>
      <c r="G197" t="s">
        <v>1427</v>
      </c>
      <c r="H197">
        <f>IF(LEN(RIGHT(Registre_Maintenance_Part[[#This Row],[Latitude]],LEN(Registre_Maintenance_Part[[#This Row],[Latitude]])-SEARCH(",",Registre_Maintenance_Part[[#This Row],[Latitude]])))=6,Registre_Maintenance_Part[[#This Row],[Latitude]],"")</f>
        <v>-3.419035</v>
      </c>
      <c r="I197">
        <f>IF(LEN(RIGHT(Registre_Maintenance_Part[[#This Row],[Longitude]],LEN(Registre_Maintenance_Part[[#This Row],[Longitude]])-SEARCH(",",Registre_Maintenance_Part[[#This Row],[Longitude]])))=6,Registre_Maintenance_Part[[#This Row],[Longitude]],"")</f>
        <v>29.018315999999999</v>
      </c>
    </row>
    <row r="198" spans="1:9" x14ac:dyDescent="0.3">
      <c r="A198" t="s">
        <v>1482</v>
      </c>
      <c r="B198" t="s">
        <v>1497</v>
      </c>
      <c r="C198" t="s">
        <v>31</v>
      </c>
      <c r="D198">
        <v>0.91016799999999998</v>
      </c>
      <c r="E198">
        <v>16.903002999999998</v>
      </c>
      <c r="F198" t="s">
        <v>1431</v>
      </c>
      <c r="G198" t="s">
        <v>1438</v>
      </c>
      <c r="H198">
        <f>IF(LEN(RIGHT(Registre_Maintenance_Part[[#This Row],[Latitude]],LEN(Registre_Maintenance_Part[[#This Row],[Latitude]])-SEARCH(",",Registre_Maintenance_Part[[#This Row],[Latitude]])))=6,Registre_Maintenance_Part[[#This Row],[Latitude]],"")</f>
        <v>0.91016799999999998</v>
      </c>
      <c r="I198">
        <f>IF(LEN(RIGHT(Registre_Maintenance_Part[[#This Row],[Longitude]],LEN(Registre_Maintenance_Part[[#This Row],[Longitude]])-SEARCH(",",Registre_Maintenance_Part[[#This Row],[Longitude]])))=6,Registre_Maintenance_Part[[#This Row],[Longitude]],"")</f>
        <v>16.903002999999998</v>
      </c>
    </row>
    <row r="199" spans="1:9" x14ac:dyDescent="0.3">
      <c r="A199" t="s">
        <v>1482</v>
      </c>
      <c r="B199" t="s">
        <v>1320</v>
      </c>
      <c r="C199" t="s">
        <v>68</v>
      </c>
      <c r="D199">
        <v>-0.919767</v>
      </c>
      <c r="E199">
        <v>18.905538</v>
      </c>
      <c r="F199" t="s">
        <v>1426</v>
      </c>
      <c r="G199" t="s">
        <v>1427</v>
      </c>
      <c r="H199">
        <f>IF(LEN(RIGHT(Registre_Maintenance_Part[[#This Row],[Latitude]],LEN(Registre_Maintenance_Part[[#This Row],[Latitude]])-SEARCH(",",Registre_Maintenance_Part[[#This Row],[Latitude]])))=6,Registre_Maintenance_Part[[#This Row],[Latitude]],"")</f>
        <v>-0.919767</v>
      </c>
      <c r="I199">
        <f>IF(LEN(RIGHT(Registre_Maintenance_Part[[#This Row],[Longitude]],LEN(Registre_Maintenance_Part[[#This Row],[Longitude]])-SEARCH(",",Registre_Maintenance_Part[[#This Row],[Longitude]])))=6,Registre_Maintenance_Part[[#This Row],[Longitude]],"")</f>
        <v>18.905538</v>
      </c>
    </row>
    <row r="200" spans="1:9" x14ac:dyDescent="0.3">
      <c r="A200" t="s">
        <v>1482</v>
      </c>
      <c r="B200" t="s">
        <v>836</v>
      </c>
      <c r="C200" t="s">
        <v>33</v>
      </c>
      <c r="D200">
        <v>-8.0922239999999999</v>
      </c>
      <c r="E200">
        <v>15.483708</v>
      </c>
      <c r="F200" t="s">
        <v>1426</v>
      </c>
      <c r="G200" t="s">
        <v>1438</v>
      </c>
      <c r="H200">
        <f>IF(LEN(RIGHT(Registre_Maintenance_Part[[#This Row],[Latitude]],LEN(Registre_Maintenance_Part[[#This Row],[Latitude]])-SEARCH(",",Registre_Maintenance_Part[[#This Row],[Latitude]])))=6,Registre_Maintenance_Part[[#This Row],[Latitude]],"")</f>
        <v>-8.0922239999999999</v>
      </c>
      <c r="I200">
        <f>IF(LEN(RIGHT(Registre_Maintenance_Part[[#This Row],[Longitude]],LEN(Registre_Maintenance_Part[[#This Row],[Longitude]])-SEARCH(",",Registre_Maintenance_Part[[#This Row],[Longitude]])))=6,Registre_Maintenance_Part[[#This Row],[Longitude]],"")</f>
        <v>15.483708</v>
      </c>
    </row>
    <row r="201" spans="1:9" x14ac:dyDescent="0.3">
      <c r="A201" t="s">
        <v>1482</v>
      </c>
      <c r="B201" t="s">
        <v>972</v>
      </c>
      <c r="C201" t="s">
        <v>27</v>
      </c>
      <c r="D201">
        <v>-10.165072</v>
      </c>
      <c r="E201">
        <v>29.428024000000001</v>
      </c>
      <c r="F201" t="s">
        <v>1426</v>
      </c>
      <c r="G201" t="s">
        <v>1430</v>
      </c>
      <c r="H201">
        <f>IF(LEN(RIGHT(Registre_Maintenance_Part[[#This Row],[Latitude]],LEN(Registre_Maintenance_Part[[#This Row],[Latitude]])-SEARCH(",",Registre_Maintenance_Part[[#This Row],[Latitude]])))=6,Registre_Maintenance_Part[[#This Row],[Latitude]],"")</f>
        <v>-10.165072</v>
      </c>
      <c r="I201">
        <f>IF(LEN(RIGHT(Registre_Maintenance_Part[[#This Row],[Longitude]],LEN(Registre_Maintenance_Part[[#This Row],[Longitude]])-SEARCH(",",Registre_Maintenance_Part[[#This Row],[Longitude]])))=6,Registre_Maintenance_Part[[#This Row],[Longitude]],"")</f>
        <v>29.428024000000001</v>
      </c>
    </row>
    <row r="202" spans="1:9" x14ac:dyDescent="0.3">
      <c r="A202" t="s">
        <v>1482</v>
      </c>
      <c r="B202" t="s">
        <v>1166</v>
      </c>
      <c r="C202" t="s">
        <v>48</v>
      </c>
      <c r="D202">
        <v>-10.939712999999999</v>
      </c>
      <c r="E202">
        <v>18.276230999999999</v>
      </c>
      <c r="F202" t="s">
        <v>1429</v>
      </c>
      <c r="G202" t="s">
        <v>1432</v>
      </c>
      <c r="H202">
        <f>IF(LEN(RIGHT(Registre_Maintenance_Part[[#This Row],[Latitude]],LEN(Registre_Maintenance_Part[[#This Row],[Latitude]])-SEARCH(",",Registre_Maintenance_Part[[#This Row],[Latitude]])))=6,Registre_Maintenance_Part[[#This Row],[Latitude]],"")</f>
        <v>-10.939712999999999</v>
      </c>
      <c r="I202">
        <f>IF(LEN(RIGHT(Registre_Maintenance_Part[[#This Row],[Longitude]],LEN(Registre_Maintenance_Part[[#This Row],[Longitude]])-SEARCH(",",Registre_Maintenance_Part[[#This Row],[Longitude]])))=6,Registre_Maintenance_Part[[#This Row],[Longitude]],"")</f>
        <v>18.276230999999999</v>
      </c>
    </row>
    <row r="203" spans="1:9" x14ac:dyDescent="0.3">
      <c r="A203" t="s">
        <v>1482</v>
      </c>
      <c r="B203" t="s">
        <v>1360</v>
      </c>
      <c r="C203" t="s">
        <v>23</v>
      </c>
      <c r="D203">
        <v>-2.926736</v>
      </c>
      <c r="E203">
        <v>18.170461</v>
      </c>
      <c r="F203" t="s">
        <v>1426</v>
      </c>
      <c r="G203" t="s">
        <v>1427</v>
      </c>
      <c r="H203">
        <f>IF(LEN(RIGHT(Registre_Maintenance_Part[[#This Row],[Latitude]],LEN(Registre_Maintenance_Part[[#This Row],[Latitude]])-SEARCH(",",Registre_Maintenance_Part[[#This Row],[Latitude]])))=6,Registre_Maintenance_Part[[#This Row],[Latitude]],"")</f>
        <v>-2.926736</v>
      </c>
      <c r="I203">
        <f>IF(LEN(RIGHT(Registre_Maintenance_Part[[#This Row],[Longitude]],LEN(Registre_Maintenance_Part[[#This Row],[Longitude]])-SEARCH(",",Registre_Maintenance_Part[[#This Row],[Longitude]])))=6,Registre_Maintenance_Part[[#This Row],[Longitude]],"")</f>
        <v>18.170461</v>
      </c>
    </row>
    <row r="204" spans="1:9" x14ac:dyDescent="0.3">
      <c r="A204" t="s">
        <v>1482</v>
      </c>
      <c r="B204" t="s">
        <v>1180</v>
      </c>
      <c r="C204" t="s">
        <v>59</v>
      </c>
      <c r="D204">
        <v>-11.157245</v>
      </c>
      <c r="E204">
        <v>21.262627999999999</v>
      </c>
      <c r="F204" t="s">
        <v>1426</v>
      </c>
      <c r="G204" t="s">
        <v>1432</v>
      </c>
      <c r="H204">
        <f>IF(LEN(RIGHT(Registre_Maintenance_Part[[#This Row],[Latitude]],LEN(Registre_Maintenance_Part[[#This Row],[Latitude]])-SEARCH(",",Registre_Maintenance_Part[[#This Row],[Latitude]])))=6,Registre_Maintenance_Part[[#This Row],[Latitude]],"")</f>
        <v>-11.157245</v>
      </c>
      <c r="I204">
        <f>IF(LEN(RIGHT(Registre_Maintenance_Part[[#This Row],[Longitude]],LEN(Registre_Maintenance_Part[[#This Row],[Longitude]])-SEARCH(",",Registre_Maintenance_Part[[#This Row],[Longitude]])))=6,Registre_Maintenance_Part[[#This Row],[Longitude]],"")</f>
        <v>21.262627999999999</v>
      </c>
    </row>
    <row r="205" spans="1:9" x14ac:dyDescent="0.3">
      <c r="A205" t="s">
        <v>1482</v>
      </c>
      <c r="B205" t="s">
        <v>1498</v>
      </c>
      <c r="C205" t="s">
        <v>126</v>
      </c>
      <c r="D205">
        <v>-3.234483</v>
      </c>
      <c r="E205">
        <v>13.241939</v>
      </c>
      <c r="F205" t="s">
        <v>1429</v>
      </c>
      <c r="G205" t="s">
        <v>1432</v>
      </c>
      <c r="H205">
        <f>IF(LEN(RIGHT(Registre_Maintenance_Part[[#This Row],[Latitude]],LEN(Registre_Maintenance_Part[[#This Row],[Latitude]])-SEARCH(",",Registre_Maintenance_Part[[#This Row],[Latitude]])))=6,Registre_Maintenance_Part[[#This Row],[Latitude]],"")</f>
        <v>-3.234483</v>
      </c>
      <c r="I205">
        <f>IF(LEN(RIGHT(Registre_Maintenance_Part[[#This Row],[Longitude]],LEN(Registre_Maintenance_Part[[#This Row],[Longitude]])-SEARCH(",",Registre_Maintenance_Part[[#This Row],[Longitude]])))=6,Registre_Maintenance_Part[[#This Row],[Longitude]],"")</f>
        <v>13.241939</v>
      </c>
    </row>
    <row r="206" spans="1:9" x14ac:dyDescent="0.3">
      <c r="A206" t="s">
        <v>1482</v>
      </c>
      <c r="B206" t="s">
        <v>880</v>
      </c>
      <c r="C206" t="s">
        <v>31</v>
      </c>
      <c r="D206">
        <v>-3.111418</v>
      </c>
      <c r="E206">
        <v>14.144854</v>
      </c>
      <c r="F206" t="s">
        <v>1429</v>
      </c>
      <c r="G206" t="s">
        <v>1432</v>
      </c>
      <c r="H206">
        <f>IF(LEN(RIGHT(Registre_Maintenance_Part[[#This Row],[Latitude]],LEN(Registre_Maintenance_Part[[#This Row],[Latitude]])-SEARCH(",",Registre_Maintenance_Part[[#This Row],[Latitude]])))=6,Registre_Maintenance_Part[[#This Row],[Latitude]],"")</f>
        <v>-3.111418</v>
      </c>
      <c r="I206">
        <f>IF(LEN(RIGHT(Registre_Maintenance_Part[[#This Row],[Longitude]],LEN(Registre_Maintenance_Part[[#This Row],[Longitude]])-SEARCH(",",Registre_Maintenance_Part[[#This Row],[Longitude]])))=6,Registre_Maintenance_Part[[#This Row],[Longitude]],"")</f>
        <v>14.144854</v>
      </c>
    </row>
    <row r="207" spans="1:9" x14ac:dyDescent="0.3">
      <c r="A207" t="s">
        <v>1482</v>
      </c>
      <c r="B207" t="s">
        <v>1153</v>
      </c>
      <c r="C207" t="s">
        <v>61</v>
      </c>
      <c r="D207">
        <v>-2.6665070000000002</v>
      </c>
      <c r="E207">
        <v>18.623692999999999</v>
      </c>
      <c r="F207" t="s">
        <v>1431</v>
      </c>
      <c r="G207" t="s">
        <v>1432</v>
      </c>
      <c r="H207">
        <f>IF(LEN(RIGHT(Registre_Maintenance_Part[[#This Row],[Latitude]],LEN(Registre_Maintenance_Part[[#This Row],[Latitude]])-SEARCH(",",Registre_Maintenance_Part[[#This Row],[Latitude]])))=6,Registre_Maintenance_Part[[#This Row],[Latitude]],"")</f>
        <v>-2.6665070000000002</v>
      </c>
      <c r="I207">
        <f>IF(LEN(RIGHT(Registre_Maintenance_Part[[#This Row],[Longitude]],LEN(Registre_Maintenance_Part[[#This Row],[Longitude]])-SEARCH(",",Registre_Maintenance_Part[[#This Row],[Longitude]])))=6,Registre_Maintenance_Part[[#This Row],[Longitude]],"")</f>
        <v>18.623692999999999</v>
      </c>
    </row>
    <row r="208" spans="1:9" x14ac:dyDescent="0.3">
      <c r="A208" t="s">
        <v>1482</v>
      </c>
      <c r="B208" t="s">
        <v>1362</v>
      </c>
      <c r="C208" t="s">
        <v>24</v>
      </c>
      <c r="D208">
        <v>-7.3952039999999997</v>
      </c>
      <c r="E208">
        <v>21.651043999999999</v>
      </c>
      <c r="F208" t="s">
        <v>1429</v>
      </c>
      <c r="G208" t="s">
        <v>1430</v>
      </c>
      <c r="H208">
        <f>IF(LEN(RIGHT(Registre_Maintenance_Part[[#This Row],[Latitude]],LEN(Registre_Maintenance_Part[[#This Row],[Latitude]])-SEARCH(",",Registre_Maintenance_Part[[#This Row],[Latitude]])))=6,Registre_Maintenance_Part[[#This Row],[Latitude]],"")</f>
        <v>-7.3952039999999997</v>
      </c>
      <c r="I208">
        <f>IF(LEN(RIGHT(Registre_Maintenance_Part[[#This Row],[Longitude]],LEN(Registre_Maintenance_Part[[#This Row],[Longitude]])-SEARCH(",",Registre_Maintenance_Part[[#This Row],[Longitude]])))=6,Registre_Maintenance_Part[[#This Row],[Longitude]],"")</f>
        <v>21.651043999999999</v>
      </c>
    </row>
    <row r="209" spans="1:9" x14ac:dyDescent="0.3">
      <c r="A209" t="s">
        <v>1482</v>
      </c>
      <c r="B209" t="s">
        <v>887</v>
      </c>
      <c r="C209" t="s">
        <v>68</v>
      </c>
      <c r="D209">
        <v>3.0603760000000002</v>
      </c>
      <c r="E209">
        <v>19.708034000000001</v>
      </c>
      <c r="F209" t="s">
        <v>1431</v>
      </c>
      <c r="G209" t="s">
        <v>1432</v>
      </c>
      <c r="H209">
        <f>IF(LEN(RIGHT(Registre_Maintenance_Part[[#This Row],[Latitude]],LEN(Registre_Maintenance_Part[[#This Row],[Latitude]])-SEARCH(",",Registre_Maintenance_Part[[#This Row],[Latitude]])))=6,Registre_Maintenance_Part[[#This Row],[Latitude]],"")</f>
        <v>3.0603760000000002</v>
      </c>
      <c r="I209">
        <f>IF(LEN(RIGHT(Registre_Maintenance_Part[[#This Row],[Longitude]],LEN(Registre_Maintenance_Part[[#This Row],[Longitude]])-SEARCH(",",Registre_Maintenance_Part[[#This Row],[Longitude]])))=6,Registre_Maintenance_Part[[#This Row],[Longitude]],"")</f>
        <v>19.708034000000001</v>
      </c>
    </row>
    <row r="210" spans="1:9" x14ac:dyDescent="0.3">
      <c r="A210" t="s">
        <v>1482</v>
      </c>
      <c r="B210" t="s">
        <v>1499</v>
      </c>
      <c r="C210" t="s">
        <v>41</v>
      </c>
      <c r="D210">
        <v>-3.269612</v>
      </c>
      <c r="E210">
        <v>25.571189</v>
      </c>
      <c r="F210" t="s">
        <v>1426</v>
      </c>
      <c r="G210" t="s">
        <v>1427</v>
      </c>
      <c r="H210">
        <f>IF(LEN(RIGHT(Registre_Maintenance_Part[[#This Row],[Latitude]],LEN(Registre_Maintenance_Part[[#This Row],[Latitude]])-SEARCH(",",Registre_Maintenance_Part[[#This Row],[Latitude]])))=6,Registre_Maintenance_Part[[#This Row],[Latitude]],"")</f>
        <v>-3.269612</v>
      </c>
      <c r="I210">
        <f>IF(LEN(RIGHT(Registre_Maintenance_Part[[#This Row],[Longitude]],LEN(Registre_Maintenance_Part[[#This Row],[Longitude]])-SEARCH(",",Registre_Maintenance_Part[[#This Row],[Longitude]])))=6,Registre_Maintenance_Part[[#This Row],[Longitude]],"")</f>
        <v>25.571189</v>
      </c>
    </row>
    <row r="211" spans="1:9" x14ac:dyDescent="0.3">
      <c r="A211" t="s">
        <v>1482</v>
      </c>
      <c r="B211" t="s">
        <v>1500</v>
      </c>
      <c r="C211" t="s">
        <v>31</v>
      </c>
      <c r="D211">
        <v>-12.086929</v>
      </c>
      <c r="E211">
        <v>14.032645</v>
      </c>
      <c r="F211" t="s">
        <v>1431</v>
      </c>
      <c r="G211" t="s">
        <v>1432</v>
      </c>
      <c r="H211">
        <f>IF(LEN(RIGHT(Registre_Maintenance_Part[[#This Row],[Latitude]],LEN(Registre_Maintenance_Part[[#This Row],[Latitude]])-SEARCH(",",Registre_Maintenance_Part[[#This Row],[Latitude]])))=6,Registre_Maintenance_Part[[#This Row],[Latitude]],"")</f>
        <v>-12.086929</v>
      </c>
      <c r="I211">
        <f>IF(LEN(RIGHT(Registre_Maintenance_Part[[#This Row],[Longitude]],LEN(Registre_Maintenance_Part[[#This Row],[Longitude]])-SEARCH(",",Registre_Maintenance_Part[[#This Row],[Longitude]])))=6,Registre_Maintenance_Part[[#This Row],[Longitude]],"")</f>
        <v>14.032645</v>
      </c>
    </row>
    <row r="212" spans="1:9" x14ac:dyDescent="0.3">
      <c r="A212" t="s">
        <v>1501</v>
      </c>
      <c r="B212" t="s">
        <v>798</v>
      </c>
      <c r="C212" t="s">
        <v>37</v>
      </c>
      <c r="D212">
        <v>-10.963041</v>
      </c>
      <c r="E212">
        <v>12.269857</v>
      </c>
      <c r="F212" t="s">
        <v>1429</v>
      </c>
      <c r="G212" t="s">
        <v>1430</v>
      </c>
      <c r="H212">
        <f>IF(LEN(RIGHT(Registre_Maintenance_Part[[#This Row],[Latitude]],LEN(Registre_Maintenance_Part[[#This Row],[Latitude]])-SEARCH(",",Registre_Maintenance_Part[[#This Row],[Latitude]])))=6,Registre_Maintenance_Part[[#This Row],[Latitude]],"")</f>
        <v>-10.963041</v>
      </c>
      <c r="I212">
        <f>IF(LEN(RIGHT(Registre_Maintenance_Part[[#This Row],[Longitude]],LEN(Registre_Maintenance_Part[[#This Row],[Longitude]])-SEARCH(",",Registre_Maintenance_Part[[#This Row],[Longitude]])))=6,Registre_Maintenance_Part[[#This Row],[Longitude]],"")</f>
        <v>12.269857</v>
      </c>
    </row>
    <row r="213" spans="1:9" x14ac:dyDescent="0.3">
      <c r="A213" t="s">
        <v>1501</v>
      </c>
      <c r="B213" t="s">
        <v>1502</v>
      </c>
      <c r="C213" t="s">
        <v>15</v>
      </c>
      <c r="D213">
        <v>-4.332408</v>
      </c>
      <c r="E213">
        <v>14.119439</v>
      </c>
      <c r="F213" t="s">
        <v>1426</v>
      </c>
      <c r="G213" t="s">
        <v>1438</v>
      </c>
      <c r="H213">
        <f>IF(LEN(RIGHT(Registre_Maintenance_Part[[#This Row],[Latitude]],LEN(Registre_Maintenance_Part[[#This Row],[Latitude]])-SEARCH(",",Registre_Maintenance_Part[[#This Row],[Latitude]])))=6,Registre_Maintenance_Part[[#This Row],[Latitude]],"")</f>
        <v>-4.332408</v>
      </c>
      <c r="I213">
        <f>IF(LEN(RIGHT(Registre_Maintenance_Part[[#This Row],[Longitude]],LEN(Registre_Maintenance_Part[[#This Row],[Longitude]])-SEARCH(",",Registre_Maintenance_Part[[#This Row],[Longitude]])))=6,Registre_Maintenance_Part[[#This Row],[Longitude]],"")</f>
        <v>14.119439</v>
      </c>
    </row>
    <row r="214" spans="1:9" x14ac:dyDescent="0.3">
      <c r="A214" t="s">
        <v>1501</v>
      </c>
      <c r="B214" t="s">
        <v>1244</v>
      </c>
      <c r="C214" t="s">
        <v>61</v>
      </c>
      <c r="D214">
        <v>-0.57104900000000003</v>
      </c>
      <c r="E214">
        <v>15.317663</v>
      </c>
      <c r="F214" t="s">
        <v>1426</v>
      </c>
      <c r="G214" t="s">
        <v>1438</v>
      </c>
      <c r="H214">
        <f>IF(LEN(RIGHT(Registre_Maintenance_Part[[#This Row],[Latitude]],LEN(Registre_Maintenance_Part[[#This Row],[Latitude]])-SEARCH(",",Registre_Maintenance_Part[[#This Row],[Latitude]])))=6,Registre_Maintenance_Part[[#This Row],[Latitude]],"")</f>
        <v>-0.57104900000000003</v>
      </c>
      <c r="I214">
        <f>IF(LEN(RIGHT(Registre_Maintenance_Part[[#This Row],[Longitude]],LEN(Registre_Maintenance_Part[[#This Row],[Longitude]])-SEARCH(",",Registre_Maintenance_Part[[#This Row],[Longitude]])))=6,Registre_Maintenance_Part[[#This Row],[Longitude]],"")</f>
        <v>15.317663</v>
      </c>
    </row>
    <row r="215" spans="1:9" x14ac:dyDescent="0.3">
      <c r="A215" t="s">
        <v>1501</v>
      </c>
      <c r="B215" t="s">
        <v>913</v>
      </c>
      <c r="C215" t="s">
        <v>41</v>
      </c>
      <c r="D215">
        <v>-10.442425</v>
      </c>
      <c r="E215">
        <v>23.243632000000002</v>
      </c>
      <c r="F215" t="s">
        <v>1429</v>
      </c>
      <c r="G215" t="s">
        <v>1438</v>
      </c>
      <c r="H215">
        <f>IF(LEN(RIGHT(Registre_Maintenance_Part[[#This Row],[Latitude]],LEN(Registre_Maintenance_Part[[#This Row],[Latitude]])-SEARCH(",",Registre_Maintenance_Part[[#This Row],[Latitude]])))=6,Registre_Maintenance_Part[[#This Row],[Latitude]],"")</f>
        <v>-10.442425</v>
      </c>
      <c r="I215">
        <f>IF(LEN(RIGHT(Registre_Maintenance_Part[[#This Row],[Longitude]],LEN(Registre_Maintenance_Part[[#This Row],[Longitude]])-SEARCH(",",Registre_Maintenance_Part[[#This Row],[Longitude]])))=6,Registre_Maintenance_Part[[#This Row],[Longitude]],"")</f>
        <v>23.243632000000002</v>
      </c>
    </row>
    <row r="216" spans="1:9" x14ac:dyDescent="0.3">
      <c r="A216" t="s">
        <v>1501</v>
      </c>
      <c r="B216" t="s">
        <v>1034</v>
      </c>
      <c r="C216" t="s">
        <v>17</v>
      </c>
      <c r="D216">
        <v>0.16327700000000001</v>
      </c>
      <c r="E216">
        <v>14.871577</v>
      </c>
      <c r="F216" t="s">
        <v>1429</v>
      </c>
      <c r="G216" t="s">
        <v>1430</v>
      </c>
      <c r="H216">
        <f>IF(LEN(RIGHT(Registre_Maintenance_Part[[#This Row],[Latitude]],LEN(Registre_Maintenance_Part[[#This Row],[Latitude]])-SEARCH(",",Registre_Maintenance_Part[[#This Row],[Latitude]])))=6,Registre_Maintenance_Part[[#This Row],[Latitude]],"")</f>
        <v>0.16327700000000001</v>
      </c>
      <c r="I216">
        <f>IF(LEN(RIGHT(Registre_Maintenance_Part[[#This Row],[Longitude]],LEN(Registre_Maintenance_Part[[#This Row],[Longitude]])-SEARCH(",",Registre_Maintenance_Part[[#This Row],[Longitude]])))=6,Registre_Maintenance_Part[[#This Row],[Longitude]],"")</f>
        <v>14.871577</v>
      </c>
    </row>
    <row r="217" spans="1:9" x14ac:dyDescent="0.3">
      <c r="A217" t="s">
        <v>1501</v>
      </c>
      <c r="B217" t="s">
        <v>1503</v>
      </c>
      <c r="C217" t="s">
        <v>12</v>
      </c>
      <c r="D217">
        <v>4.7060310000000003</v>
      </c>
      <c r="E217">
        <v>27.348973000000001</v>
      </c>
      <c r="F217" t="s">
        <v>1429</v>
      </c>
      <c r="G217" t="s">
        <v>1430</v>
      </c>
      <c r="H217">
        <f>IF(LEN(RIGHT(Registre_Maintenance_Part[[#This Row],[Latitude]],LEN(Registre_Maintenance_Part[[#This Row],[Latitude]])-SEARCH(",",Registre_Maintenance_Part[[#This Row],[Latitude]])))=6,Registre_Maintenance_Part[[#This Row],[Latitude]],"")</f>
        <v>4.7060310000000003</v>
      </c>
      <c r="I217">
        <f>IF(LEN(RIGHT(Registre_Maintenance_Part[[#This Row],[Longitude]],LEN(Registre_Maintenance_Part[[#This Row],[Longitude]])-SEARCH(",",Registre_Maintenance_Part[[#This Row],[Longitude]])))=6,Registre_Maintenance_Part[[#This Row],[Longitude]],"")</f>
        <v>27.348973000000001</v>
      </c>
    </row>
    <row r="218" spans="1:9" x14ac:dyDescent="0.3">
      <c r="A218" t="s">
        <v>1501</v>
      </c>
      <c r="B218" t="s">
        <v>1504</v>
      </c>
      <c r="C218" t="s">
        <v>9</v>
      </c>
      <c r="D218">
        <v>1.019657</v>
      </c>
      <c r="E218">
        <v>16.963799000000002</v>
      </c>
      <c r="F218" t="s">
        <v>1431</v>
      </c>
      <c r="G218" t="s">
        <v>1438</v>
      </c>
      <c r="H218">
        <f>IF(LEN(RIGHT(Registre_Maintenance_Part[[#This Row],[Latitude]],LEN(Registre_Maintenance_Part[[#This Row],[Latitude]])-SEARCH(",",Registre_Maintenance_Part[[#This Row],[Latitude]])))=6,Registre_Maintenance_Part[[#This Row],[Latitude]],"")</f>
        <v>1.019657</v>
      </c>
      <c r="I218">
        <f>IF(LEN(RIGHT(Registre_Maintenance_Part[[#This Row],[Longitude]],LEN(Registre_Maintenance_Part[[#This Row],[Longitude]])-SEARCH(",",Registre_Maintenance_Part[[#This Row],[Longitude]])))=6,Registre_Maintenance_Part[[#This Row],[Longitude]],"")</f>
        <v>16.963799000000002</v>
      </c>
    </row>
    <row r="219" spans="1:9" x14ac:dyDescent="0.3">
      <c r="A219" t="s">
        <v>1501</v>
      </c>
      <c r="B219" t="s">
        <v>1356</v>
      </c>
      <c r="C219" t="s">
        <v>41</v>
      </c>
      <c r="D219">
        <v>-4.6311460000000002</v>
      </c>
      <c r="E219">
        <v>25.314723000000001</v>
      </c>
      <c r="F219" t="s">
        <v>1429</v>
      </c>
      <c r="G219" t="s">
        <v>1430</v>
      </c>
      <c r="H219">
        <f>IF(LEN(RIGHT(Registre_Maintenance_Part[[#This Row],[Latitude]],LEN(Registre_Maintenance_Part[[#This Row],[Latitude]])-SEARCH(",",Registre_Maintenance_Part[[#This Row],[Latitude]])))=6,Registre_Maintenance_Part[[#This Row],[Latitude]],"")</f>
        <v>-4.6311460000000002</v>
      </c>
      <c r="I219">
        <f>IF(LEN(RIGHT(Registre_Maintenance_Part[[#This Row],[Longitude]],LEN(Registre_Maintenance_Part[[#This Row],[Longitude]])-SEARCH(",",Registre_Maintenance_Part[[#This Row],[Longitude]])))=6,Registre_Maintenance_Part[[#This Row],[Longitude]],"")</f>
        <v>25.314723000000001</v>
      </c>
    </row>
    <row r="220" spans="1:9" x14ac:dyDescent="0.3">
      <c r="A220" t="s">
        <v>1501</v>
      </c>
      <c r="B220" t="s">
        <v>1505</v>
      </c>
      <c r="C220" t="s">
        <v>37</v>
      </c>
      <c r="D220">
        <v>-11.591777</v>
      </c>
      <c r="E220">
        <v>21.213452</v>
      </c>
      <c r="F220" t="s">
        <v>1426</v>
      </c>
      <c r="G220" t="s">
        <v>1427</v>
      </c>
      <c r="H220">
        <f>IF(LEN(RIGHT(Registre_Maintenance_Part[[#This Row],[Latitude]],LEN(Registre_Maintenance_Part[[#This Row],[Latitude]])-SEARCH(",",Registre_Maintenance_Part[[#This Row],[Latitude]])))=6,Registre_Maintenance_Part[[#This Row],[Latitude]],"")</f>
        <v>-11.591777</v>
      </c>
      <c r="I220">
        <f>IF(LEN(RIGHT(Registre_Maintenance_Part[[#This Row],[Longitude]],LEN(Registre_Maintenance_Part[[#This Row],[Longitude]])-SEARCH(",",Registre_Maintenance_Part[[#This Row],[Longitude]])))=6,Registre_Maintenance_Part[[#This Row],[Longitude]],"")</f>
        <v>21.213452</v>
      </c>
    </row>
    <row r="221" spans="1:9" x14ac:dyDescent="0.3">
      <c r="A221" t="s">
        <v>1501</v>
      </c>
      <c r="B221" t="s">
        <v>1506</v>
      </c>
      <c r="C221" t="s">
        <v>41</v>
      </c>
      <c r="D221">
        <v>3.0184790000000001</v>
      </c>
      <c r="E221">
        <v>27.188068000000001</v>
      </c>
      <c r="F221" t="s">
        <v>1426</v>
      </c>
      <c r="G221" t="s">
        <v>1427</v>
      </c>
      <c r="H221">
        <f>IF(LEN(RIGHT(Registre_Maintenance_Part[[#This Row],[Latitude]],LEN(Registre_Maintenance_Part[[#This Row],[Latitude]])-SEARCH(",",Registre_Maintenance_Part[[#This Row],[Latitude]])))=6,Registre_Maintenance_Part[[#This Row],[Latitude]],"")</f>
        <v>3.0184790000000001</v>
      </c>
      <c r="I221">
        <f>IF(LEN(RIGHT(Registre_Maintenance_Part[[#This Row],[Longitude]],LEN(Registre_Maintenance_Part[[#This Row],[Longitude]])-SEARCH(",",Registre_Maintenance_Part[[#This Row],[Longitude]])))=6,Registre_Maintenance_Part[[#This Row],[Longitude]],"")</f>
        <v>27.188068000000001</v>
      </c>
    </row>
    <row r="222" spans="1:9" x14ac:dyDescent="0.3">
      <c r="A222" t="s">
        <v>1501</v>
      </c>
      <c r="B222" t="s">
        <v>1175</v>
      </c>
      <c r="C222" t="s">
        <v>15</v>
      </c>
      <c r="D222">
        <v>-11.407966</v>
      </c>
      <c r="E222">
        <v>28.378274000000001</v>
      </c>
      <c r="F222" t="s">
        <v>1429</v>
      </c>
      <c r="G222" t="s">
        <v>1432</v>
      </c>
      <c r="H222">
        <f>IF(LEN(RIGHT(Registre_Maintenance_Part[[#This Row],[Latitude]],LEN(Registre_Maintenance_Part[[#This Row],[Latitude]])-SEARCH(",",Registre_Maintenance_Part[[#This Row],[Latitude]])))=6,Registre_Maintenance_Part[[#This Row],[Latitude]],"")</f>
        <v>-11.407966</v>
      </c>
      <c r="I222">
        <f>IF(LEN(RIGHT(Registre_Maintenance_Part[[#This Row],[Longitude]],LEN(Registre_Maintenance_Part[[#This Row],[Longitude]])-SEARCH(",",Registre_Maintenance_Part[[#This Row],[Longitude]])))=6,Registre_Maintenance_Part[[#This Row],[Longitude]],"")</f>
        <v>28.378274000000001</v>
      </c>
    </row>
    <row r="223" spans="1:9" x14ac:dyDescent="0.3">
      <c r="A223" t="s">
        <v>1501</v>
      </c>
      <c r="B223" t="s">
        <v>1171</v>
      </c>
      <c r="C223" t="s">
        <v>23</v>
      </c>
      <c r="D223">
        <v>-4.4958720000000003</v>
      </c>
      <c r="E223">
        <v>18.514112000000001</v>
      </c>
      <c r="F223" t="s">
        <v>1429</v>
      </c>
      <c r="G223" t="s">
        <v>1438</v>
      </c>
      <c r="H223">
        <f>IF(LEN(RIGHT(Registre_Maintenance_Part[[#This Row],[Latitude]],LEN(Registre_Maintenance_Part[[#This Row],[Latitude]])-SEARCH(",",Registre_Maintenance_Part[[#This Row],[Latitude]])))=6,Registre_Maintenance_Part[[#This Row],[Latitude]],"")</f>
        <v>-4.4958720000000003</v>
      </c>
      <c r="I223">
        <f>IF(LEN(RIGHT(Registre_Maintenance_Part[[#This Row],[Longitude]],LEN(Registre_Maintenance_Part[[#This Row],[Longitude]])-SEARCH(",",Registre_Maintenance_Part[[#This Row],[Longitude]])))=6,Registre_Maintenance_Part[[#This Row],[Longitude]],"")</f>
        <v>18.514112000000001</v>
      </c>
    </row>
    <row r="224" spans="1:9" x14ac:dyDescent="0.3">
      <c r="A224" t="s">
        <v>1501</v>
      </c>
      <c r="B224" t="s">
        <v>1507</v>
      </c>
      <c r="C224" t="s">
        <v>118</v>
      </c>
      <c r="D224">
        <v>4.2873989999999997</v>
      </c>
      <c r="E224">
        <v>14.756335</v>
      </c>
      <c r="F224" t="s">
        <v>1426</v>
      </c>
      <c r="G224" t="s">
        <v>1427</v>
      </c>
      <c r="H224">
        <f>IF(LEN(RIGHT(Registre_Maintenance_Part[[#This Row],[Latitude]],LEN(Registre_Maintenance_Part[[#This Row],[Latitude]])-SEARCH(",",Registre_Maintenance_Part[[#This Row],[Latitude]])))=6,Registre_Maintenance_Part[[#This Row],[Latitude]],"")</f>
        <v>4.2873989999999997</v>
      </c>
      <c r="I224">
        <f>IF(LEN(RIGHT(Registre_Maintenance_Part[[#This Row],[Longitude]],LEN(Registre_Maintenance_Part[[#This Row],[Longitude]])-SEARCH(",",Registre_Maintenance_Part[[#This Row],[Longitude]])))=6,Registre_Maintenance_Part[[#This Row],[Longitude]],"")</f>
        <v>14.756335</v>
      </c>
    </row>
    <row r="225" spans="1:9" x14ac:dyDescent="0.3">
      <c r="A225" t="s">
        <v>1501</v>
      </c>
      <c r="B225" t="s">
        <v>1027</v>
      </c>
      <c r="C225" t="s">
        <v>23</v>
      </c>
      <c r="D225">
        <v>-11.594525000000001</v>
      </c>
      <c r="E225">
        <v>29.744895</v>
      </c>
      <c r="F225" t="s">
        <v>1431</v>
      </c>
      <c r="G225" t="s">
        <v>1432</v>
      </c>
      <c r="H225">
        <f>IF(LEN(RIGHT(Registre_Maintenance_Part[[#This Row],[Latitude]],LEN(Registre_Maintenance_Part[[#This Row],[Latitude]])-SEARCH(",",Registre_Maintenance_Part[[#This Row],[Latitude]])))=6,Registre_Maintenance_Part[[#This Row],[Latitude]],"")</f>
        <v>-11.594525000000001</v>
      </c>
      <c r="I225">
        <f>IF(LEN(RIGHT(Registre_Maintenance_Part[[#This Row],[Longitude]],LEN(Registre_Maintenance_Part[[#This Row],[Longitude]])-SEARCH(",",Registre_Maintenance_Part[[#This Row],[Longitude]])))=6,Registre_Maintenance_Part[[#This Row],[Longitude]],"")</f>
        <v>29.744895</v>
      </c>
    </row>
    <row r="226" spans="1:9" x14ac:dyDescent="0.3">
      <c r="A226" t="s">
        <v>1501</v>
      </c>
      <c r="B226" t="s">
        <v>995</v>
      </c>
      <c r="C226" t="s">
        <v>35</v>
      </c>
      <c r="D226">
        <v>-1.5936220000000001</v>
      </c>
      <c r="E226">
        <v>14.928856</v>
      </c>
      <c r="F226" t="s">
        <v>1426</v>
      </c>
      <c r="G226" t="s">
        <v>1427</v>
      </c>
      <c r="H226">
        <f>IF(LEN(RIGHT(Registre_Maintenance_Part[[#This Row],[Latitude]],LEN(Registre_Maintenance_Part[[#This Row],[Latitude]])-SEARCH(",",Registre_Maintenance_Part[[#This Row],[Latitude]])))=6,Registre_Maintenance_Part[[#This Row],[Latitude]],"")</f>
        <v>-1.5936220000000001</v>
      </c>
      <c r="I226">
        <f>IF(LEN(RIGHT(Registre_Maintenance_Part[[#This Row],[Longitude]],LEN(Registre_Maintenance_Part[[#This Row],[Longitude]])-SEARCH(",",Registre_Maintenance_Part[[#This Row],[Longitude]])))=6,Registre_Maintenance_Part[[#This Row],[Longitude]],"")</f>
        <v>14.928856</v>
      </c>
    </row>
    <row r="227" spans="1:9" x14ac:dyDescent="0.3">
      <c r="A227" t="s">
        <v>1501</v>
      </c>
      <c r="B227" t="s">
        <v>1508</v>
      </c>
      <c r="C227" t="s">
        <v>29</v>
      </c>
      <c r="D227">
        <v>1.3657680000000001</v>
      </c>
      <c r="E227">
        <v>21.423017000000002</v>
      </c>
      <c r="F227" t="s">
        <v>1426</v>
      </c>
      <c r="G227" t="s">
        <v>1427</v>
      </c>
      <c r="H227">
        <f>IF(LEN(RIGHT(Registre_Maintenance_Part[[#This Row],[Latitude]],LEN(Registre_Maintenance_Part[[#This Row],[Latitude]])-SEARCH(",",Registre_Maintenance_Part[[#This Row],[Latitude]])))=6,Registre_Maintenance_Part[[#This Row],[Latitude]],"")</f>
        <v>1.3657680000000001</v>
      </c>
      <c r="I227">
        <f>IF(LEN(RIGHT(Registre_Maintenance_Part[[#This Row],[Longitude]],LEN(Registre_Maintenance_Part[[#This Row],[Longitude]])-SEARCH(",",Registre_Maintenance_Part[[#This Row],[Longitude]])))=6,Registre_Maintenance_Part[[#This Row],[Longitude]],"")</f>
        <v>21.423017000000002</v>
      </c>
    </row>
    <row r="228" spans="1:9" x14ac:dyDescent="0.3">
      <c r="A228" t="s">
        <v>1501</v>
      </c>
      <c r="B228" t="s">
        <v>1509</v>
      </c>
      <c r="C228" t="s">
        <v>9</v>
      </c>
      <c r="D228">
        <v>-7.3750049999999998</v>
      </c>
      <c r="E228">
        <v>30.878126000000002</v>
      </c>
      <c r="F228" t="s">
        <v>1426</v>
      </c>
      <c r="G228" t="s">
        <v>1430</v>
      </c>
      <c r="H228">
        <f>IF(LEN(RIGHT(Registre_Maintenance_Part[[#This Row],[Latitude]],LEN(Registre_Maintenance_Part[[#This Row],[Latitude]])-SEARCH(",",Registre_Maintenance_Part[[#This Row],[Latitude]])))=6,Registre_Maintenance_Part[[#This Row],[Latitude]],"")</f>
        <v>-7.3750049999999998</v>
      </c>
      <c r="I228">
        <f>IF(LEN(RIGHT(Registre_Maintenance_Part[[#This Row],[Longitude]],LEN(Registre_Maintenance_Part[[#This Row],[Longitude]])-SEARCH(",",Registre_Maintenance_Part[[#This Row],[Longitude]])))=6,Registre_Maintenance_Part[[#This Row],[Longitude]],"")</f>
        <v>30.878126000000002</v>
      </c>
    </row>
    <row r="229" spans="1:9" x14ac:dyDescent="0.3">
      <c r="A229" t="s">
        <v>1501</v>
      </c>
      <c r="B229" t="s">
        <v>1190</v>
      </c>
      <c r="C229" t="s">
        <v>29</v>
      </c>
      <c r="D229">
        <v>-12.050063</v>
      </c>
      <c r="E229">
        <v>26.636987999999999</v>
      </c>
      <c r="F229" t="s">
        <v>1431</v>
      </c>
      <c r="G229" t="s">
        <v>1438</v>
      </c>
      <c r="H229">
        <f>IF(LEN(RIGHT(Registre_Maintenance_Part[[#This Row],[Latitude]],LEN(Registre_Maintenance_Part[[#This Row],[Latitude]])-SEARCH(",",Registre_Maintenance_Part[[#This Row],[Latitude]])))=6,Registre_Maintenance_Part[[#This Row],[Latitude]],"")</f>
        <v>-12.050063</v>
      </c>
      <c r="I229">
        <f>IF(LEN(RIGHT(Registre_Maintenance_Part[[#This Row],[Longitude]],LEN(Registre_Maintenance_Part[[#This Row],[Longitude]])-SEARCH(",",Registre_Maintenance_Part[[#This Row],[Longitude]])))=6,Registre_Maintenance_Part[[#This Row],[Longitude]],"")</f>
        <v>26.636987999999999</v>
      </c>
    </row>
    <row r="230" spans="1:9" x14ac:dyDescent="0.3">
      <c r="A230" t="s">
        <v>1501</v>
      </c>
      <c r="B230" t="s">
        <v>1510</v>
      </c>
      <c r="C230" t="s">
        <v>27</v>
      </c>
      <c r="D230">
        <v>-6.8161690000000004</v>
      </c>
      <c r="E230">
        <v>16.521000999999998</v>
      </c>
      <c r="F230" t="s">
        <v>1426</v>
      </c>
      <c r="G230" t="s">
        <v>1427</v>
      </c>
      <c r="H230">
        <f>IF(LEN(RIGHT(Registre_Maintenance_Part[[#This Row],[Latitude]],LEN(Registre_Maintenance_Part[[#This Row],[Latitude]])-SEARCH(",",Registre_Maintenance_Part[[#This Row],[Latitude]])))=6,Registre_Maintenance_Part[[#This Row],[Latitude]],"")</f>
        <v>-6.8161690000000004</v>
      </c>
      <c r="I230">
        <f>IF(LEN(RIGHT(Registre_Maintenance_Part[[#This Row],[Longitude]],LEN(Registre_Maintenance_Part[[#This Row],[Longitude]])-SEARCH(",",Registre_Maintenance_Part[[#This Row],[Longitude]])))=6,Registre_Maintenance_Part[[#This Row],[Longitude]],"")</f>
        <v>16.521000999999998</v>
      </c>
    </row>
    <row r="231" spans="1:9" x14ac:dyDescent="0.3">
      <c r="A231" t="s">
        <v>1501</v>
      </c>
      <c r="B231" t="s">
        <v>1409</v>
      </c>
      <c r="C231" t="s">
        <v>118</v>
      </c>
      <c r="D231">
        <v>1.0134879999999999</v>
      </c>
      <c r="E231">
        <v>20.363515</v>
      </c>
      <c r="F231" t="s">
        <v>1429</v>
      </c>
      <c r="G231" t="s">
        <v>1438</v>
      </c>
      <c r="H231">
        <f>IF(LEN(RIGHT(Registre_Maintenance_Part[[#This Row],[Latitude]],LEN(Registre_Maintenance_Part[[#This Row],[Latitude]])-SEARCH(",",Registre_Maintenance_Part[[#This Row],[Latitude]])))=6,Registre_Maintenance_Part[[#This Row],[Latitude]],"")</f>
        <v>1.0134879999999999</v>
      </c>
      <c r="I231">
        <f>IF(LEN(RIGHT(Registre_Maintenance_Part[[#This Row],[Longitude]],LEN(Registre_Maintenance_Part[[#This Row],[Longitude]])-SEARCH(",",Registre_Maintenance_Part[[#This Row],[Longitude]])))=6,Registre_Maintenance_Part[[#This Row],[Longitude]],"")</f>
        <v>20.363515</v>
      </c>
    </row>
    <row r="232" spans="1:9" x14ac:dyDescent="0.3">
      <c r="A232" t="s">
        <v>1501</v>
      </c>
      <c r="B232" t="s">
        <v>900</v>
      </c>
      <c r="C232" t="s">
        <v>68</v>
      </c>
      <c r="D232">
        <v>-4.5603610000000003</v>
      </c>
      <c r="E232">
        <v>24.113918999999999</v>
      </c>
      <c r="F232" t="s">
        <v>1426</v>
      </c>
      <c r="G232" t="s">
        <v>1432</v>
      </c>
      <c r="H232">
        <f>IF(LEN(RIGHT(Registre_Maintenance_Part[[#This Row],[Latitude]],LEN(Registre_Maintenance_Part[[#This Row],[Latitude]])-SEARCH(",",Registre_Maintenance_Part[[#This Row],[Latitude]])))=6,Registre_Maintenance_Part[[#This Row],[Latitude]],"")</f>
        <v>-4.5603610000000003</v>
      </c>
      <c r="I232">
        <f>IF(LEN(RIGHT(Registre_Maintenance_Part[[#This Row],[Longitude]],LEN(Registre_Maintenance_Part[[#This Row],[Longitude]])-SEARCH(",",Registre_Maintenance_Part[[#This Row],[Longitude]])))=6,Registre_Maintenance_Part[[#This Row],[Longitude]],"")</f>
        <v>24.113918999999999</v>
      </c>
    </row>
    <row r="233" spans="1:9" x14ac:dyDescent="0.3">
      <c r="A233" t="s">
        <v>1501</v>
      </c>
      <c r="B233" t="s">
        <v>1007</v>
      </c>
      <c r="C233" t="s">
        <v>9</v>
      </c>
      <c r="D233">
        <v>-3.7720639999999999</v>
      </c>
      <c r="E233">
        <v>16.006277999999998</v>
      </c>
      <c r="F233" t="s">
        <v>1426</v>
      </c>
      <c r="G233" t="s">
        <v>1432</v>
      </c>
      <c r="H233">
        <f>IF(LEN(RIGHT(Registre_Maintenance_Part[[#This Row],[Latitude]],LEN(Registre_Maintenance_Part[[#This Row],[Latitude]])-SEARCH(",",Registre_Maintenance_Part[[#This Row],[Latitude]])))=6,Registre_Maintenance_Part[[#This Row],[Latitude]],"")</f>
        <v>-3.7720639999999999</v>
      </c>
      <c r="I233">
        <f>IF(LEN(RIGHT(Registre_Maintenance_Part[[#This Row],[Longitude]],LEN(Registre_Maintenance_Part[[#This Row],[Longitude]])-SEARCH(",",Registre_Maintenance_Part[[#This Row],[Longitude]])))=6,Registre_Maintenance_Part[[#This Row],[Longitude]],"")</f>
        <v>16.006277999999998</v>
      </c>
    </row>
    <row r="234" spans="1:9" x14ac:dyDescent="0.3">
      <c r="A234" t="s">
        <v>1501</v>
      </c>
      <c r="B234" t="s">
        <v>1511</v>
      </c>
      <c r="C234" t="s">
        <v>57</v>
      </c>
      <c r="D234">
        <v>-4.5538169999999996</v>
      </c>
      <c r="E234">
        <v>25.952860999999999</v>
      </c>
      <c r="F234" t="s">
        <v>1431</v>
      </c>
      <c r="G234" t="s">
        <v>1427</v>
      </c>
      <c r="H234">
        <f>IF(LEN(RIGHT(Registre_Maintenance_Part[[#This Row],[Latitude]],LEN(Registre_Maintenance_Part[[#This Row],[Latitude]])-SEARCH(",",Registre_Maintenance_Part[[#This Row],[Latitude]])))=6,Registre_Maintenance_Part[[#This Row],[Latitude]],"")</f>
        <v>-4.5538169999999996</v>
      </c>
      <c r="I234">
        <f>IF(LEN(RIGHT(Registre_Maintenance_Part[[#This Row],[Longitude]],LEN(Registre_Maintenance_Part[[#This Row],[Longitude]])-SEARCH(",",Registre_Maintenance_Part[[#This Row],[Longitude]])))=6,Registre_Maintenance_Part[[#This Row],[Longitude]],"")</f>
        <v>25.952860999999999</v>
      </c>
    </row>
    <row r="235" spans="1:9" x14ac:dyDescent="0.3">
      <c r="A235" t="s">
        <v>1501</v>
      </c>
      <c r="B235" t="s">
        <v>1130</v>
      </c>
      <c r="C235" t="s">
        <v>118</v>
      </c>
      <c r="D235">
        <v>0.20866199999999999</v>
      </c>
      <c r="E235">
        <v>18.556439000000001</v>
      </c>
      <c r="F235" t="s">
        <v>1429</v>
      </c>
      <c r="G235" t="s">
        <v>1438</v>
      </c>
      <c r="H235">
        <f>IF(LEN(RIGHT(Registre_Maintenance_Part[[#This Row],[Latitude]],LEN(Registre_Maintenance_Part[[#This Row],[Latitude]])-SEARCH(",",Registre_Maintenance_Part[[#This Row],[Latitude]])))=6,Registre_Maintenance_Part[[#This Row],[Latitude]],"")</f>
        <v>0.20866199999999999</v>
      </c>
      <c r="I235">
        <f>IF(LEN(RIGHT(Registre_Maintenance_Part[[#This Row],[Longitude]],LEN(Registre_Maintenance_Part[[#This Row],[Longitude]])-SEARCH(",",Registre_Maintenance_Part[[#This Row],[Longitude]])))=6,Registre_Maintenance_Part[[#This Row],[Longitude]],"")</f>
        <v>18.556439000000001</v>
      </c>
    </row>
    <row r="236" spans="1:9" x14ac:dyDescent="0.3">
      <c r="A236" t="s">
        <v>1501</v>
      </c>
      <c r="B236" t="s">
        <v>1060</v>
      </c>
      <c r="C236" t="s">
        <v>20</v>
      </c>
      <c r="D236">
        <v>4.2904629999999999</v>
      </c>
      <c r="E236">
        <v>26.354195000000001</v>
      </c>
      <c r="F236" t="s">
        <v>1431</v>
      </c>
      <c r="G236" t="s">
        <v>1427</v>
      </c>
      <c r="H236">
        <f>IF(LEN(RIGHT(Registre_Maintenance_Part[[#This Row],[Latitude]],LEN(Registre_Maintenance_Part[[#This Row],[Latitude]])-SEARCH(",",Registre_Maintenance_Part[[#This Row],[Latitude]])))=6,Registre_Maintenance_Part[[#This Row],[Latitude]],"")</f>
        <v>4.2904629999999999</v>
      </c>
      <c r="I236">
        <f>IF(LEN(RIGHT(Registre_Maintenance_Part[[#This Row],[Longitude]],LEN(Registre_Maintenance_Part[[#This Row],[Longitude]])-SEARCH(",",Registre_Maintenance_Part[[#This Row],[Longitude]])))=6,Registre_Maintenance_Part[[#This Row],[Longitude]],"")</f>
        <v>26.354195000000001</v>
      </c>
    </row>
    <row r="237" spans="1:9" x14ac:dyDescent="0.3">
      <c r="A237" t="s">
        <v>1501</v>
      </c>
      <c r="B237" t="s">
        <v>1512</v>
      </c>
      <c r="C237" t="s">
        <v>54</v>
      </c>
      <c r="D237">
        <v>1.368018</v>
      </c>
      <c r="E237">
        <v>14.203893000000001</v>
      </c>
      <c r="F237" t="s">
        <v>1426</v>
      </c>
      <c r="G237" t="s">
        <v>1430</v>
      </c>
      <c r="H237">
        <f>IF(LEN(RIGHT(Registre_Maintenance_Part[[#This Row],[Latitude]],LEN(Registre_Maintenance_Part[[#This Row],[Latitude]])-SEARCH(",",Registre_Maintenance_Part[[#This Row],[Latitude]])))=6,Registre_Maintenance_Part[[#This Row],[Latitude]],"")</f>
        <v>1.368018</v>
      </c>
      <c r="I237">
        <f>IF(LEN(RIGHT(Registre_Maintenance_Part[[#This Row],[Longitude]],LEN(Registre_Maintenance_Part[[#This Row],[Longitude]])-SEARCH(",",Registre_Maintenance_Part[[#This Row],[Longitude]])))=6,Registre_Maintenance_Part[[#This Row],[Longitude]],"")</f>
        <v>14.203893000000001</v>
      </c>
    </row>
    <row r="238" spans="1:9" x14ac:dyDescent="0.3">
      <c r="A238" t="s">
        <v>1501</v>
      </c>
      <c r="B238" t="s">
        <v>1513</v>
      </c>
      <c r="C238" t="s">
        <v>27</v>
      </c>
      <c r="D238">
        <v>-7.7942479999999996</v>
      </c>
      <c r="E238">
        <v>15.184407999999999</v>
      </c>
      <c r="F238" t="s">
        <v>1431</v>
      </c>
      <c r="G238" t="s">
        <v>1432</v>
      </c>
      <c r="H238">
        <f>IF(LEN(RIGHT(Registre_Maintenance_Part[[#This Row],[Latitude]],LEN(Registre_Maintenance_Part[[#This Row],[Latitude]])-SEARCH(",",Registre_Maintenance_Part[[#This Row],[Latitude]])))=6,Registre_Maintenance_Part[[#This Row],[Latitude]],"")</f>
        <v>-7.7942479999999996</v>
      </c>
      <c r="I238">
        <f>IF(LEN(RIGHT(Registre_Maintenance_Part[[#This Row],[Longitude]],LEN(Registre_Maintenance_Part[[#This Row],[Longitude]])-SEARCH(",",Registre_Maintenance_Part[[#This Row],[Longitude]])))=6,Registre_Maintenance_Part[[#This Row],[Longitude]],"")</f>
        <v>15.184407999999999</v>
      </c>
    </row>
    <row r="239" spans="1:9" x14ac:dyDescent="0.3">
      <c r="A239" t="s">
        <v>1501</v>
      </c>
      <c r="B239" t="s">
        <v>1209</v>
      </c>
      <c r="C239" t="s">
        <v>9</v>
      </c>
      <c r="D239">
        <v>-12.364127999999999</v>
      </c>
      <c r="E239">
        <v>19.576150999999999</v>
      </c>
      <c r="F239" t="s">
        <v>1431</v>
      </c>
      <c r="G239" t="s">
        <v>1438</v>
      </c>
      <c r="H239">
        <f>IF(LEN(RIGHT(Registre_Maintenance_Part[[#This Row],[Latitude]],LEN(Registre_Maintenance_Part[[#This Row],[Latitude]])-SEARCH(",",Registre_Maintenance_Part[[#This Row],[Latitude]])))=6,Registre_Maintenance_Part[[#This Row],[Latitude]],"")</f>
        <v>-12.364127999999999</v>
      </c>
      <c r="I239">
        <f>IF(LEN(RIGHT(Registre_Maintenance_Part[[#This Row],[Longitude]],LEN(Registre_Maintenance_Part[[#This Row],[Longitude]])-SEARCH(",",Registre_Maintenance_Part[[#This Row],[Longitude]])))=6,Registre_Maintenance_Part[[#This Row],[Longitude]],"")</f>
        <v>19.576150999999999</v>
      </c>
    </row>
    <row r="240" spans="1:9" x14ac:dyDescent="0.3">
      <c r="A240" t="s">
        <v>1501</v>
      </c>
      <c r="B240" t="s">
        <v>1217</v>
      </c>
      <c r="C240" t="s">
        <v>29</v>
      </c>
      <c r="D240">
        <v>3.611561</v>
      </c>
      <c r="E240">
        <v>17.725974999999998</v>
      </c>
      <c r="F240" t="s">
        <v>1431</v>
      </c>
      <c r="G240" t="s">
        <v>1432</v>
      </c>
      <c r="H240">
        <f>IF(LEN(RIGHT(Registre_Maintenance_Part[[#This Row],[Latitude]],LEN(Registre_Maintenance_Part[[#This Row],[Latitude]])-SEARCH(",",Registre_Maintenance_Part[[#This Row],[Latitude]])))=6,Registre_Maintenance_Part[[#This Row],[Latitude]],"")</f>
        <v>3.611561</v>
      </c>
      <c r="I240">
        <f>IF(LEN(RIGHT(Registre_Maintenance_Part[[#This Row],[Longitude]],LEN(Registre_Maintenance_Part[[#This Row],[Longitude]])-SEARCH(",",Registre_Maintenance_Part[[#This Row],[Longitude]])))=6,Registre_Maintenance_Part[[#This Row],[Longitude]],"")</f>
        <v>17.725974999999998</v>
      </c>
    </row>
    <row r="241" spans="1:9" x14ac:dyDescent="0.3">
      <c r="A241" t="s">
        <v>1501</v>
      </c>
      <c r="B241" t="s">
        <v>1159</v>
      </c>
      <c r="C241" t="s">
        <v>83</v>
      </c>
      <c r="D241">
        <v>8.5490999999999998E-2</v>
      </c>
      <c r="E241">
        <v>26.296129000000001</v>
      </c>
      <c r="F241" t="s">
        <v>1431</v>
      </c>
      <c r="G241" t="s">
        <v>1432</v>
      </c>
      <c r="H241">
        <f>IF(LEN(RIGHT(Registre_Maintenance_Part[[#This Row],[Latitude]],LEN(Registre_Maintenance_Part[[#This Row],[Latitude]])-SEARCH(",",Registre_Maintenance_Part[[#This Row],[Latitude]])))=6,Registre_Maintenance_Part[[#This Row],[Latitude]],"")</f>
        <v>8.5490999999999998E-2</v>
      </c>
      <c r="I241">
        <f>IF(LEN(RIGHT(Registre_Maintenance_Part[[#This Row],[Longitude]],LEN(Registre_Maintenance_Part[[#This Row],[Longitude]])-SEARCH(",",Registre_Maintenance_Part[[#This Row],[Longitude]])))=6,Registre_Maintenance_Part[[#This Row],[Longitude]],"")</f>
        <v>26.296129000000001</v>
      </c>
    </row>
    <row r="242" spans="1:9" x14ac:dyDescent="0.3">
      <c r="A242" t="s">
        <v>1501</v>
      </c>
      <c r="B242" t="s">
        <v>1125</v>
      </c>
      <c r="C242" t="s">
        <v>24</v>
      </c>
      <c r="D242">
        <v>-2.8532869999999999</v>
      </c>
      <c r="E242">
        <v>22.117896000000002</v>
      </c>
      <c r="F242" t="s">
        <v>1426</v>
      </c>
      <c r="G242" t="s">
        <v>1430</v>
      </c>
      <c r="H242">
        <f>IF(LEN(RIGHT(Registre_Maintenance_Part[[#This Row],[Latitude]],LEN(Registre_Maintenance_Part[[#This Row],[Latitude]])-SEARCH(",",Registre_Maintenance_Part[[#This Row],[Latitude]])))=6,Registre_Maintenance_Part[[#This Row],[Latitude]],"")</f>
        <v>-2.8532869999999999</v>
      </c>
      <c r="I242">
        <f>IF(LEN(RIGHT(Registre_Maintenance_Part[[#This Row],[Longitude]],LEN(Registre_Maintenance_Part[[#This Row],[Longitude]])-SEARCH(",",Registre_Maintenance_Part[[#This Row],[Longitude]])))=6,Registre_Maintenance_Part[[#This Row],[Longitude]],"")</f>
        <v>22.117896000000002</v>
      </c>
    </row>
    <row r="243" spans="1:9" x14ac:dyDescent="0.3">
      <c r="A243" t="s">
        <v>1501</v>
      </c>
      <c r="B243" t="s">
        <v>1076</v>
      </c>
      <c r="C243" t="s">
        <v>35</v>
      </c>
      <c r="D243">
        <v>-9.9565739999999998</v>
      </c>
      <c r="E243">
        <v>21.017202000000001</v>
      </c>
      <c r="F243" t="s">
        <v>1429</v>
      </c>
      <c r="G243" t="s">
        <v>1430</v>
      </c>
      <c r="H243">
        <f>IF(LEN(RIGHT(Registre_Maintenance_Part[[#This Row],[Latitude]],LEN(Registre_Maintenance_Part[[#This Row],[Latitude]])-SEARCH(",",Registre_Maintenance_Part[[#This Row],[Latitude]])))=6,Registre_Maintenance_Part[[#This Row],[Latitude]],"")</f>
        <v>-9.9565739999999998</v>
      </c>
      <c r="I243">
        <f>IF(LEN(RIGHT(Registre_Maintenance_Part[[#This Row],[Longitude]],LEN(Registre_Maintenance_Part[[#This Row],[Longitude]])-SEARCH(",",Registre_Maintenance_Part[[#This Row],[Longitude]])))=6,Registre_Maintenance_Part[[#This Row],[Longitude]],"")</f>
        <v>21.017202000000001</v>
      </c>
    </row>
    <row r="244" spans="1:9" x14ac:dyDescent="0.3">
      <c r="A244" t="s">
        <v>1501</v>
      </c>
      <c r="B244" t="s">
        <v>1329</v>
      </c>
      <c r="C244" t="s">
        <v>68</v>
      </c>
      <c r="D244">
        <v>-12.070842000000001</v>
      </c>
      <c r="E244">
        <v>14.757847</v>
      </c>
      <c r="F244" t="s">
        <v>1429</v>
      </c>
      <c r="G244" t="s">
        <v>1432</v>
      </c>
      <c r="H244">
        <f>IF(LEN(RIGHT(Registre_Maintenance_Part[[#This Row],[Latitude]],LEN(Registre_Maintenance_Part[[#This Row],[Latitude]])-SEARCH(",",Registre_Maintenance_Part[[#This Row],[Latitude]])))=6,Registre_Maintenance_Part[[#This Row],[Latitude]],"")</f>
        <v>-12.070842000000001</v>
      </c>
      <c r="I244">
        <f>IF(LEN(RIGHT(Registre_Maintenance_Part[[#This Row],[Longitude]],LEN(Registre_Maintenance_Part[[#This Row],[Longitude]])-SEARCH(",",Registre_Maintenance_Part[[#This Row],[Longitude]])))=6,Registre_Maintenance_Part[[#This Row],[Longitude]],"")</f>
        <v>14.757847</v>
      </c>
    </row>
    <row r="245" spans="1:9" x14ac:dyDescent="0.3">
      <c r="A245" t="s">
        <v>1501</v>
      </c>
      <c r="B245" t="s">
        <v>1272</v>
      </c>
      <c r="C245" t="s">
        <v>62</v>
      </c>
      <c r="D245">
        <v>4.8265669999999998</v>
      </c>
      <c r="E245">
        <v>28.535277000000001</v>
      </c>
      <c r="F245" t="s">
        <v>1431</v>
      </c>
      <c r="G245" t="s">
        <v>1430</v>
      </c>
      <c r="H245">
        <f>IF(LEN(RIGHT(Registre_Maintenance_Part[[#This Row],[Latitude]],LEN(Registre_Maintenance_Part[[#This Row],[Latitude]])-SEARCH(",",Registre_Maintenance_Part[[#This Row],[Latitude]])))=6,Registre_Maintenance_Part[[#This Row],[Latitude]],"")</f>
        <v>4.8265669999999998</v>
      </c>
      <c r="I245">
        <f>IF(LEN(RIGHT(Registre_Maintenance_Part[[#This Row],[Longitude]],LEN(Registre_Maintenance_Part[[#This Row],[Longitude]])-SEARCH(",",Registre_Maintenance_Part[[#This Row],[Longitude]])))=6,Registre_Maintenance_Part[[#This Row],[Longitude]],"")</f>
        <v>28.535277000000001</v>
      </c>
    </row>
    <row r="246" spans="1:9" x14ac:dyDescent="0.3">
      <c r="A246" t="s">
        <v>1501</v>
      </c>
      <c r="B246" t="s">
        <v>1514</v>
      </c>
      <c r="C246" t="s">
        <v>9</v>
      </c>
      <c r="D246">
        <v>1.5601240000000001</v>
      </c>
      <c r="E246">
        <v>12.225398</v>
      </c>
      <c r="F246" t="s">
        <v>1426</v>
      </c>
      <c r="G246" t="s">
        <v>1438</v>
      </c>
      <c r="H246">
        <f>IF(LEN(RIGHT(Registre_Maintenance_Part[[#This Row],[Latitude]],LEN(Registre_Maintenance_Part[[#This Row],[Latitude]])-SEARCH(",",Registre_Maintenance_Part[[#This Row],[Latitude]])))=6,Registre_Maintenance_Part[[#This Row],[Latitude]],"")</f>
        <v>1.5601240000000001</v>
      </c>
      <c r="I246">
        <f>IF(LEN(RIGHT(Registre_Maintenance_Part[[#This Row],[Longitude]],LEN(Registre_Maintenance_Part[[#This Row],[Longitude]])-SEARCH(",",Registre_Maintenance_Part[[#This Row],[Longitude]])))=6,Registre_Maintenance_Part[[#This Row],[Longitude]],"")</f>
        <v>12.225398</v>
      </c>
    </row>
    <row r="247" spans="1:9" x14ac:dyDescent="0.3">
      <c r="A247" t="s">
        <v>1501</v>
      </c>
      <c r="B247" t="s">
        <v>1515</v>
      </c>
      <c r="C247" t="s">
        <v>57</v>
      </c>
      <c r="D247">
        <v>-1.762294</v>
      </c>
      <c r="E247">
        <v>29.617228000000001</v>
      </c>
      <c r="F247" t="s">
        <v>1429</v>
      </c>
      <c r="G247" t="s">
        <v>1432</v>
      </c>
      <c r="H247">
        <f>IF(LEN(RIGHT(Registre_Maintenance_Part[[#This Row],[Latitude]],LEN(Registre_Maintenance_Part[[#This Row],[Latitude]])-SEARCH(",",Registre_Maintenance_Part[[#This Row],[Latitude]])))=6,Registre_Maintenance_Part[[#This Row],[Latitude]],"")</f>
        <v>-1.762294</v>
      </c>
      <c r="I247">
        <f>IF(LEN(RIGHT(Registre_Maintenance_Part[[#This Row],[Longitude]],LEN(Registre_Maintenance_Part[[#This Row],[Longitude]])-SEARCH(",",Registre_Maintenance_Part[[#This Row],[Longitude]])))=6,Registre_Maintenance_Part[[#This Row],[Longitude]],"")</f>
        <v>29.617228000000001</v>
      </c>
    </row>
    <row r="248" spans="1:9" x14ac:dyDescent="0.3">
      <c r="A248" t="s">
        <v>1501</v>
      </c>
      <c r="B248" t="s">
        <v>1376</v>
      </c>
      <c r="C248" t="s">
        <v>83</v>
      </c>
      <c r="D248">
        <v>-7.8373179999999998</v>
      </c>
      <c r="E248">
        <v>20.527591999999999</v>
      </c>
      <c r="F248" t="s">
        <v>1429</v>
      </c>
      <c r="G248" t="s">
        <v>1427</v>
      </c>
      <c r="H248">
        <f>IF(LEN(RIGHT(Registre_Maintenance_Part[[#This Row],[Latitude]],LEN(Registre_Maintenance_Part[[#This Row],[Latitude]])-SEARCH(",",Registre_Maintenance_Part[[#This Row],[Latitude]])))=6,Registre_Maintenance_Part[[#This Row],[Latitude]],"")</f>
        <v>-7.8373179999999998</v>
      </c>
      <c r="I248">
        <f>IF(LEN(RIGHT(Registre_Maintenance_Part[[#This Row],[Longitude]],LEN(Registre_Maintenance_Part[[#This Row],[Longitude]])-SEARCH(",",Registre_Maintenance_Part[[#This Row],[Longitude]])))=6,Registre_Maintenance_Part[[#This Row],[Longitude]],"")</f>
        <v>20.527591999999999</v>
      </c>
    </row>
    <row r="249" spans="1:9" x14ac:dyDescent="0.3">
      <c r="A249" t="s">
        <v>1501</v>
      </c>
      <c r="B249" t="s">
        <v>1248</v>
      </c>
      <c r="C249" t="s">
        <v>20</v>
      </c>
      <c r="D249">
        <v>-11.514817000000001</v>
      </c>
      <c r="E249">
        <v>24.891375</v>
      </c>
      <c r="F249" t="s">
        <v>1431</v>
      </c>
      <c r="G249" t="s">
        <v>1438</v>
      </c>
      <c r="H249">
        <f>IF(LEN(RIGHT(Registre_Maintenance_Part[[#This Row],[Latitude]],LEN(Registre_Maintenance_Part[[#This Row],[Latitude]])-SEARCH(",",Registre_Maintenance_Part[[#This Row],[Latitude]])))=6,Registre_Maintenance_Part[[#This Row],[Latitude]],"")</f>
        <v>-11.514817000000001</v>
      </c>
      <c r="I249">
        <f>IF(LEN(RIGHT(Registre_Maintenance_Part[[#This Row],[Longitude]],LEN(Registre_Maintenance_Part[[#This Row],[Longitude]])-SEARCH(",",Registre_Maintenance_Part[[#This Row],[Longitude]])))=6,Registre_Maintenance_Part[[#This Row],[Longitude]],"")</f>
        <v>24.891375</v>
      </c>
    </row>
    <row r="250" spans="1:9" x14ac:dyDescent="0.3">
      <c r="A250" t="s">
        <v>1501</v>
      </c>
      <c r="B250" t="s">
        <v>867</v>
      </c>
      <c r="C250" t="s">
        <v>83</v>
      </c>
      <c r="D250">
        <v>-7.9987219999999999</v>
      </c>
      <c r="E250">
        <v>12.779335</v>
      </c>
      <c r="F250" t="s">
        <v>1426</v>
      </c>
      <c r="G250" t="s">
        <v>1438</v>
      </c>
      <c r="H250">
        <f>IF(LEN(RIGHT(Registre_Maintenance_Part[[#This Row],[Latitude]],LEN(Registre_Maintenance_Part[[#This Row],[Latitude]])-SEARCH(",",Registre_Maintenance_Part[[#This Row],[Latitude]])))=6,Registre_Maintenance_Part[[#This Row],[Latitude]],"")</f>
        <v>-7.9987219999999999</v>
      </c>
      <c r="I250">
        <f>IF(LEN(RIGHT(Registre_Maintenance_Part[[#This Row],[Longitude]],LEN(Registre_Maintenance_Part[[#This Row],[Longitude]])-SEARCH(",",Registre_Maintenance_Part[[#This Row],[Longitude]])))=6,Registre_Maintenance_Part[[#This Row],[Longitude]],"")</f>
        <v>12.779335</v>
      </c>
    </row>
    <row r="251" spans="1:9" x14ac:dyDescent="0.3">
      <c r="A251" t="s">
        <v>1501</v>
      </c>
      <c r="B251" t="s">
        <v>1516</v>
      </c>
      <c r="C251" t="s">
        <v>24</v>
      </c>
      <c r="D251">
        <v>-10.614302</v>
      </c>
      <c r="E251">
        <v>29.436530999999999</v>
      </c>
      <c r="F251" t="s">
        <v>1431</v>
      </c>
      <c r="G251" t="s">
        <v>1427</v>
      </c>
      <c r="H251">
        <f>IF(LEN(RIGHT(Registre_Maintenance_Part[[#This Row],[Latitude]],LEN(Registre_Maintenance_Part[[#This Row],[Latitude]])-SEARCH(",",Registre_Maintenance_Part[[#This Row],[Latitude]])))=6,Registre_Maintenance_Part[[#This Row],[Latitude]],"")</f>
        <v>-10.614302</v>
      </c>
      <c r="I251">
        <f>IF(LEN(RIGHT(Registre_Maintenance_Part[[#This Row],[Longitude]],LEN(Registre_Maintenance_Part[[#This Row],[Longitude]])-SEARCH(",",Registre_Maintenance_Part[[#This Row],[Longitude]])))=6,Registre_Maintenance_Part[[#This Row],[Longitude]],"")</f>
        <v>29.436530999999999</v>
      </c>
    </row>
    <row r="252" spans="1:9" x14ac:dyDescent="0.3">
      <c r="A252" t="s">
        <v>1501</v>
      </c>
      <c r="B252" t="s">
        <v>1179</v>
      </c>
      <c r="C252" t="s">
        <v>35</v>
      </c>
      <c r="D252">
        <v>-7.9425049999999997</v>
      </c>
      <c r="E252">
        <v>24.111059000000001</v>
      </c>
      <c r="F252" t="s">
        <v>1431</v>
      </c>
      <c r="G252" t="s">
        <v>1432</v>
      </c>
      <c r="H252">
        <f>IF(LEN(RIGHT(Registre_Maintenance_Part[[#This Row],[Latitude]],LEN(Registre_Maintenance_Part[[#This Row],[Latitude]])-SEARCH(",",Registre_Maintenance_Part[[#This Row],[Latitude]])))=6,Registre_Maintenance_Part[[#This Row],[Latitude]],"")</f>
        <v>-7.9425049999999997</v>
      </c>
      <c r="I252">
        <f>IF(LEN(RIGHT(Registre_Maintenance_Part[[#This Row],[Longitude]],LEN(Registre_Maintenance_Part[[#This Row],[Longitude]])-SEARCH(",",Registre_Maintenance_Part[[#This Row],[Longitude]])))=6,Registre_Maintenance_Part[[#This Row],[Longitude]],"")</f>
        <v>24.111059000000001</v>
      </c>
    </row>
    <row r="253" spans="1:9" x14ac:dyDescent="0.3">
      <c r="A253" t="s">
        <v>1501</v>
      </c>
      <c r="B253" t="s">
        <v>1158</v>
      </c>
      <c r="C253" t="s">
        <v>20</v>
      </c>
      <c r="D253">
        <v>2.4414509999999998</v>
      </c>
      <c r="E253">
        <v>30.167489</v>
      </c>
      <c r="F253" t="s">
        <v>1426</v>
      </c>
      <c r="G253" t="s">
        <v>1438</v>
      </c>
      <c r="H253">
        <f>IF(LEN(RIGHT(Registre_Maintenance_Part[[#This Row],[Latitude]],LEN(Registre_Maintenance_Part[[#This Row],[Latitude]])-SEARCH(",",Registre_Maintenance_Part[[#This Row],[Latitude]])))=6,Registre_Maintenance_Part[[#This Row],[Latitude]],"")</f>
        <v>2.4414509999999998</v>
      </c>
      <c r="I253">
        <f>IF(LEN(RIGHT(Registre_Maintenance_Part[[#This Row],[Longitude]],LEN(Registre_Maintenance_Part[[#This Row],[Longitude]])-SEARCH(",",Registre_Maintenance_Part[[#This Row],[Longitude]])))=6,Registre_Maintenance_Part[[#This Row],[Longitude]],"")</f>
        <v>30.167489</v>
      </c>
    </row>
    <row r="254" spans="1:9" x14ac:dyDescent="0.3">
      <c r="A254" t="s">
        <v>1517</v>
      </c>
      <c r="B254" t="s">
        <v>837</v>
      </c>
      <c r="C254" t="s">
        <v>61</v>
      </c>
      <c r="D254">
        <v>-1.339734</v>
      </c>
      <c r="E254">
        <v>15.243098</v>
      </c>
      <c r="F254" t="s">
        <v>1431</v>
      </c>
      <c r="G254" t="s">
        <v>1438</v>
      </c>
      <c r="H254">
        <f>IF(LEN(RIGHT(Registre_Maintenance_Part[[#This Row],[Latitude]],LEN(Registre_Maintenance_Part[[#This Row],[Latitude]])-SEARCH(",",Registre_Maintenance_Part[[#This Row],[Latitude]])))=6,Registre_Maintenance_Part[[#This Row],[Latitude]],"")</f>
        <v>-1.339734</v>
      </c>
      <c r="I254">
        <f>IF(LEN(RIGHT(Registre_Maintenance_Part[[#This Row],[Longitude]],LEN(Registre_Maintenance_Part[[#This Row],[Longitude]])-SEARCH(",",Registre_Maintenance_Part[[#This Row],[Longitude]])))=6,Registre_Maintenance_Part[[#This Row],[Longitude]],"")</f>
        <v>15.243098</v>
      </c>
    </row>
    <row r="255" spans="1:9" x14ac:dyDescent="0.3">
      <c r="A255" t="s">
        <v>1517</v>
      </c>
      <c r="B255" t="s">
        <v>1135</v>
      </c>
      <c r="C255" t="s">
        <v>59</v>
      </c>
      <c r="D255">
        <v>-9.8208710000000004</v>
      </c>
      <c r="E255">
        <v>23.229807000000001</v>
      </c>
      <c r="F255" t="s">
        <v>1426</v>
      </c>
      <c r="G255" t="s">
        <v>1438</v>
      </c>
      <c r="H255">
        <f>IF(LEN(RIGHT(Registre_Maintenance_Part[[#This Row],[Latitude]],LEN(Registre_Maintenance_Part[[#This Row],[Latitude]])-SEARCH(",",Registre_Maintenance_Part[[#This Row],[Latitude]])))=6,Registre_Maintenance_Part[[#This Row],[Latitude]],"")</f>
        <v>-9.8208710000000004</v>
      </c>
      <c r="I255">
        <f>IF(LEN(RIGHT(Registre_Maintenance_Part[[#This Row],[Longitude]],LEN(Registre_Maintenance_Part[[#This Row],[Longitude]])-SEARCH(",",Registre_Maintenance_Part[[#This Row],[Longitude]])))=6,Registre_Maintenance_Part[[#This Row],[Longitude]],"")</f>
        <v>23.229807000000001</v>
      </c>
    </row>
    <row r="256" spans="1:9" x14ac:dyDescent="0.3">
      <c r="A256" t="s">
        <v>1517</v>
      </c>
      <c r="B256" t="s">
        <v>993</v>
      </c>
      <c r="C256" t="s">
        <v>12</v>
      </c>
      <c r="D256">
        <v>-12.292039000000001</v>
      </c>
      <c r="E256">
        <v>27.538202999999999</v>
      </c>
      <c r="F256" t="s">
        <v>1431</v>
      </c>
      <c r="G256" t="s">
        <v>1430</v>
      </c>
      <c r="H256">
        <f>IF(LEN(RIGHT(Registre_Maintenance_Part[[#This Row],[Latitude]],LEN(Registre_Maintenance_Part[[#This Row],[Latitude]])-SEARCH(",",Registre_Maintenance_Part[[#This Row],[Latitude]])))=6,Registre_Maintenance_Part[[#This Row],[Latitude]],"")</f>
        <v>-12.292039000000001</v>
      </c>
      <c r="I256">
        <f>IF(LEN(RIGHT(Registre_Maintenance_Part[[#This Row],[Longitude]],LEN(Registre_Maintenance_Part[[#This Row],[Longitude]])-SEARCH(",",Registre_Maintenance_Part[[#This Row],[Longitude]])))=6,Registre_Maintenance_Part[[#This Row],[Longitude]],"")</f>
        <v>27.538202999999999</v>
      </c>
    </row>
    <row r="257" spans="1:9" x14ac:dyDescent="0.3">
      <c r="A257" t="s">
        <v>1517</v>
      </c>
      <c r="B257" t="s">
        <v>1518</v>
      </c>
      <c r="C257" t="s">
        <v>122</v>
      </c>
      <c r="D257">
        <v>-6.0850540000000004</v>
      </c>
      <c r="E257">
        <v>14.020293000000001</v>
      </c>
      <c r="F257" t="s">
        <v>1426</v>
      </c>
      <c r="G257" t="s">
        <v>1430</v>
      </c>
      <c r="H257">
        <f>IF(LEN(RIGHT(Registre_Maintenance_Part[[#This Row],[Latitude]],LEN(Registre_Maintenance_Part[[#This Row],[Latitude]])-SEARCH(",",Registre_Maintenance_Part[[#This Row],[Latitude]])))=6,Registre_Maintenance_Part[[#This Row],[Latitude]],"")</f>
        <v>-6.0850540000000004</v>
      </c>
      <c r="I257">
        <f>IF(LEN(RIGHT(Registre_Maintenance_Part[[#This Row],[Longitude]],LEN(Registre_Maintenance_Part[[#This Row],[Longitude]])-SEARCH(",",Registre_Maintenance_Part[[#This Row],[Longitude]])))=6,Registre_Maintenance_Part[[#This Row],[Longitude]],"")</f>
        <v>14.020293000000001</v>
      </c>
    </row>
    <row r="258" spans="1:9" x14ac:dyDescent="0.3">
      <c r="A258" t="s">
        <v>1517</v>
      </c>
      <c r="B258" t="s">
        <v>1289</v>
      </c>
      <c r="C258" t="s">
        <v>62</v>
      </c>
      <c r="D258">
        <v>-9.5619429999999994</v>
      </c>
      <c r="E258">
        <v>21.445726000000001</v>
      </c>
      <c r="F258" t="s">
        <v>1429</v>
      </c>
      <c r="G258" t="s">
        <v>1438</v>
      </c>
      <c r="H258">
        <f>IF(LEN(RIGHT(Registre_Maintenance_Part[[#This Row],[Latitude]],LEN(Registre_Maintenance_Part[[#This Row],[Latitude]])-SEARCH(",",Registre_Maintenance_Part[[#This Row],[Latitude]])))=6,Registre_Maintenance_Part[[#This Row],[Latitude]],"")</f>
        <v>-9.5619429999999994</v>
      </c>
      <c r="I258">
        <f>IF(LEN(RIGHT(Registre_Maintenance_Part[[#This Row],[Longitude]],LEN(Registre_Maintenance_Part[[#This Row],[Longitude]])-SEARCH(",",Registre_Maintenance_Part[[#This Row],[Longitude]])))=6,Registre_Maintenance_Part[[#This Row],[Longitude]],"")</f>
        <v>21.445726000000001</v>
      </c>
    </row>
    <row r="259" spans="1:9" x14ac:dyDescent="0.3">
      <c r="A259" t="s">
        <v>1517</v>
      </c>
      <c r="B259" t="s">
        <v>1172</v>
      </c>
      <c r="C259" t="s">
        <v>41</v>
      </c>
      <c r="D259">
        <v>-0.47411900000000001</v>
      </c>
      <c r="E259">
        <v>27.184329000000002</v>
      </c>
      <c r="F259" t="s">
        <v>1426</v>
      </c>
      <c r="G259" t="s">
        <v>1432</v>
      </c>
      <c r="H259">
        <f>IF(LEN(RIGHT(Registre_Maintenance_Part[[#This Row],[Latitude]],LEN(Registre_Maintenance_Part[[#This Row],[Latitude]])-SEARCH(",",Registre_Maintenance_Part[[#This Row],[Latitude]])))=6,Registre_Maintenance_Part[[#This Row],[Latitude]],"")</f>
        <v>-0.47411900000000001</v>
      </c>
      <c r="I259">
        <f>IF(LEN(RIGHT(Registre_Maintenance_Part[[#This Row],[Longitude]],LEN(Registre_Maintenance_Part[[#This Row],[Longitude]])-SEARCH(",",Registre_Maintenance_Part[[#This Row],[Longitude]])))=6,Registre_Maintenance_Part[[#This Row],[Longitude]],"")</f>
        <v>27.184329000000002</v>
      </c>
    </row>
    <row r="260" spans="1:9" x14ac:dyDescent="0.3">
      <c r="A260" t="s">
        <v>1517</v>
      </c>
      <c r="B260" t="s">
        <v>792</v>
      </c>
      <c r="C260" t="s">
        <v>35</v>
      </c>
      <c r="D260">
        <v>3.1362930000000002</v>
      </c>
      <c r="E260">
        <v>16.190878000000001</v>
      </c>
      <c r="F260" t="s">
        <v>1431</v>
      </c>
      <c r="G260" t="s">
        <v>1438</v>
      </c>
      <c r="H260">
        <f>IF(LEN(RIGHT(Registre_Maintenance_Part[[#This Row],[Latitude]],LEN(Registre_Maintenance_Part[[#This Row],[Latitude]])-SEARCH(",",Registre_Maintenance_Part[[#This Row],[Latitude]])))=6,Registre_Maintenance_Part[[#This Row],[Latitude]],"")</f>
        <v>3.1362930000000002</v>
      </c>
      <c r="I260">
        <f>IF(LEN(RIGHT(Registre_Maintenance_Part[[#This Row],[Longitude]],LEN(Registre_Maintenance_Part[[#This Row],[Longitude]])-SEARCH(",",Registre_Maintenance_Part[[#This Row],[Longitude]])))=6,Registre_Maintenance_Part[[#This Row],[Longitude]],"")</f>
        <v>16.190878000000001</v>
      </c>
    </row>
    <row r="261" spans="1:9" x14ac:dyDescent="0.3">
      <c r="A261" t="s">
        <v>1517</v>
      </c>
      <c r="B261" t="s">
        <v>1189</v>
      </c>
      <c r="C261" t="s">
        <v>72</v>
      </c>
      <c r="D261">
        <v>-1.6488929999999999</v>
      </c>
      <c r="E261">
        <v>27.284617000000001</v>
      </c>
      <c r="F261" t="s">
        <v>1426</v>
      </c>
      <c r="G261" t="s">
        <v>1438</v>
      </c>
      <c r="H261">
        <f>IF(LEN(RIGHT(Registre_Maintenance_Part[[#This Row],[Latitude]],LEN(Registre_Maintenance_Part[[#This Row],[Latitude]])-SEARCH(",",Registre_Maintenance_Part[[#This Row],[Latitude]])))=6,Registre_Maintenance_Part[[#This Row],[Latitude]],"")</f>
        <v>-1.6488929999999999</v>
      </c>
      <c r="I261">
        <f>IF(LEN(RIGHT(Registre_Maintenance_Part[[#This Row],[Longitude]],LEN(Registre_Maintenance_Part[[#This Row],[Longitude]])-SEARCH(",",Registre_Maintenance_Part[[#This Row],[Longitude]])))=6,Registre_Maintenance_Part[[#This Row],[Longitude]],"")</f>
        <v>27.284617000000001</v>
      </c>
    </row>
    <row r="262" spans="1:9" x14ac:dyDescent="0.3">
      <c r="A262" t="s">
        <v>1517</v>
      </c>
      <c r="B262" t="s">
        <v>868</v>
      </c>
      <c r="C262" t="s">
        <v>61</v>
      </c>
      <c r="D262">
        <v>-1.6097570000000001</v>
      </c>
      <c r="E262">
        <v>30.661662</v>
      </c>
      <c r="F262" t="s">
        <v>1429</v>
      </c>
      <c r="G262" t="s">
        <v>1427</v>
      </c>
      <c r="H262">
        <f>IF(LEN(RIGHT(Registre_Maintenance_Part[[#This Row],[Latitude]],LEN(Registre_Maintenance_Part[[#This Row],[Latitude]])-SEARCH(",",Registre_Maintenance_Part[[#This Row],[Latitude]])))=6,Registre_Maintenance_Part[[#This Row],[Latitude]],"")</f>
        <v>-1.6097570000000001</v>
      </c>
      <c r="I262">
        <f>IF(LEN(RIGHT(Registre_Maintenance_Part[[#This Row],[Longitude]],LEN(Registre_Maintenance_Part[[#This Row],[Longitude]])-SEARCH(",",Registre_Maintenance_Part[[#This Row],[Longitude]])))=6,Registre_Maintenance_Part[[#This Row],[Longitude]],"")</f>
        <v>30.661662</v>
      </c>
    </row>
    <row r="263" spans="1:9" x14ac:dyDescent="0.3">
      <c r="A263" t="s">
        <v>1517</v>
      </c>
      <c r="B263" t="s">
        <v>762</v>
      </c>
      <c r="C263" t="s">
        <v>68</v>
      </c>
      <c r="D263">
        <v>0.23583499999999999</v>
      </c>
      <c r="E263">
        <v>24.889558999999998</v>
      </c>
      <c r="F263" t="s">
        <v>1431</v>
      </c>
      <c r="G263" t="s">
        <v>1432</v>
      </c>
      <c r="H263">
        <f>IF(LEN(RIGHT(Registre_Maintenance_Part[[#This Row],[Latitude]],LEN(Registre_Maintenance_Part[[#This Row],[Latitude]])-SEARCH(",",Registre_Maintenance_Part[[#This Row],[Latitude]])))=6,Registre_Maintenance_Part[[#This Row],[Latitude]],"")</f>
        <v>0.23583499999999999</v>
      </c>
      <c r="I263">
        <f>IF(LEN(RIGHT(Registre_Maintenance_Part[[#This Row],[Longitude]],LEN(Registre_Maintenance_Part[[#This Row],[Longitude]])-SEARCH(",",Registre_Maintenance_Part[[#This Row],[Longitude]])))=6,Registre_Maintenance_Part[[#This Row],[Longitude]],"")</f>
        <v>24.889558999999998</v>
      </c>
    </row>
    <row r="264" spans="1:9" x14ac:dyDescent="0.3">
      <c r="A264" t="s">
        <v>1517</v>
      </c>
      <c r="B264" t="s">
        <v>927</v>
      </c>
      <c r="C264" t="s">
        <v>35</v>
      </c>
      <c r="D264">
        <v>-10.481026999999999</v>
      </c>
      <c r="E264">
        <v>18.160464000000001</v>
      </c>
      <c r="F264" t="s">
        <v>1426</v>
      </c>
      <c r="G264" t="s">
        <v>1430</v>
      </c>
      <c r="H264">
        <f>IF(LEN(RIGHT(Registre_Maintenance_Part[[#This Row],[Latitude]],LEN(Registre_Maintenance_Part[[#This Row],[Latitude]])-SEARCH(",",Registre_Maintenance_Part[[#This Row],[Latitude]])))=6,Registre_Maintenance_Part[[#This Row],[Latitude]],"")</f>
        <v>-10.481026999999999</v>
      </c>
      <c r="I264">
        <f>IF(LEN(RIGHT(Registre_Maintenance_Part[[#This Row],[Longitude]],LEN(Registre_Maintenance_Part[[#This Row],[Longitude]])-SEARCH(",",Registre_Maintenance_Part[[#This Row],[Longitude]])))=6,Registre_Maintenance_Part[[#This Row],[Longitude]],"")</f>
        <v>18.160464000000001</v>
      </c>
    </row>
    <row r="265" spans="1:9" x14ac:dyDescent="0.3">
      <c r="A265" t="s">
        <v>1517</v>
      </c>
      <c r="B265" t="s">
        <v>918</v>
      </c>
      <c r="C265" t="s">
        <v>126</v>
      </c>
      <c r="D265">
        <v>-9.5243310000000001</v>
      </c>
      <c r="E265">
        <v>30.541212000000002</v>
      </c>
      <c r="F265" t="s">
        <v>1431</v>
      </c>
      <c r="G265" t="s">
        <v>1427</v>
      </c>
      <c r="H265">
        <f>IF(LEN(RIGHT(Registre_Maintenance_Part[[#This Row],[Latitude]],LEN(Registre_Maintenance_Part[[#This Row],[Latitude]])-SEARCH(",",Registre_Maintenance_Part[[#This Row],[Latitude]])))=6,Registre_Maintenance_Part[[#This Row],[Latitude]],"")</f>
        <v>-9.5243310000000001</v>
      </c>
      <c r="I265">
        <f>IF(LEN(RIGHT(Registre_Maintenance_Part[[#This Row],[Longitude]],LEN(Registre_Maintenance_Part[[#This Row],[Longitude]])-SEARCH(",",Registre_Maintenance_Part[[#This Row],[Longitude]])))=6,Registre_Maintenance_Part[[#This Row],[Longitude]],"")</f>
        <v>30.541212000000002</v>
      </c>
    </row>
    <row r="266" spans="1:9" x14ac:dyDescent="0.3">
      <c r="A266" t="s">
        <v>1517</v>
      </c>
      <c r="B266" t="s">
        <v>819</v>
      </c>
      <c r="C266" t="s">
        <v>24</v>
      </c>
      <c r="D266">
        <v>-4.4697000000000001E-2</v>
      </c>
      <c r="E266">
        <v>22.943373000000001</v>
      </c>
      <c r="F266" t="s">
        <v>1431</v>
      </c>
      <c r="G266" t="s">
        <v>1430</v>
      </c>
      <c r="H266">
        <f>IF(LEN(RIGHT(Registre_Maintenance_Part[[#This Row],[Latitude]],LEN(Registre_Maintenance_Part[[#This Row],[Latitude]])-SEARCH(",",Registre_Maintenance_Part[[#This Row],[Latitude]])))=6,Registre_Maintenance_Part[[#This Row],[Latitude]],"")</f>
        <v>-4.4697000000000001E-2</v>
      </c>
      <c r="I266">
        <f>IF(LEN(RIGHT(Registre_Maintenance_Part[[#This Row],[Longitude]],LEN(Registre_Maintenance_Part[[#This Row],[Longitude]])-SEARCH(",",Registre_Maintenance_Part[[#This Row],[Longitude]])))=6,Registre_Maintenance_Part[[#This Row],[Longitude]],"")</f>
        <v>22.943373000000001</v>
      </c>
    </row>
    <row r="267" spans="1:9" x14ac:dyDescent="0.3">
      <c r="A267" t="s">
        <v>1517</v>
      </c>
      <c r="B267" t="s">
        <v>1365</v>
      </c>
      <c r="C267" t="s">
        <v>24</v>
      </c>
      <c r="D267">
        <v>-2.3269820000000001</v>
      </c>
      <c r="E267">
        <v>14.609259</v>
      </c>
      <c r="F267" t="s">
        <v>1431</v>
      </c>
      <c r="G267" t="s">
        <v>1438</v>
      </c>
      <c r="H267">
        <f>IF(LEN(RIGHT(Registre_Maintenance_Part[[#This Row],[Latitude]],LEN(Registre_Maintenance_Part[[#This Row],[Latitude]])-SEARCH(",",Registre_Maintenance_Part[[#This Row],[Latitude]])))=6,Registre_Maintenance_Part[[#This Row],[Latitude]],"")</f>
        <v>-2.3269820000000001</v>
      </c>
      <c r="I267">
        <f>IF(LEN(RIGHT(Registre_Maintenance_Part[[#This Row],[Longitude]],LEN(Registre_Maintenance_Part[[#This Row],[Longitude]])-SEARCH(",",Registre_Maintenance_Part[[#This Row],[Longitude]])))=6,Registre_Maintenance_Part[[#This Row],[Longitude]],"")</f>
        <v>14.609259</v>
      </c>
    </row>
    <row r="268" spans="1:9" x14ac:dyDescent="0.3">
      <c r="A268" t="s">
        <v>1517</v>
      </c>
      <c r="B268" t="s">
        <v>1519</v>
      </c>
      <c r="C268" t="s">
        <v>9</v>
      </c>
      <c r="D268">
        <v>-4.1938139999999997</v>
      </c>
      <c r="E268">
        <v>27.892115</v>
      </c>
      <c r="F268" t="s">
        <v>1426</v>
      </c>
      <c r="G268" t="s">
        <v>1427</v>
      </c>
      <c r="H268">
        <f>IF(LEN(RIGHT(Registre_Maintenance_Part[[#This Row],[Latitude]],LEN(Registre_Maintenance_Part[[#This Row],[Latitude]])-SEARCH(",",Registre_Maintenance_Part[[#This Row],[Latitude]])))=6,Registre_Maintenance_Part[[#This Row],[Latitude]],"")</f>
        <v>-4.1938139999999997</v>
      </c>
      <c r="I268">
        <f>IF(LEN(RIGHT(Registre_Maintenance_Part[[#This Row],[Longitude]],LEN(Registre_Maintenance_Part[[#This Row],[Longitude]])-SEARCH(",",Registre_Maintenance_Part[[#This Row],[Longitude]])))=6,Registre_Maintenance_Part[[#This Row],[Longitude]],"")</f>
        <v>27.892115</v>
      </c>
    </row>
    <row r="269" spans="1:9" x14ac:dyDescent="0.3">
      <c r="A269" t="s">
        <v>1517</v>
      </c>
      <c r="B269" t="s">
        <v>780</v>
      </c>
      <c r="C269" t="s">
        <v>122</v>
      </c>
      <c r="D269">
        <v>-11.866133</v>
      </c>
      <c r="E269">
        <v>27.068932</v>
      </c>
      <c r="F269" t="s">
        <v>1431</v>
      </c>
      <c r="G269" t="s">
        <v>1430</v>
      </c>
      <c r="H269">
        <f>IF(LEN(RIGHT(Registre_Maintenance_Part[[#This Row],[Latitude]],LEN(Registre_Maintenance_Part[[#This Row],[Latitude]])-SEARCH(",",Registre_Maintenance_Part[[#This Row],[Latitude]])))=6,Registre_Maintenance_Part[[#This Row],[Latitude]],"")</f>
        <v>-11.866133</v>
      </c>
      <c r="I269">
        <f>IF(LEN(RIGHT(Registre_Maintenance_Part[[#This Row],[Longitude]],LEN(Registre_Maintenance_Part[[#This Row],[Longitude]])-SEARCH(",",Registre_Maintenance_Part[[#This Row],[Longitude]])))=6,Registre_Maintenance_Part[[#This Row],[Longitude]],"")</f>
        <v>27.068932</v>
      </c>
    </row>
    <row r="270" spans="1:9" x14ac:dyDescent="0.3">
      <c r="A270" t="s">
        <v>1517</v>
      </c>
      <c r="B270" t="s">
        <v>878</v>
      </c>
      <c r="C270" t="s">
        <v>23</v>
      </c>
      <c r="D270">
        <v>-3.3890790000000002</v>
      </c>
      <c r="E270">
        <v>18.374571</v>
      </c>
      <c r="F270" t="s">
        <v>1426</v>
      </c>
      <c r="G270" t="s">
        <v>1432</v>
      </c>
      <c r="H270">
        <f>IF(LEN(RIGHT(Registre_Maintenance_Part[[#This Row],[Latitude]],LEN(Registre_Maintenance_Part[[#This Row],[Latitude]])-SEARCH(",",Registre_Maintenance_Part[[#This Row],[Latitude]])))=6,Registre_Maintenance_Part[[#This Row],[Latitude]],"")</f>
        <v>-3.3890790000000002</v>
      </c>
      <c r="I270">
        <f>IF(LEN(RIGHT(Registre_Maintenance_Part[[#This Row],[Longitude]],LEN(Registre_Maintenance_Part[[#This Row],[Longitude]])-SEARCH(",",Registre_Maintenance_Part[[#This Row],[Longitude]])))=6,Registre_Maintenance_Part[[#This Row],[Longitude]],"")</f>
        <v>18.374571</v>
      </c>
    </row>
    <row r="271" spans="1:9" x14ac:dyDescent="0.3">
      <c r="A271" t="s">
        <v>1517</v>
      </c>
      <c r="B271" t="s">
        <v>985</v>
      </c>
      <c r="C271" t="s">
        <v>23</v>
      </c>
      <c r="D271">
        <v>2.016505</v>
      </c>
      <c r="E271">
        <v>14.294164</v>
      </c>
      <c r="F271" t="s">
        <v>1426</v>
      </c>
      <c r="G271" t="s">
        <v>1430</v>
      </c>
      <c r="H271">
        <f>IF(LEN(RIGHT(Registre_Maintenance_Part[[#This Row],[Latitude]],LEN(Registre_Maintenance_Part[[#This Row],[Latitude]])-SEARCH(",",Registre_Maintenance_Part[[#This Row],[Latitude]])))=6,Registre_Maintenance_Part[[#This Row],[Latitude]],"")</f>
        <v>2.016505</v>
      </c>
      <c r="I271">
        <f>IF(LEN(RIGHT(Registre_Maintenance_Part[[#This Row],[Longitude]],LEN(Registre_Maintenance_Part[[#This Row],[Longitude]])-SEARCH(",",Registre_Maintenance_Part[[#This Row],[Longitude]])))=6,Registre_Maintenance_Part[[#This Row],[Longitude]],"")</f>
        <v>14.294164</v>
      </c>
    </row>
    <row r="272" spans="1:9" x14ac:dyDescent="0.3">
      <c r="A272" t="s">
        <v>1517</v>
      </c>
      <c r="B272" t="s">
        <v>1520</v>
      </c>
      <c r="C272" t="s">
        <v>37</v>
      </c>
      <c r="D272">
        <v>-4.9124689999999998</v>
      </c>
      <c r="E272">
        <v>14.683498999999999</v>
      </c>
      <c r="F272" t="s">
        <v>1431</v>
      </c>
      <c r="G272" t="s">
        <v>1432</v>
      </c>
      <c r="H272">
        <f>IF(LEN(RIGHT(Registre_Maintenance_Part[[#This Row],[Latitude]],LEN(Registre_Maintenance_Part[[#This Row],[Latitude]])-SEARCH(",",Registre_Maintenance_Part[[#This Row],[Latitude]])))=6,Registre_Maintenance_Part[[#This Row],[Latitude]],"")</f>
        <v>-4.9124689999999998</v>
      </c>
      <c r="I272">
        <f>IF(LEN(RIGHT(Registre_Maintenance_Part[[#This Row],[Longitude]],LEN(Registre_Maintenance_Part[[#This Row],[Longitude]])-SEARCH(",",Registre_Maintenance_Part[[#This Row],[Longitude]])))=6,Registre_Maintenance_Part[[#This Row],[Longitude]],"")</f>
        <v>14.683498999999999</v>
      </c>
    </row>
    <row r="273" spans="1:9" x14ac:dyDescent="0.3">
      <c r="A273" t="s">
        <v>1517</v>
      </c>
      <c r="B273" t="s">
        <v>775</v>
      </c>
      <c r="C273" t="s">
        <v>57</v>
      </c>
      <c r="D273">
        <v>4.9250049999999996</v>
      </c>
      <c r="E273">
        <v>19.887931999999999</v>
      </c>
      <c r="F273" t="s">
        <v>1429</v>
      </c>
      <c r="G273" t="s">
        <v>1430</v>
      </c>
      <c r="H273">
        <f>IF(LEN(RIGHT(Registre_Maintenance_Part[[#This Row],[Latitude]],LEN(Registre_Maintenance_Part[[#This Row],[Latitude]])-SEARCH(",",Registre_Maintenance_Part[[#This Row],[Latitude]])))=6,Registre_Maintenance_Part[[#This Row],[Latitude]],"")</f>
        <v>4.9250049999999996</v>
      </c>
      <c r="I273">
        <f>IF(LEN(RIGHT(Registre_Maintenance_Part[[#This Row],[Longitude]],LEN(Registre_Maintenance_Part[[#This Row],[Longitude]])-SEARCH(",",Registre_Maintenance_Part[[#This Row],[Longitude]])))=6,Registre_Maintenance_Part[[#This Row],[Longitude]],"")</f>
        <v>19.887931999999999</v>
      </c>
    </row>
    <row r="274" spans="1:9" x14ac:dyDescent="0.3">
      <c r="A274" t="s">
        <v>1517</v>
      </c>
      <c r="B274" t="s">
        <v>1521</v>
      </c>
      <c r="C274" t="s">
        <v>122</v>
      </c>
      <c r="D274">
        <v>1.1800139999999999</v>
      </c>
      <c r="E274">
        <v>20.334562999999999</v>
      </c>
      <c r="F274" t="s">
        <v>1431</v>
      </c>
      <c r="G274" t="s">
        <v>1432</v>
      </c>
      <c r="H274">
        <f>IF(LEN(RIGHT(Registre_Maintenance_Part[[#This Row],[Latitude]],LEN(Registre_Maintenance_Part[[#This Row],[Latitude]])-SEARCH(",",Registre_Maintenance_Part[[#This Row],[Latitude]])))=6,Registre_Maintenance_Part[[#This Row],[Latitude]],"")</f>
        <v>1.1800139999999999</v>
      </c>
      <c r="I274">
        <f>IF(LEN(RIGHT(Registre_Maintenance_Part[[#This Row],[Longitude]],LEN(Registre_Maintenance_Part[[#This Row],[Longitude]])-SEARCH(",",Registre_Maintenance_Part[[#This Row],[Longitude]])))=6,Registre_Maintenance_Part[[#This Row],[Longitude]],"")</f>
        <v>20.334562999999999</v>
      </c>
    </row>
    <row r="275" spans="1:9" x14ac:dyDescent="0.3">
      <c r="A275" t="s">
        <v>1517</v>
      </c>
      <c r="B275" t="s">
        <v>1045</v>
      </c>
      <c r="C275" t="s">
        <v>35</v>
      </c>
      <c r="D275">
        <v>-12.229338</v>
      </c>
      <c r="E275">
        <v>29.587834999999998</v>
      </c>
      <c r="F275" t="s">
        <v>1429</v>
      </c>
      <c r="G275" t="s">
        <v>1438</v>
      </c>
      <c r="H275">
        <f>IF(LEN(RIGHT(Registre_Maintenance_Part[[#This Row],[Latitude]],LEN(Registre_Maintenance_Part[[#This Row],[Latitude]])-SEARCH(",",Registre_Maintenance_Part[[#This Row],[Latitude]])))=6,Registre_Maintenance_Part[[#This Row],[Latitude]],"")</f>
        <v>-12.229338</v>
      </c>
      <c r="I275">
        <f>IF(LEN(RIGHT(Registre_Maintenance_Part[[#This Row],[Longitude]],LEN(Registre_Maintenance_Part[[#This Row],[Longitude]])-SEARCH(",",Registre_Maintenance_Part[[#This Row],[Longitude]])))=6,Registre_Maintenance_Part[[#This Row],[Longitude]],"")</f>
        <v>29.587834999999998</v>
      </c>
    </row>
    <row r="276" spans="1:9" x14ac:dyDescent="0.3">
      <c r="A276" t="s">
        <v>1517</v>
      </c>
      <c r="B276" t="s">
        <v>912</v>
      </c>
      <c r="C276" t="s">
        <v>126</v>
      </c>
      <c r="D276">
        <v>-10.872631999999999</v>
      </c>
      <c r="E276">
        <v>12.773279</v>
      </c>
      <c r="F276" t="s">
        <v>1431</v>
      </c>
      <c r="G276" t="s">
        <v>1432</v>
      </c>
      <c r="H276">
        <f>IF(LEN(RIGHT(Registre_Maintenance_Part[[#This Row],[Latitude]],LEN(Registre_Maintenance_Part[[#This Row],[Latitude]])-SEARCH(",",Registre_Maintenance_Part[[#This Row],[Latitude]])))=6,Registre_Maintenance_Part[[#This Row],[Latitude]],"")</f>
        <v>-10.872631999999999</v>
      </c>
      <c r="I276">
        <f>IF(LEN(RIGHT(Registre_Maintenance_Part[[#This Row],[Longitude]],LEN(Registre_Maintenance_Part[[#This Row],[Longitude]])-SEARCH(",",Registre_Maintenance_Part[[#This Row],[Longitude]])))=6,Registre_Maintenance_Part[[#This Row],[Longitude]],"")</f>
        <v>12.773279</v>
      </c>
    </row>
    <row r="277" spans="1:9" x14ac:dyDescent="0.3">
      <c r="A277" t="s">
        <v>1517</v>
      </c>
      <c r="B277" t="s">
        <v>924</v>
      </c>
      <c r="C277" t="s">
        <v>24</v>
      </c>
      <c r="D277">
        <v>1.5278670000000001</v>
      </c>
      <c r="E277">
        <v>13.899388999999999</v>
      </c>
      <c r="F277" t="s">
        <v>1431</v>
      </c>
      <c r="G277" t="s">
        <v>1430</v>
      </c>
      <c r="H277">
        <f>IF(LEN(RIGHT(Registre_Maintenance_Part[[#This Row],[Latitude]],LEN(Registre_Maintenance_Part[[#This Row],[Latitude]])-SEARCH(",",Registre_Maintenance_Part[[#This Row],[Latitude]])))=6,Registre_Maintenance_Part[[#This Row],[Latitude]],"")</f>
        <v>1.5278670000000001</v>
      </c>
      <c r="I277">
        <f>IF(LEN(RIGHT(Registre_Maintenance_Part[[#This Row],[Longitude]],LEN(Registre_Maintenance_Part[[#This Row],[Longitude]])-SEARCH(",",Registre_Maintenance_Part[[#This Row],[Longitude]])))=6,Registre_Maintenance_Part[[#This Row],[Longitude]],"")</f>
        <v>13.899388999999999</v>
      </c>
    </row>
    <row r="278" spans="1:9" x14ac:dyDescent="0.3">
      <c r="A278" t="s">
        <v>1517</v>
      </c>
      <c r="B278" t="s">
        <v>1063</v>
      </c>
      <c r="C278" t="s">
        <v>48</v>
      </c>
      <c r="D278">
        <v>-0.98830399999999996</v>
      </c>
      <c r="E278">
        <v>28.099966999999999</v>
      </c>
      <c r="F278" t="s">
        <v>1431</v>
      </c>
      <c r="G278" t="s">
        <v>1430</v>
      </c>
      <c r="H278">
        <f>IF(LEN(RIGHT(Registre_Maintenance_Part[[#This Row],[Latitude]],LEN(Registre_Maintenance_Part[[#This Row],[Latitude]])-SEARCH(",",Registre_Maintenance_Part[[#This Row],[Latitude]])))=6,Registre_Maintenance_Part[[#This Row],[Latitude]],"")</f>
        <v>-0.98830399999999996</v>
      </c>
      <c r="I278">
        <f>IF(LEN(RIGHT(Registre_Maintenance_Part[[#This Row],[Longitude]],LEN(Registre_Maintenance_Part[[#This Row],[Longitude]])-SEARCH(",",Registre_Maintenance_Part[[#This Row],[Longitude]])))=6,Registre_Maintenance_Part[[#This Row],[Longitude]],"")</f>
        <v>28.099966999999999</v>
      </c>
    </row>
    <row r="279" spans="1:9" x14ac:dyDescent="0.3">
      <c r="A279" t="s">
        <v>1517</v>
      </c>
      <c r="B279" t="s">
        <v>1522</v>
      </c>
      <c r="C279" t="s">
        <v>83</v>
      </c>
      <c r="D279">
        <v>-4.749333</v>
      </c>
      <c r="E279">
        <v>23.636389000000001</v>
      </c>
      <c r="F279" t="s">
        <v>1431</v>
      </c>
      <c r="G279" t="s">
        <v>1432</v>
      </c>
      <c r="H279">
        <f>IF(LEN(RIGHT(Registre_Maintenance_Part[[#This Row],[Latitude]],LEN(Registre_Maintenance_Part[[#This Row],[Latitude]])-SEARCH(",",Registre_Maintenance_Part[[#This Row],[Latitude]])))=6,Registre_Maintenance_Part[[#This Row],[Latitude]],"")</f>
        <v>-4.749333</v>
      </c>
      <c r="I279">
        <f>IF(LEN(RIGHT(Registre_Maintenance_Part[[#This Row],[Longitude]],LEN(Registre_Maintenance_Part[[#This Row],[Longitude]])-SEARCH(",",Registre_Maintenance_Part[[#This Row],[Longitude]])))=6,Registre_Maintenance_Part[[#This Row],[Longitude]],"")</f>
        <v>23.636389000000001</v>
      </c>
    </row>
    <row r="280" spans="1:9" x14ac:dyDescent="0.3">
      <c r="A280" t="s">
        <v>1517</v>
      </c>
      <c r="B280" t="s">
        <v>1122</v>
      </c>
      <c r="C280" t="s">
        <v>57</v>
      </c>
      <c r="D280">
        <v>-0.79459900000000006</v>
      </c>
      <c r="E280">
        <v>26.775570999999999</v>
      </c>
      <c r="F280" t="s">
        <v>1426</v>
      </c>
      <c r="G280" t="s">
        <v>1430</v>
      </c>
      <c r="H280">
        <f>IF(LEN(RIGHT(Registre_Maintenance_Part[[#This Row],[Latitude]],LEN(Registre_Maintenance_Part[[#This Row],[Latitude]])-SEARCH(",",Registre_Maintenance_Part[[#This Row],[Latitude]])))=6,Registre_Maintenance_Part[[#This Row],[Latitude]],"")</f>
        <v>-0.79459900000000006</v>
      </c>
      <c r="I280">
        <f>IF(LEN(RIGHT(Registre_Maintenance_Part[[#This Row],[Longitude]],LEN(Registre_Maintenance_Part[[#This Row],[Longitude]])-SEARCH(",",Registre_Maintenance_Part[[#This Row],[Longitude]])))=6,Registre_Maintenance_Part[[#This Row],[Longitude]],"")</f>
        <v>26.775570999999999</v>
      </c>
    </row>
    <row r="281" spans="1:9" x14ac:dyDescent="0.3">
      <c r="A281" t="s">
        <v>1517</v>
      </c>
      <c r="B281" t="s">
        <v>1523</v>
      </c>
      <c r="C281" t="s">
        <v>20</v>
      </c>
      <c r="D281">
        <v>2.7365970000000002</v>
      </c>
      <c r="E281">
        <v>12.296976000000001</v>
      </c>
      <c r="F281" t="s">
        <v>1429</v>
      </c>
      <c r="G281" t="s">
        <v>1432</v>
      </c>
      <c r="H281">
        <f>IF(LEN(RIGHT(Registre_Maintenance_Part[[#This Row],[Latitude]],LEN(Registre_Maintenance_Part[[#This Row],[Latitude]])-SEARCH(",",Registre_Maintenance_Part[[#This Row],[Latitude]])))=6,Registre_Maintenance_Part[[#This Row],[Latitude]],"")</f>
        <v>2.7365970000000002</v>
      </c>
      <c r="I281">
        <f>IF(LEN(RIGHT(Registre_Maintenance_Part[[#This Row],[Longitude]],LEN(Registre_Maintenance_Part[[#This Row],[Longitude]])-SEARCH(",",Registre_Maintenance_Part[[#This Row],[Longitude]])))=6,Registre_Maintenance_Part[[#This Row],[Longitude]],"")</f>
        <v>12.296976000000001</v>
      </c>
    </row>
    <row r="282" spans="1:9" x14ac:dyDescent="0.3">
      <c r="A282" t="s">
        <v>1517</v>
      </c>
      <c r="B282" t="s">
        <v>1373</v>
      </c>
      <c r="C282" t="s">
        <v>72</v>
      </c>
      <c r="D282">
        <v>-10.318835</v>
      </c>
      <c r="E282">
        <v>21.252382000000001</v>
      </c>
      <c r="F282" t="s">
        <v>1429</v>
      </c>
      <c r="G282" t="s">
        <v>1427</v>
      </c>
      <c r="H282">
        <f>IF(LEN(RIGHT(Registre_Maintenance_Part[[#This Row],[Latitude]],LEN(Registre_Maintenance_Part[[#This Row],[Latitude]])-SEARCH(",",Registre_Maintenance_Part[[#This Row],[Latitude]])))=6,Registre_Maintenance_Part[[#This Row],[Latitude]],"")</f>
        <v>-10.318835</v>
      </c>
      <c r="I282">
        <f>IF(LEN(RIGHT(Registre_Maintenance_Part[[#This Row],[Longitude]],LEN(Registre_Maintenance_Part[[#This Row],[Longitude]])-SEARCH(",",Registre_Maintenance_Part[[#This Row],[Longitude]])))=6,Registre_Maintenance_Part[[#This Row],[Longitude]],"")</f>
        <v>21.252382000000001</v>
      </c>
    </row>
    <row r="283" spans="1:9" x14ac:dyDescent="0.3">
      <c r="A283" t="s">
        <v>1517</v>
      </c>
      <c r="B283" t="s">
        <v>1017</v>
      </c>
      <c r="C283" t="s">
        <v>12</v>
      </c>
      <c r="D283">
        <v>-2.571777</v>
      </c>
      <c r="E283">
        <v>12.120642</v>
      </c>
      <c r="F283" t="s">
        <v>1431</v>
      </c>
      <c r="G283" t="s">
        <v>1430</v>
      </c>
      <c r="H283">
        <f>IF(LEN(RIGHT(Registre_Maintenance_Part[[#This Row],[Latitude]],LEN(Registre_Maintenance_Part[[#This Row],[Latitude]])-SEARCH(",",Registre_Maintenance_Part[[#This Row],[Latitude]])))=6,Registre_Maintenance_Part[[#This Row],[Latitude]],"")</f>
        <v>-2.571777</v>
      </c>
      <c r="I283">
        <f>IF(LEN(RIGHT(Registre_Maintenance_Part[[#This Row],[Longitude]],LEN(Registre_Maintenance_Part[[#This Row],[Longitude]])-SEARCH(",",Registre_Maintenance_Part[[#This Row],[Longitude]])))=6,Registre_Maintenance_Part[[#This Row],[Longitude]],"")</f>
        <v>12.120642</v>
      </c>
    </row>
    <row r="284" spans="1:9" x14ac:dyDescent="0.3">
      <c r="A284" t="s">
        <v>1517</v>
      </c>
      <c r="B284" t="s">
        <v>1524</v>
      </c>
      <c r="C284" t="s">
        <v>33</v>
      </c>
      <c r="D284">
        <v>3.6466850000000002</v>
      </c>
      <c r="E284">
        <v>15.408844</v>
      </c>
      <c r="F284" t="s">
        <v>1431</v>
      </c>
      <c r="G284" t="s">
        <v>1432</v>
      </c>
      <c r="H284">
        <f>IF(LEN(RIGHT(Registre_Maintenance_Part[[#This Row],[Latitude]],LEN(Registre_Maintenance_Part[[#This Row],[Latitude]])-SEARCH(",",Registre_Maintenance_Part[[#This Row],[Latitude]])))=6,Registre_Maintenance_Part[[#This Row],[Latitude]],"")</f>
        <v>3.6466850000000002</v>
      </c>
      <c r="I284">
        <f>IF(LEN(RIGHT(Registre_Maintenance_Part[[#This Row],[Longitude]],LEN(Registre_Maintenance_Part[[#This Row],[Longitude]])-SEARCH(",",Registre_Maintenance_Part[[#This Row],[Longitude]])))=6,Registre_Maintenance_Part[[#This Row],[Longitude]],"")</f>
        <v>15.408844</v>
      </c>
    </row>
    <row r="285" spans="1:9" x14ac:dyDescent="0.3">
      <c r="A285" t="s">
        <v>1517</v>
      </c>
      <c r="B285" t="s">
        <v>902</v>
      </c>
      <c r="C285" t="s">
        <v>122</v>
      </c>
      <c r="D285">
        <v>-12.336202</v>
      </c>
      <c r="E285">
        <v>13.693683999999999</v>
      </c>
      <c r="F285" t="s">
        <v>1426</v>
      </c>
      <c r="G285" t="s">
        <v>1430</v>
      </c>
      <c r="H285">
        <f>IF(LEN(RIGHT(Registre_Maintenance_Part[[#This Row],[Latitude]],LEN(Registre_Maintenance_Part[[#This Row],[Latitude]])-SEARCH(",",Registre_Maintenance_Part[[#This Row],[Latitude]])))=6,Registre_Maintenance_Part[[#This Row],[Latitude]],"")</f>
        <v>-12.336202</v>
      </c>
      <c r="I285">
        <f>IF(LEN(RIGHT(Registre_Maintenance_Part[[#This Row],[Longitude]],LEN(Registre_Maintenance_Part[[#This Row],[Longitude]])-SEARCH(",",Registre_Maintenance_Part[[#This Row],[Longitude]])))=6,Registre_Maintenance_Part[[#This Row],[Longitude]],"")</f>
        <v>13.693683999999999</v>
      </c>
    </row>
    <row r="286" spans="1:9" x14ac:dyDescent="0.3">
      <c r="A286" t="s">
        <v>1517</v>
      </c>
      <c r="B286" t="s">
        <v>1048</v>
      </c>
      <c r="C286" t="s">
        <v>15</v>
      </c>
      <c r="D286">
        <v>-1.231033</v>
      </c>
      <c r="E286">
        <v>28.851388</v>
      </c>
      <c r="F286" t="s">
        <v>1431</v>
      </c>
      <c r="G286" t="s">
        <v>1427</v>
      </c>
      <c r="H286">
        <f>IF(LEN(RIGHT(Registre_Maintenance_Part[[#This Row],[Latitude]],LEN(Registre_Maintenance_Part[[#This Row],[Latitude]])-SEARCH(",",Registre_Maintenance_Part[[#This Row],[Latitude]])))=6,Registre_Maintenance_Part[[#This Row],[Latitude]],"")</f>
        <v>-1.231033</v>
      </c>
      <c r="I286">
        <f>IF(LEN(RIGHT(Registre_Maintenance_Part[[#This Row],[Longitude]],LEN(Registre_Maintenance_Part[[#This Row],[Longitude]])-SEARCH(",",Registre_Maintenance_Part[[#This Row],[Longitude]])))=6,Registre_Maintenance_Part[[#This Row],[Longitude]],"")</f>
        <v>28.851388</v>
      </c>
    </row>
    <row r="287" spans="1:9" x14ac:dyDescent="0.3">
      <c r="A287" t="s">
        <v>1517</v>
      </c>
      <c r="B287" t="s">
        <v>1525</v>
      </c>
      <c r="C287" t="s">
        <v>15</v>
      </c>
      <c r="D287">
        <v>-4.5180470000000001</v>
      </c>
      <c r="E287">
        <v>19.908223</v>
      </c>
      <c r="F287" t="s">
        <v>1426</v>
      </c>
      <c r="G287" t="s">
        <v>1430</v>
      </c>
      <c r="H287">
        <f>IF(LEN(RIGHT(Registre_Maintenance_Part[[#This Row],[Latitude]],LEN(Registre_Maintenance_Part[[#This Row],[Latitude]])-SEARCH(",",Registre_Maintenance_Part[[#This Row],[Latitude]])))=6,Registre_Maintenance_Part[[#This Row],[Latitude]],"")</f>
        <v>-4.5180470000000001</v>
      </c>
      <c r="I287">
        <f>IF(LEN(RIGHT(Registre_Maintenance_Part[[#This Row],[Longitude]],LEN(Registre_Maintenance_Part[[#This Row],[Longitude]])-SEARCH(",",Registre_Maintenance_Part[[#This Row],[Longitude]])))=6,Registre_Maintenance_Part[[#This Row],[Longitude]],"")</f>
        <v>19.908223</v>
      </c>
    </row>
    <row r="288" spans="1:9" x14ac:dyDescent="0.3">
      <c r="A288" t="s">
        <v>1517</v>
      </c>
      <c r="B288" t="s">
        <v>1526</v>
      </c>
      <c r="C288" t="s">
        <v>37</v>
      </c>
      <c r="D288">
        <v>3.524343</v>
      </c>
      <c r="E288">
        <v>27.340824000000001</v>
      </c>
      <c r="F288" t="s">
        <v>1429</v>
      </c>
      <c r="G288" t="s">
        <v>1427</v>
      </c>
      <c r="H288">
        <f>IF(LEN(RIGHT(Registre_Maintenance_Part[[#This Row],[Latitude]],LEN(Registre_Maintenance_Part[[#This Row],[Latitude]])-SEARCH(",",Registre_Maintenance_Part[[#This Row],[Latitude]])))=6,Registre_Maintenance_Part[[#This Row],[Latitude]],"")</f>
        <v>3.524343</v>
      </c>
      <c r="I288">
        <f>IF(LEN(RIGHT(Registre_Maintenance_Part[[#This Row],[Longitude]],LEN(Registre_Maintenance_Part[[#This Row],[Longitude]])-SEARCH(",",Registre_Maintenance_Part[[#This Row],[Longitude]])))=6,Registre_Maintenance_Part[[#This Row],[Longitude]],"")</f>
        <v>27.340824000000001</v>
      </c>
    </row>
    <row r="289" spans="1:9" x14ac:dyDescent="0.3">
      <c r="A289" t="s">
        <v>1517</v>
      </c>
      <c r="B289" t="s">
        <v>934</v>
      </c>
      <c r="C289" t="s">
        <v>57</v>
      </c>
      <c r="D289">
        <v>-0.37665700000000002</v>
      </c>
      <c r="E289">
        <v>25.154807999999999</v>
      </c>
      <c r="F289" t="s">
        <v>1431</v>
      </c>
      <c r="G289" t="s">
        <v>1438</v>
      </c>
      <c r="H289">
        <f>IF(LEN(RIGHT(Registre_Maintenance_Part[[#This Row],[Latitude]],LEN(Registre_Maintenance_Part[[#This Row],[Latitude]])-SEARCH(",",Registre_Maintenance_Part[[#This Row],[Latitude]])))=6,Registre_Maintenance_Part[[#This Row],[Latitude]],"")</f>
        <v>-0.37665700000000002</v>
      </c>
      <c r="I289">
        <f>IF(LEN(RIGHT(Registre_Maintenance_Part[[#This Row],[Longitude]],LEN(Registre_Maintenance_Part[[#This Row],[Longitude]])-SEARCH(",",Registre_Maintenance_Part[[#This Row],[Longitude]])))=6,Registre_Maintenance_Part[[#This Row],[Longitude]],"")</f>
        <v>25.154807999999999</v>
      </c>
    </row>
    <row r="290" spans="1:9" x14ac:dyDescent="0.3">
      <c r="A290" t="s">
        <v>1517</v>
      </c>
      <c r="B290" t="s">
        <v>1367</v>
      </c>
      <c r="C290" t="s">
        <v>72</v>
      </c>
      <c r="D290">
        <v>-10.650321</v>
      </c>
      <c r="E290">
        <v>15.917044000000001</v>
      </c>
      <c r="F290" t="s">
        <v>1429</v>
      </c>
      <c r="G290" t="s">
        <v>1438</v>
      </c>
      <c r="H290">
        <f>IF(LEN(RIGHT(Registre_Maintenance_Part[[#This Row],[Latitude]],LEN(Registre_Maintenance_Part[[#This Row],[Latitude]])-SEARCH(",",Registre_Maintenance_Part[[#This Row],[Latitude]])))=6,Registre_Maintenance_Part[[#This Row],[Latitude]],"")</f>
        <v>-10.650321</v>
      </c>
      <c r="I290">
        <f>IF(LEN(RIGHT(Registre_Maintenance_Part[[#This Row],[Longitude]],LEN(Registre_Maintenance_Part[[#This Row],[Longitude]])-SEARCH(",",Registre_Maintenance_Part[[#This Row],[Longitude]])))=6,Registre_Maintenance_Part[[#This Row],[Longitude]],"")</f>
        <v>15.917044000000001</v>
      </c>
    </row>
    <row r="291" spans="1:9" x14ac:dyDescent="0.3">
      <c r="A291" t="s">
        <v>1517</v>
      </c>
      <c r="B291" t="s">
        <v>1527</v>
      </c>
      <c r="C291" t="s">
        <v>37</v>
      </c>
      <c r="D291">
        <v>-9.8995180000000005</v>
      </c>
      <c r="E291">
        <v>24.156687999999999</v>
      </c>
      <c r="F291" t="s">
        <v>1429</v>
      </c>
      <c r="G291" t="s">
        <v>1427</v>
      </c>
      <c r="H291">
        <f>IF(LEN(RIGHT(Registre_Maintenance_Part[[#This Row],[Latitude]],LEN(Registre_Maintenance_Part[[#This Row],[Latitude]])-SEARCH(",",Registre_Maintenance_Part[[#This Row],[Latitude]])))=6,Registre_Maintenance_Part[[#This Row],[Latitude]],"")</f>
        <v>-9.8995180000000005</v>
      </c>
      <c r="I291">
        <f>IF(LEN(RIGHT(Registre_Maintenance_Part[[#This Row],[Longitude]],LEN(Registre_Maintenance_Part[[#This Row],[Longitude]])-SEARCH(",",Registre_Maintenance_Part[[#This Row],[Longitude]])))=6,Registre_Maintenance_Part[[#This Row],[Longitude]],"")</f>
        <v>24.156687999999999</v>
      </c>
    </row>
    <row r="292" spans="1:9" x14ac:dyDescent="0.3">
      <c r="A292" t="s">
        <v>1517</v>
      </c>
      <c r="B292" t="s">
        <v>1528</v>
      </c>
      <c r="C292" t="s">
        <v>126</v>
      </c>
      <c r="D292">
        <v>-7.4679279999999997</v>
      </c>
      <c r="E292">
        <v>19.828595</v>
      </c>
      <c r="F292" t="s">
        <v>1426</v>
      </c>
      <c r="G292" t="s">
        <v>1438</v>
      </c>
      <c r="H292">
        <f>IF(LEN(RIGHT(Registre_Maintenance_Part[[#This Row],[Latitude]],LEN(Registre_Maintenance_Part[[#This Row],[Latitude]])-SEARCH(",",Registre_Maintenance_Part[[#This Row],[Latitude]])))=6,Registre_Maintenance_Part[[#This Row],[Latitude]],"")</f>
        <v>-7.4679279999999997</v>
      </c>
      <c r="I292">
        <f>IF(LEN(RIGHT(Registre_Maintenance_Part[[#This Row],[Longitude]],LEN(Registre_Maintenance_Part[[#This Row],[Longitude]])-SEARCH(",",Registre_Maintenance_Part[[#This Row],[Longitude]])))=6,Registre_Maintenance_Part[[#This Row],[Longitude]],"")</f>
        <v>19.828595</v>
      </c>
    </row>
    <row r="293" spans="1:9" x14ac:dyDescent="0.3">
      <c r="A293" t="s">
        <v>1517</v>
      </c>
      <c r="B293" t="s">
        <v>1068</v>
      </c>
      <c r="C293" t="s">
        <v>126</v>
      </c>
      <c r="D293">
        <v>1.286548</v>
      </c>
      <c r="E293">
        <v>29.823702999999998</v>
      </c>
      <c r="F293" t="s">
        <v>1429</v>
      </c>
      <c r="G293" t="s">
        <v>1432</v>
      </c>
      <c r="H293">
        <f>IF(LEN(RIGHT(Registre_Maintenance_Part[[#This Row],[Latitude]],LEN(Registre_Maintenance_Part[[#This Row],[Latitude]])-SEARCH(",",Registre_Maintenance_Part[[#This Row],[Latitude]])))=6,Registre_Maintenance_Part[[#This Row],[Latitude]],"")</f>
        <v>1.286548</v>
      </c>
      <c r="I293">
        <f>IF(LEN(RIGHT(Registre_Maintenance_Part[[#This Row],[Longitude]],LEN(Registre_Maintenance_Part[[#This Row],[Longitude]])-SEARCH(",",Registre_Maintenance_Part[[#This Row],[Longitude]])))=6,Registre_Maintenance_Part[[#This Row],[Longitude]],"")</f>
        <v>29.823702999999998</v>
      </c>
    </row>
    <row r="294" spans="1:9" x14ac:dyDescent="0.3">
      <c r="A294" t="s">
        <v>1517</v>
      </c>
      <c r="B294" t="s">
        <v>1012</v>
      </c>
      <c r="C294" t="s">
        <v>33</v>
      </c>
      <c r="D294">
        <v>-4.7886769999999999</v>
      </c>
      <c r="E294">
        <v>23.600221999999999</v>
      </c>
      <c r="F294" t="s">
        <v>1431</v>
      </c>
      <c r="G294" t="s">
        <v>1432</v>
      </c>
      <c r="H294">
        <f>IF(LEN(RIGHT(Registre_Maintenance_Part[[#This Row],[Latitude]],LEN(Registre_Maintenance_Part[[#This Row],[Latitude]])-SEARCH(",",Registre_Maintenance_Part[[#This Row],[Latitude]])))=6,Registre_Maintenance_Part[[#This Row],[Latitude]],"")</f>
        <v>-4.7886769999999999</v>
      </c>
      <c r="I294">
        <f>IF(LEN(RIGHT(Registre_Maintenance_Part[[#This Row],[Longitude]],LEN(Registre_Maintenance_Part[[#This Row],[Longitude]])-SEARCH(",",Registre_Maintenance_Part[[#This Row],[Longitude]])))=6,Registre_Maintenance_Part[[#This Row],[Longitude]],"")</f>
        <v>23.600221999999999</v>
      </c>
    </row>
    <row r="295" spans="1:9" x14ac:dyDescent="0.3">
      <c r="A295" t="s">
        <v>1529</v>
      </c>
      <c r="B295" t="s">
        <v>1341</v>
      </c>
      <c r="C295" t="s">
        <v>54</v>
      </c>
      <c r="D295">
        <v>1.7832440000000001</v>
      </c>
      <c r="E295">
        <v>25.477405999999998</v>
      </c>
      <c r="F295" t="s">
        <v>1426</v>
      </c>
      <c r="G295" t="s">
        <v>1430</v>
      </c>
      <c r="H295">
        <f>IF(LEN(RIGHT(Registre_Maintenance_Part[[#This Row],[Latitude]],LEN(Registre_Maintenance_Part[[#This Row],[Latitude]])-SEARCH(",",Registre_Maintenance_Part[[#This Row],[Latitude]])))=6,Registre_Maintenance_Part[[#This Row],[Latitude]],"")</f>
        <v>1.7832440000000001</v>
      </c>
      <c r="I295">
        <f>IF(LEN(RIGHT(Registre_Maintenance_Part[[#This Row],[Longitude]],LEN(Registre_Maintenance_Part[[#This Row],[Longitude]])-SEARCH(",",Registre_Maintenance_Part[[#This Row],[Longitude]])))=6,Registre_Maintenance_Part[[#This Row],[Longitude]],"")</f>
        <v>25.477405999999998</v>
      </c>
    </row>
    <row r="296" spans="1:9" x14ac:dyDescent="0.3">
      <c r="A296" t="s">
        <v>1529</v>
      </c>
      <c r="B296" t="s">
        <v>1530</v>
      </c>
      <c r="C296" t="s">
        <v>33</v>
      </c>
      <c r="D296">
        <v>-4.8560549999999996</v>
      </c>
      <c r="E296">
        <v>15.889538999999999</v>
      </c>
      <c r="F296" t="s">
        <v>1431</v>
      </c>
      <c r="G296" t="s">
        <v>1430</v>
      </c>
      <c r="H296">
        <f>IF(LEN(RIGHT(Registre_Maintenance_Part[[#This Row],[Latitude]],LEN(Registre_Maintenance_Part[[#This Row],[Latitude]])-SEARCH(",",Registre_Maintenance_Part[[#This Row],[Latitude]])))=6,Registre_Maintenance_Part[[#This Row],[Latitude]],"")</f>
        <v>-4.8560549999999996</v>
      </c>
      <c r="I296">
        <f>IF(LEN(RIGHT(Registre_Maintenance_Part[[#This Row],[Longitude]],LEN(Registre_Maintenance_Part[[#This Row],[Longitude]])-SEARCH(",",Registre_Maintenance_Part[[#This Row],[Longitude]])))=6,Registre_Maintenance_Part[[#This Row],[Longitude]],"")</f>
        <v>15.889538999999999</v>
      </c>
    </row>
    <row r="297" spans="1:9" x14ac:dyDescent="0.3">
      <c r="A297" t="s">
        <v>1529</v>
      </c>
      <c r="B297" t="s">
        <v>1531</v>
      </c>
      <c r="C297" t="s">
        <v>29</v>
      </c>
      <c r="D297">
        <v>-8.6707929999999998</v>
      </c>
      <c r="E297">
        <v>30.643781000000001</v>
      </c>
      <c r="F297" t="s">
        <v>1429</v>
      </c>
      <c r="G297" t="s">
        <v>1430</v>
      </c>
      <c r="H297">
        <f>IF(LEN(RIGHT(Registre_Maintenance_Part[[#This Row],[Latitude]],LEN(Registre_Maintenance_Part[[#This Row],[Latitude]])-SEARCH(",",Registre_Maintenance_Part[[#This Row],[Latitude]])))=6,Registre_Maintenance_Part[[#This Row],[Latitude]],"")</f>
        <v>-8.6707929999999998</v>
      </c>
      <c r="I297">
        <f>IF(LEN(RIGHT(Registre_Maintenance_Part[[#This Row],[Longitude]],LEN(Registre_Maintenance_Part[[#This Row],[Longitude]])-SEARCH(",",Registre_Maintenance_Part[[#This Row],[Longitude]])))=6,Registre_Maintenance_Part[[#This Row],[Longitude]],"")</f>
        <v>30.643781000000001</v>
      </c>
    </row>
    <row r="298" spans="1:9" x14ac:dyDescent="0.3">
      <c r="A298" t="s">
        <v>1529</v>
      </c>
      <c r="B298" t="s">
        <v>1532</v>
      </c>
      <c r="C298" t="s">
        <v>27</v>
      </c>
      <c r="D298">
        <v>-2.947235</v>
      </c>
      <c r="E298">
        <v>16.534020999999999</v>
      </c>
      <c r="F298" t="s">
        <v>1431</v>
      </c>
      <c r="G298" t="s">
        <v>1438</v>
      </c>
      <c r="H298">
        <f>IF(LEN(RIGHT(Registre_Maintenance_Part[[#This Row],[Latitude]],LEN(Registre_Maintenance_Part[[#This Row],[Latitude]])-SEARCH(",",Registre_Maintenance_Part[[#This Row],[Latitude]])))=6,Registre_Maintenance_Part[[#This Row],[Latitude]],"")</f>
        <v>-2.947235</v>
      </c>
      <c r="I298">
        <f>IF(LEN(RIGHT(Registre_Maintenance_Part[[#This Row],[Longitude]],LEN(Registre_Maintenance_Part[[#This Row],[Longitude]])-SEARCH(",",Registre_Maintenance_Part[[#This Row],[Longitude]])))=6,Registre_Maintenance_Part[[#This Row],[Longitude]],"")</f>
        <v>16.534020999999999</v>
      </c>
    </row>
    <row r="299" spans="1:9" x14ac:dyDescent="0.3">
      <c r="A299" t="s">
        <v>1529</v>
      </c>
      <c r="B299" t="s">
        <v>1533</v>
      </c>
      <c r="C299" t="s">
        <v>23</v>
      </c>
      <c r="D299">
        <v>-12.776386</v>
      </c>
      <c r="E299">
        <v>14.157596</v>
      </c>
      <c r="F299" t="s">
        <v>1431</v>
      </c>
      <c r="G299" t="s">
        <v>1438</v>
      </c>
      <c r="H299">
        <f>IF(LEN(RIGHT(Registre_Maintenance_Part[[#This Row],[Latitude]],LEN(Registre_Maintenance_Part[[#This Row],[Latitude]])-SEARCH(",",Registre_Maintenance_Part[[#This Row],[Latitude]])))=6,Registre_Maintenance_Part[[#This Row],[Latitude]],"")</f>
        <v>-12.776386</v>
      </c>
      <c r="I299">
        <f>IF(LEN(RIGHT(Registre_Maintenance_Part[[#This Row],[Longitude]],LEN(Registre_Maintenance_Part[[#This Row],[Longitude]])-SEARCH(",",Registre_Maintenance_Part[[#This Row],[Longitude]])))=6,Registre_Maintenance_Part[[#This Row],[Longitude]],"")</f>
        <v>14.157596</v>
      </c>
    </row>
    <row r="300" spans="1:9" x14ac:dyDescent="0.3">
      <c r="A300" t="s">
        <v>1529</v>
      </c>
      <c r="B300" t="s">
        <v>755</v>
      </c>
      <c r="C300" t="s">
        <v>23</v>
      </c>
      <c r="D300">
        <v>0.172153</v>
      </c>
      <c r="E300">
        <v>21.091376</v>
      </c>
      <c r="F300" t="s">
        <v>1431</v>
      </c>
      <c r="G300" t="s">
        <v>1427</v>
      </c>
      <c r="H300">
        <f>IF(LEN(RIGHT(Registre_Maintenance_Part[[#This Row],[Latitude]],LEN(Registre_Maintenance_Part[[#This Row],[Latitude]])-SEARCH(",",Registre_Maintenance_Part[[#This Row],[Latitude]])))=6,Registre_Maintenance_Part[[#This Row],[Latitude]],"")</f>
        <v>0.172153</v>
      </c>
      <c r="I300">
        <f>IF(LEN(RIGHT(Registre_Maintenance_Part[[#This Row],[Longitude]],LEN(Registre_Maintenance_Part[[#This Row],[Longitude]])-SEARCH(",",Registre_Maintenance_Part[[#This Row],[Longitude]])))=6,Registre_Maintenance_Part[[#This Row],[Longitude]],"")</f>
        <v>21.091376</v>
      </c>
    </row>
    <row r="301" spans="1:9" x14ac:dyDescent="0.3">
      <c r="A301" t="s">
        <v>1529</v>
      </c>
      <c r="B301" t="s">
        <v>1094</v>
      </c>
      <c r="C301" t="s">
        <v>29</v>
      </c>
      <c r="D301">
        <v>-10.611184</v>
      </c>
      <c r="E301">
        <v>23.022268</v>
      </c>
      <c r="F301" t="s">
        <v>1426</v>
      </c>
      <c r="G301" t="s">
        <v>1432</v>
      </c>
      <c r="H301">
        <f>IF(LEN(RIGHT(Registre_Maintenance_Part[[#This Row],[Latitude]],LEN(Registre_Maintenance_Part[[#This Row],[Latitude]])-SEARCH(",",Registre_Maintenance_Part[[#This Row],[Latitude]])))=6,Registre_Maintenance_Part[[#This Row],[Latitude]],"")</f>
        <v>-10.611184</v>
      </c>
      <c r="I301">
        <f>IF(LEN(RIGHT(Registre_Maintenance_Part[[#This Row],[Longitude]],LEN(Registre_Maintenance_Part[[#This Row],[Longitude]])-SEARCH(",",Registre_Maintenance_Part[[#This Row],[Longitude]])))=6,Registre_Maintenance_Part[[#This Row],[Longitude]],"")</f>
        <v>23.022268</v>
      </c>
    </row>
    <row r="302" spans="1:9" x14ac:dyDescent="0.3">
      <c r="A302" t="s">
        <v>1529</v>
      </c>
      <c r="B302" t="s">
        <v>1266</v>
      </c>
      <c r="C302" t="s">
        <v>27</v>
      </c>
      <c r="D302">
        <v>-7.6757720000000003</v>
      </c>
      <c r="E302">
        <v>30.222971000000001</v>
      </c>
      <c r="F302" t="s">
        <v>1426</v>
      </c>
      <c r="G302" t="s">
        <v>1427</v>
      </c>
      <c r="H302">
        <f>IF(LEN(RIGHT(Registre_Maintenance_Part[[#This Row],[Latitude]],LEN(Registre_Maintenance_Part[[#This Row],[Latitude]])-SEARCH(",",Registre_Maintenance_Part[[#This Row],[Latitude]])))=6,Registre_Maintenance_Part[[#This Row],[Latitude]],"")</f>
        <v>-7.6757720000000003</v>
      </c>
      <c r="I302">
        <f>IF(LEN(RIGHT(Registre_Maintenance_Part[[#This Row],[Longitude]],LEN(Registre_Maintenance_Part[[#This Row],[Longitude]])-SEARCH(",",Registre_Maintenance_Part[[#This Row],[Longitude]])))=6,Registre_Maintenance_Part[[#This Row],[Longitude]],"")</f>
        <v>30.222971000000001</v>
      </c>
    </row>
    <row r="303" spans="1:9" x14ac:dyDescent="0.3">
      <c r="A303" t="s">
        <v>1529</v>
      </c>
      <c r="B303" t="s">
        <v>881</v>
      </c>
      <c r="C303" t="s">
        <v>83</v>
      </c>
      <c r="D303">
        <v>-1.342476</v>
      </c>
      <c r="E303">
        <v>15.986086</v>
      </c>
      <c r="F303" t="s">
        <v>1429</v>
      </c>
      <c r="G303" t="s">
        <v>1427</v>
      </c>
      <c r="H303">
        <f>IF(LEN(RIGHT(Registre_Maintenance_Part[[#This Row],[Latitude]],LEN(Registre_Maintenance_Part[[#This Row],[Latitude]])-SEARCH(",",Registre_Maintenance_Part[[#This Row],[Latitude]])))=6,Registre_Maintenance_Part[[#This Row],[Latitude]],"")</f>
        <v>-1.342476</v>
      </c>
      <c r="I303">
        <f>IF(LEN(RIGHT(Registre_Maintenance_Part[[#This Row],[Longitude]],LEN(Registre_Maintenance_Part[[#This Row],[Longitude]])-SEARCH(",",Registre_Maintenance_Part[[#This Row],[Longitude]])))=6,Registre_Maintenance_Part[[#This Row],[Longitude]],"")</f>
        <v>15.986086</v>
      </c>
    </row>
    <row r="304" spans="1:9" x14ac:dyDescent="0.3">
      <c r="A304" t="s">
        <v>1529</v>
      </c>
      <c r="B304" t="s">
        <v>1534</v>
      </c>
      <c r="C304" t="s">
        <v>57</v>
      </c>
      <c r="D304">
        <v>-11.366868999999999</v>
      </c>
      <c r="E304">
        <v>26.155318000000001</v>
      </c>
      <c r="F304" t="s">
        <v>1429</v>
      </c>
      <c r="G304" t="s">
        <v>1430</v>
      </c>
      <c r="H304">
        <f>IF(LEN(RIGHT(Registre_Maintenance_Part[[#This Row],[Latitude]],LEN(Registre_Maintenance_Part[[#This Row],[Latitude]])-SEARCH(",",Registre_Maintenance_Part[[#This Row],[Latitude]])))=6,Registre_Maintenance_Part[[#This Row],[Latitude]],"")</f>
        <v>-11.366868999999999</v>
      </c>
      <c r="I304">
        <f>IF(LEN(RIGHT(Registre_Maintenance_Part[[#This Row],[Longitude]],LEN(Registre_Maintenance_Part[[#This Row],[Longitude]])-SEARCH(",",Registre_Maintenance_Part[[#This Row],[Longitude]])))=6,Registre_Maintenance_Part[[#This Row],[Longitude]],"")</f>
        <v>26.155318000000001</v>
      </c>
    </row>
    <row r="305" spans="1:9" x14ac:dyDescent="0.3">
      <c r="A305" t="s">
        <v>1529</v>
      </c>
      <c r="B305" t="s">
        <v>1173</v>
      </c>
      <c r="C305" t="s">
        <v>54</v>
      </c>
      <c r="D305">
        <v>-4.3639070000000002</v>
      </c>
      <c r="E305">
        <v>16.283307000000001</v>
      </c>
      <c r="F305" t="s">
        <v>1426</v>
      </c>
      <c r="G305" t="s">
        <v>1430</v>
      </c>
      <c r="H305">
        <f>IF(LEN(RIGHT(Registre_Maintenance_Part[[#This Row],[Latitude]],LEN(Registre_Maintenance_Part[[#This Row],[Latitude]])-SEARCH(",",Registre_Maintenance_Part[[#This Row],[Latitude]])))=6,Registre_Maintenance_Part[[#This Row],[Latitude]],"")</f>
        <v>-4.3639070000000002</v>
      </c>
      <c r="I305">
        <f>IF(LEN(RIGHT(Registre_Maintenance_Part[[#This Row],[Longitude]],LEN(Registre_Maintenance_Part[[#This Row],[Longitude]])-SEARCH(",",Registre_Maintenance_Part[[#This Row],[Longitude]])))=6,Registre_Maintenance_Part[[#This Row],[Longitude]],"")</f>
        <v>16.283307000000001</v>
      </c>
    </row>
    <row r="306" spans="1:9" x14ac:dyDescent="0.3">
      <c r="A306" t="s">
        <v>1529</v>
      </c>
      <c r="B306" t="s">
        <v>996</v>
      </c>
      <c r="C306" t="s">
        <v>37</v>
      </c>
      <c r="D306">
        <v>-7.5129409999999996</v>
      </c>
      <c r="E306">
        <v>18.701522000000001</v>
      </c>
      <c r="F306" t="s">
        <v>1429</v>
      </c>
      <c r="G306" t="s">
        <v>1438</v>
      </c>
      <c r="H306">
        <f>IF(LEN(RIGHT(Registre_Maintenance_Part[[#This Row],[Latitude]],LEN(Registre_Maintenance_Part[[#This Row],[Latitude]])-SEARCH(",",Registre_Maintenance_Part[[#This Row],[Latitude]])))=6,Registre_Maintenance_Part[[#This Row],[Latitude]],"")</f>
        <v>-7.5129409999999996</v>
      </c>
      <c r="I306">
        <f>IF(LEN(RIGHT(Registre_Maintenance_Part[[#This Row],[Longitude]],LEN(Registre_Maintenance_Part[[#This Row],[Longitude]])-SEARCH(",",Registre_Maintenance_Part[[#This Row],[Longitude]])))=6,Registre_Maintenance_Part[[#This Row],[Longitude]],"")</f>
        <v>18.701522000000001</v>
      </c>
    </row>
    <row r="307" spans="1:9" x14ac:dyDescent="0.3">
      <c r="A307" t="s">
        <v>1529</v>
      </c>
      <c r="B307" t="s">
        <v>1070</v>
      </c>
      <c r="C307" t="s">
        <v>9</v>
      </c>
      <c r="D307">
        <v>-0.34051900000000002</v>
      </c>
      <c r="E307">
        <v>17.079799000000001</v>
      </c>
      <c r="F307" t="s">
        <v>1426</v>
      </c>
      <c r="G307" t="s">
        <v>1427</v>
      </c>
      <c r="H307">
        <f>IF(LEN(RIGHT(Registre_Maintenance_Part[[#This Row],[Latitude]],LEN(Registre_Maintenance_Part[[#This Row],[Latitude]])-SEARCH(",",Registre_Maintenance_Part[[#This Row],[Latitude]])))=6,Registre_Maintenance_Part[[#This Row],[Latitude]],"")</f>
        <v>-0.34051900000000002</v>
      </c>
      <c r="I307">
        <f>IF(LEN(RIGHT(Registre_Maintenance_Part[[#This Row],[Longitude]],LEN(Registre_Maintenance_Part[[#This Row],[Longitude]])-SEARCH(",",Registre_Maintenance_Part[[#This Row],[Longitude]])))=6,Registre_Maintenance_Part[[#This Row],[Longitude]],"")</f>
        <v>17.079799000000001</v>
      </c>
    </row>
    <row r="308" spans="1:9" x14ac:dyDescent="0.3">
      <c r="A308" t="s">
        <v>1529</v>
      </c>
      <c r="B308" t="s">
        <v>964</v>
      </c>
      <c r="C308" t="s">
        <v>68</v>
      </c>
      <c r="D308">
        <v>2.4425979999999998</v>
      </c>
      <c r="E308">
        <v>24.924308</v>
      </c>
      <c r="F308" t="s">
        <v>1426</v>
      </c>
      <c r="G308" t="s">
        <v>1427</v>
      </c>
      <c r="H308">
        <f>IF(LEN(RIGHT(Registre_Maintenance_Part[[#This Row],[Latitude]],LEN(Registre_Maintenance_Part[[#This Row],[Latitude]])-SEARCH(",",Registre_Maintenance_Part[[#This Row],[Latitude]])))=6,Registre_Maintenance_Part[[#This Row],[Latitude]],"")</f>
        <v>2.4425979999999998</v>
      </c>
      <c r="I308">
        <f>IF(LEN(RIGHT(Registre_Maintenance_Part[[#This Row],[Longitude]],LEN(Registre_Maintenance_Part[[#This Row],[Longitude]])-SEARCH(",",Registre_Maintenance_Part[[#This Row],[Longitude]])))=6,Registre_Maintenance_Part[[#This Row],[Longitude]],"")</f>
        <v>24.924308</v>
      </c>
    </row>
    <row r="309" spans="1:9" x14ac:dyDescent="0.3">
      <c r="A309" t="s">
        <v>1529</v>
      </c>
      <c r="B309" t="s">
        <v>1255</v>
      </c>
      <c r="C309" t="s">
        <v>24</v>
      </c>
      <c r="D309">
        <v>0.45116099999999998</v>
      </c>
      <c r="E309">
        <v>17.265761000000001</v>
      </c>
      <c r="F309" t="s">
        <v>1429</v>
      </c>
      <c r="G309" t="s">
        <v>1430</v>
      </c>
      <c r="H309">
        <f>IF(LEN(RIGHT(Registre_Maintenance_Part[[#This Row],[Latitude]],LEN(Registre_Maintenance_Part[[#This Row],[Latitude]])-SEARCH(",",Registre_Maintenance_Part[[#This Row],[Latitude]])))=6,Registre_Maintenance_Part[[#This Row],[Latitude]],"")</f>
        <v>0.45116099999999998</v>
      </c>
      <c r="I309">
        <f>IF(LEN(RIGHT(Registre_Maintenance_Part[[#This Row],[Longitude]],LEN(Registre_Maintenance_Part[[#This Row],[Longitude]])-SEARCH(",",Registre_Maintenance_Part[[#This Row],[Longitude]])))=6,Registre_Maintenance_Part[[#This Row],[Longitude]],"")</f>
        <v>17.265761000000001</v>
      </c>
    </row>
    <row r="310" spans="1:9" x14ac:dyDescent="0.3">
      <c r="A310" t="s">
        <v>1529</v>
      </c>
      <c r="B310" t="s">
        <v>1242</v>
      </c>
      <c r="C310" t="s">
        <v>31</v>
      </c>
      <c r="D310">
        <v>-12.560556999999999</v>
      </c>
      <c r="E310">
        <v>13.204014000000001</v>
      </c>
      <c r="F310" t="s">
        <v>1429</v>
      </c>
      <c r="G310" t="s">
        <v>1427</v>
      </c>
      <c r="H310">
        <f>IF(LEN(RIGHT(Registre_Maintenance_Part[[#This Row],[Latitude]],LEN(Registre_Maintenance_Part[[#This Row],[Latitude]])-SEARCH(",",Registre_Maintenance_Part[[#This Row],[Latitude]])))=6,Registre_Maintenance_Part[[#This Row],[Latitude]],"")</f>
        <v>-12.560556999999999</v>
      </c>
      <c r="I310">
        <f>IF(LEN(RIGHT(Registre_Maintenance_Part[[#This Row],[Longitude]],LEN(Registre_Maintenance_Part[[#This Row],[Longitude]])-SEARCH(",",Registre_Maintenance_Part[[#This Row],[Longitude]])))=6,Registre_Maintenance_Part[[#This Row],[Longitude]],"")</f>
        <v>13.204014000000001</v>
      </c>
    </row>
    <row r="311" spans="1:9" x14ac:dyDescent="0.3">
      <c r="A311" t="s">
        <v>1529</v>
      </c>
      <c r="B311" t="s">
        <v>1011</v>
      </c>
      <c r="C311" t="s">
        <v>83</v>
      </c>
      <c r="D311">
        <v>-4.8128659999999996</v>
      </c>
      <c r="E311">
        <v>18.559304999999998</v>
      </c>
      <c r="F311" t="s">
        <v>1426</v>
      </c>
      <c r="G311" t="s">
        <v>1432</v>
      </c>
      <c r="H311">
        <f>IF(LEN(RIGHT(Registre_Maintenance_Part[[#This Row],[Latitude]],LEN(Registre_Maintenance_Part[[#This Row],[Latitude]])-SEARCH(",",Registre_Maintenance_Part[[#This Row],[Latitude]])))=6,Registre_Maintenance_Part[[#This Row],[Latitude]],"")</f>
        <v>-4.8128659999999996</v>
      </c>
      <c r="I311">
        <f>IF(LEN(RIGHT(Registre_Maintenance_Part[[#This Row],[Longitude]],LEN(Registre_Maintenance_Part[[#This Row],[Longitude]])-SEARCH(",",Registre_Maintenance_Part[[#This Row],[Longitude]])))=6,Registre_Maintenance_Part[[#This Row],[Longitude]],"")</f>
        <v>18.559304999999998</v>
      </c>
    </row>
    <row r="312" spans="1:9" x14ac:dyDescent="0.3">
      <c r="A312" t="s">
        <v>1529</v>
      </c>
      <c r="B312" t="s">
        <v>1535</v>
      </c>
      <c r="C312" t="s">
        <v>118</v>
      </c>
      <c r="D312">
        <v>2.7355830000000001</v>
      </c>
      <c r="E312">
        <v>22.006969000000002</v>
      </c>
      <c r="F312" t="s">
        <v>1426</v>
      </c>
      <c r="G312" t="s">
        <v>1427</v>
      </c>
      <c r="H312">
        <f>IF(LEN(RIGHT(Registre_Maintenance_Part[[#This Row],[Latitude]],LEN(Registre_Maintenance_Part[[#This Row],[Latitude]])-SEARCH(",",Registre_Maintenance_Part[[#This Row],[Latitude]])))=6,Registre_Maintenance_Part[[#This Row],[Latitude]],"")</f>
        <v>2.7355830000000001</v>
      </c>
      <c r="I312">
        <f>IF(LEN(RIGHT(Registre_Maintenance_Part[[#This Row],[Longitude]],LEN(Registre_Maintenance_Part[[#This Row],[Longitude]])-SEARCH(",",Registre_Maintenance_Part[[#This Row],[Longitude]])))=6,Registre_Maintenance_Part[[#This Row],[Longitude]],"")</f>
        <v>22.006969000000002</v>
      </c>
    </row>
    <row r="313" spans="1:9" x14ac:dyDescent="0.3">
      <c r="A313" t="s">
        <v>1529</v>
      </c>
      <c r="B313" t="s">
        <v>862</v>
      </c>
      <c r="C313" t="s">
        <v>62</v>
      </c>
      <c r="D313">
        <v>-5.7035130000000001</v>
      </c>
      <c r="E313">
        <v>14.331479</v>
      </c>
      <c r="F313" t="s">
        <v>1426</v>
      </c>
      <c r="G313" t="s">
        <v>1438</v>
      </c>
      <c r="H313">
        <f>IF(LEN(RIGHT(Registre_Maintenance_Part[[#This Row],[Latitude]],LEN(Registre_Maintenance_Part[[#This Row],[Latitude]])-SEARCH(",",Registre_Maintenance_Part[[#This Row],[Latitude]])))=6,Registre_Maintenance_Part[[#This Row],[Latitude]],"")</f>
        <v>-5.7035130000000001</v>
      </c>
      <c r="I313">
        <f>IF(LEN(RIGHT(Registre_Maintenance_Part[[#This Row],[Longitude]],LEN(Registre_Maintenance_Part[[#This Row],[Longitude]])-SEARCH(",",Registre_Maintenance_Part[[#This Row],[Longitude]])))=6,Registre_Maintenance_Part[[#This Row],[Longitude]],"")</f>
        <v>14.331479</v>
      </c>
    </row>
    <row r="314" spans="1:9" x14ac:dyDescent="0.3">
      <c r="A314" t="s">
        <v>1529</v>
      </c>
      <c r="B314" t="s">
        <v>954</v>
      </c>
      <c r="C314" t="s">
        <v>17</v>
      </c>
      <c r="D314">
        <v>-6.3324319999999998</v>
      </c>
      <c r="E314">
        <v>24.887858000000001</v>
      </c>
      <c r="F314" t="s">
        <v>1429</v>
      </c>
      <c r="G314" t="s">
        <v>1432</v>
      </c>
      <c r="H314">
        <f>IF(LEN(RIGHT(Registre_Maintenance_Part[[#This Row],[Latitude]],LEN(Registre_Maintenance_Part[[#This Row],[Latitude]])-SEARCH(",",Registre_Maintenance_Part[[#This Row],[Latitude]])))=6,Registre_Maintenance_Part[[#This Row],[Latitude]],"")</f>
        <v>-6.3324319999999998</v>
      </c>
      <c r="I314">
        <f>IF(LEN(RIGHT(Registre_Maintenance_Part[[#This Row],[Longitude]],LEN(Registre_Maintenance_Part[[#This Row],[Longitude]])-SEARCH(",",Registre_Maintenance_Part[[#This Row],[Longitude]])))=6,Registre_Maintenance_Part[[#This Row],[Longitude]],"")</f>
        <v>24.887858000000001</v>
      </c>
    </row>
    <row r="315" spans="1:9" x14ac:dyDescent="0.3">
      <c r="A315" t="s">
        <v>1529</v>
      </c>
      <c r="B315" t="s">
        <v>1397</v>
      </c>
      <c r="C315" t="s">
        <v>9</v>
      </c>
      <c r="D315">
        <v>-4.6426759999999998</v>
      </c>
      <c r="E315">
        <v>22.124254000000001</v>
      </c>
      <c r="F315" t="s">
        <v>1429</v>
      </c>
      <c r="G315" t="s">
        <v>1432</v>
      </c>
      <c r="H315">
        <f>IF(LEN(RIGHT(Registre_Maintenance_Part[[#This Row],[Latitude]],LEN(Registre_Maintenance_Part[[#This Row],[Latitude]])-SEARCH(",",Registre_Maintenance_Part[[#This Row],[Latitude]])))=6,Registre_Maintenance_Part[[#This Row],[Latitude]],"")</f>
        <v>-4.6426759999999998</v>
      </c>
      <c r="I315">
        <f>IF(LEN(RIGHT(Registre_Maintenance_Part[[#This Row],[Longitude]],LEN(Registre_Maintenance_Part[[#This Row],[Longitude]])-SEARCH(",",Registre_Maintenance_Part[[#This Row],[Longitude]])))=6,Registre_Maintenance_Part[[#This Row],[Longitude]],"")</f>
        <v>22.124254000000001</v>
      </c>
    </row>
    <row r="316" spans="1:9" x14ac:dyDescent="0.3">
      <c r="A316" t="s">
        <v>1529</v>
      </c>
      <c r="B316" t="s">
        <v>1536</v>
      </c>
      <c r="C316" t="s">
        <v>17</v>
      </c>
      <c r="D316">
        <v>-1.598759</v>
      </c>
      <c r="E316">
        <v>17.553023</v>
      </c>
      <c r="F316" t="s">
        <v>1429</v>
      </c>
      <c r="G316" t="s">
        <v>1430</v>
      </c>
      <c r="H316">
        <f>IF(LEN(RIGHT(Registre_Maintenance_Part[[#This Row],[Latitude]],LEN(Registre_Maintenance_Part[[#This Row],[Latitude]])-SEARCH(",",Registre_Maintenance_Part[[#This Row],[Latitude]])))=6,Registre_Maintenance_Part[[#This Row],[Latitude]],"")</f>
        <v>-1.598759</v>
      </c>
      <c r="I316">
        <f>IF(LEN(RIGHT(Registre_Maintenance_Part[[#This Row],[Longitude]],LEN(Registre_Maintenance_Part[[#This Row],[Longitude]])-SEARCH(",",Registre_Maintenance_Part[[#This Row],[Longitude]])))=6,Registre_Maintenance_Part[[#This Row],[Longitude]],"")</f>
        <v>17.553023</v>
      </c>
    </row>
    <row r="317" spans="1:9" x14ac:dyDescent="0.3">
      <c r="A317" t="s">
        <v>1529</v>
      </c>
      <c r="B317" t="s">
        <v>1057</v>
      </c>
      <c r="C317" t="s">
        <v>54</v>
      </c>
      <c r="D317">
        <v>2.486888</v>
      </c>
      <c r="E317">
        <v>23.798074</v>
      </c>
      <c r="F317" t="s">
        <v>1426</v>
      </c>
      <c r="G317" t="s">
        <v>1432</v>
      </c>
      <c r="H317">
        <f>IF(LEN(RIGHT(Registre_Maintenance_Part[[#This Row],[Latitude]],LEN(Registre_Maintenance_Part[[#This Row],[Latitude]])-SEARCH(",",Registre_Maintenance_Part[[#This Row],[Latitude]])))=6,Registre_Maintenance_Part[[#This Row],[Latitude]],"")</f>
        <v>2.486888</v>
      </c>
      <c r="I317">
        <f>IF(LEN(RIGHT(Registre_Maintenance_Part[[#This Row],[Longitude]],LEN(Registre_Maintenance_Part[[#This Row],[Longitude]])-SEARCH(",",Registre_Maintenance_Part[[#This Row],[Longitude]])))=6,Registre_Maintenance_Part[[#This Row],[Longitude]],"")</f>
        <v>23.798074</v>
      </c>
    </row>
    <row r="318" spans="1:9" x14ac:dyDescent="0.3">
      <c r="A318" t="s">
        <v>1529</v>
      </c>
      <c r="B318" t="s">
        <v>1537</v>
      </c>
      <c r="C318" t="s">
        <v>54</v>
      </c>
      <c r="D318">
        <v>-11.727425</v>
      </c>
      <c r="E318">
        <v>27.198173000000001</v>
      </c>
      <c r="F318" t="s">
        <v>1431</v>
      </c>
      <c r="G318" t="s">
        <v>1427</v>
      </c>
      <c r="H318">
        <f>IF(LEN(RIGHT(Registre_Maintenance_Part[[#This Row],[Latitude]],LEN(Registre_Maintenance_Part[[#This Row],[Latitude]])-SEARCH(",",Registre_Maintenance_Part[[#This Row],[Latitude]])))=6,Registre_Maintenance_Part[[#This Row],[Latitude]],"")</f>
        <v>-11.727425</v>
      </c>
      <c r="I318">
        <f>IF(LEN(RIGHT(Registre_Maintenance_Part[[#This Row],[Longitude]],LEN(Registre_Maintenance_Part[[#This Row],[Longitude]])-SEARCH(",",Registre_Maintenance_Part[[#This Row],[Longitude]])))=6,Registre_Maintenance_Part[[#This Row],[Longitude]],"")</f>
        <v>27.198173000000001</v>
      </c>
    </row>
    <row r="319" spans="1:9" x14ac:dyDescent="0.3">
      <c r="A319" t="s">
        <v>1529</v>
      </c>
      <c r="B319" t="s">
        <v>1538</v>
      </c>
      <c r="C319" t="s">
        <v>83</v>
      </c>
      <c r="D319">
        <v>-12.411144999999999</v>
      </c>
      <c r="E319">
        <v>29.876642</v>
      </c>
      <c r="F319" t="s">
        <v>1429</v>
      </c>
      <c r="G319" t="s">
        <v>1427</v>
      </c>
      <c r="H319">
        <f>IF(LEN(RIGHT(Registre_Maintenance_Part[[#This Row],[Latitude]],LEN(Registre_Maintenance_Part[[#This Row],[Latitude]])-SEARCH(",",Registre_Maintenance_Part[[#This Row],[Latitude]])))=6,Registre_Maintenance_Part[[#This Row],[Latitude]],"")</f>
        <v>-12.411144999999999</v>
      </c>
      <c r="I319">
        <f>IF(LEN(RIGHT(Registre_Maintenance_Part[[#This Row],[Longitude]],LEN(Registre_Maintenance_Part[[#This Row],[Longitude]])-SEARCH(",",Registre_Maintenance_Part[[#This Row],[Longitude]])))=6,Registre_Maintenance_Part[[#This Row],[Longitude]],"")</f>
        <v>29.876642</v>
      </c>
    </row>
    <row r="320" spans="1:9" x14ac:dyDescent="0.3">
      <c r="A320" t="s">
        <v>1529</v>
      </c>
      <c r="B320" t="s">
        <v>1539</v>
      </c>
      <c r="C320" t="s">
        <v>54</v>
      </c>
      <c r="D320">
        <v>-5.3337589999999997</v>
      </c>
      <c r="E320">
        <v>13.246924</v>
      </c>
      <c r="F320" t="s">
        <v>1431</v>
      </c>
      <c r="G320" t="s">
        <v>1427</v>
      </c>
      <c r="H320">
        <f>IF(LEN(RIGHT(Registre_Maintenance_Part[[#This Row],[Latitude]],LEN(Registre_Maintenance_Part[[#This Row],[Latitude]])-SEARCH(",",Registre_Maintenance_Part[[#This Row],[Latitude]])))=6,Registre_Maintenance_Part[[#This Row],[Latitude]],"")</f>
        <v>-5.3337589999999997</v>
      </c>
      <c r="I320">
        <f>IF(LEN(RIGHT(Registre_Maintenance_Part[[#This Row],[Longitude]],LEN(Registre_Maintenance_Part[[#This Row],[Longitude]])-SEARCH(",",Registre_Maintenance_Part[[#This Row],[Longitude]])))=6,Registre_Maintenance_Part[[#This Row],[Longitude]],"")</f>
        <v>13.246924</v>
      </c>
    </row>
    <row r="321" spans="1:9" x14ac:dyDescent="0.3">
      <c r="A321" t="s">
        <v>1529</v>
      </c>
      <c r="B321" t="s">
        <v>765</v>
      </c>
      <c r="C321" t="s">
        <v>83</v>
      </c>
      <c r="D321">
        <v>-8.1437910000000002</v>
      </c>
      <c r="E321">
        <v>28.946161</v>
      </c>
      <c r="F321" t="s">
        <v>1429</v>
      </c>
      <c r="G321" t="s">
        <v>1432</v>
      </c>
      <c r="H321">
        <f>IF(LEN(RIGHT(Registre_Maintenance_Part[[#This Row],[Latitude]],LEN(Registre_Maintenance_Part[[#This Row],[Latitude]])-SEARCH(",",Registre_Maintenance_Part[[#This Row],[Latitude]])))=6,Registre_Maintenance_Part[[#This Row],[Latitude]],"")</f>
        <v>-8.1437910000000002</v>
      </c>
      <c r="I321">
        <f>IF(LEN(RIGHT(Registre_Maintenance_Part[[#This Row],[Longitude]],LEN(Registre_Maintenance_Part[[#This Row],[Longitude]])-SEARCH(",",Registre_Maintenance_Part[[#This Row],[Longitude]])))=6,Registre_Maintenance_Part[[#This Row],[Longitude]],"")</f>
        <v>28.946161</v>
      </c>
    </row>
    <row r="322" spans="1:9" x14ac:dyDescent="0.3">
      <c r="A322" t="s">
        <v>1529</v>
      </c>
      <c r="B322" t="s">
        <v>1540</v>
      </c>
      <c r="C322" t="s">
        <v>41</v>
      </c>
      <c r="D322">
        <v>4.0297190000000001</v>
      </c>
      <c r="E322">
        <v>20.699608000000001</v>
      </c>
      <c r="F322" t="s">
        <v>1429</v>
      </c>
      <c r="G322" t="s">
        <v>1427</v>
      </c>
      <c r="H322">
        <f>IF(LEN(RIGHT(Registre_Maintenance_Part[[#This Row],[Latitude]],LEN(Registre_Maintenance_Part[[#This Row],[Latitude]])-SEARCH(",",Registre_Maintenance_Part[[#This Row],[Latitude]])))=6,Registre_Maintenance_Part[[#This Row],[Latitude]],"")</f>
        <v>4.0297190000000001</v>
      </c>
      <c r="I322">
        <f>IF(LEN(RIGHT(Registre_Maintenance_Part[[#This Row],[Longitude]],LEN(Registre_Maintenance_Part[[#This Row],[Longitude]])-SEARCH(",",Registre_Maintenance_Part[[#This Row],[Longitude]])))=6,Registre_Maintenance_Part[[#This Row],[Longitude]],"")</f>
        <v>20.699608000000001</v>
      </c>
    </row>
    <row r="323" spans="1:9" x14ac:dyDescent="0.3">
      <c r="A323" t="s">
        <v>1529</v>
      </c>
      <c r="B323" t="s">
        <v>1541</v>
      </c>
      <c r="C323" t="s">
        <v>83</v>
      </c>
      <c r="D323">
        <v>-3.2361680000000002</v>
      </c>
      <c r="E323">
        <v>13.523237999999999</v>
      </c>
      <c r="F323" t="s">
        <v>1429</v>
      </c>
      <c r="G323" t="s">
        <v>1430</v>
      </c>
      <c r="H323">
        <f>IF(LEN(RIGHT(Registre_Maintenance_Part[[#This Row],[Latitude]],LEN(Registre_Maintenance_Part[[#This Row],[Latitude]])-SEARCH(",",Registre_Maintenance_Part[[#This Row],[Latitude]])))=6,Registre_Maintenance_Part[[#This Row],[Latitude]],"")</f>
        <v>-3.2361680000000002</v>
      </c>
      <c r="I323">
        <f>IF(LEN(RIGHT(Registre_Maintenance_Part[[#This Row],[Longitude]],LEN(Registre_Maintenance_Part[[#This Row],[Longitude]])-SEARCH(",",Registre_Maintenance_Part[[#This Row],[Longitude]])))=6,Registre_Maintenance_Part[[#This Row],[Longitude]],"")</f>
        <v>13.523237999999999</v>
      </c>
    </row>
    <row r="324" spans="1:9" x14ac:dyDescent="0.3">
      <c r="A324" t="s">
        <v>1529</v>
      </c>
      <c r="B324" t="s">
        <v>1150</v>
      </c>
      <c r="C324" t="s">
        <v>61</v>
      </c>
      <c r="D324">
        <v>1.3006180000000001</v>
      </c>
      <c r="E324">
        <v>29.060970999999999</v>
      </c>
      <c r="F324" t="s">
        <v>1431</v>
      </c>
      <c r="G324" t="s">
        <v>1432</v>
      </c>
      <c r="H324">
        <f>IF(LEN(RIGHT(Registre_Maintenance_Part[[#This Row],[Latitude]],LEN(Registre_Maintenance_Part[[#This Row],[Latitude]])-SEARCH(",",Registre_Maintenance_Part[[#This Row],[Latitude]])))=6,Registre_Maintenance_Part[[#This Row],[Latitude]],"")</f>
        <v>1.3006180000000001</v>
      </c>
      <c r="I324">
        <f>IF(LEN(RIGHT(Registre_Maintenance_Part[[#This Row],[Longitude]],LEN(Registre_Maintenance_Part[[#This Row],[Longitude]])-SEARCH(",",Registre_Maintenance_Part[[#This Row],[Longitude]])))=6,Registre_Maintenance_Part[[#This Row],[Longitude]],"")</f>
        <v>29.060970999999999</v>
      </c>
    </row>
    <row r="325" spans="1:9" x14ac:dyDescent="0.3">
      <c r="A325" t="s">
        <v>1529</v>
      </c>
      <c r="B325" t="s">
        <v>1542</v>
      </c>
      <c r="C325" t="s">
        <v>9</v>
      </c>
      <c r="D325">
        <v>1.178453</v>
      </c>
      <c r="E325">
        <v>17.479081000000001</v>
      </c>
      <c r="F325" t="s">
        <v>1431</v>
      </c>
      <c r="G325" t="s">
        <v>1427</v>
      </c>
      <c r="H325">
        <f>IF(LEN(RIGHT(Registre_Maintenance_Part[[#This Row],[Latitude]],LEN(Registre_Maintenance_Part[[#This Row],[Latitude]])-SEARCH(",",Registre_Maintenance_Part[[#This Row],[Latitude]])))=6,Registre_Maintenance_Part[[#This Row],[Latitude]],"")</f>
        <v>1.178453</v>
      </c>
      <c r="I325">
        <f>IF(LEN(RIGHT(Registre_Maintenance_Part[[#This Row],[Longitude]],LEN(Registre_Maintenance_Part[[#This Row],[Longitude]])-SEARCH(",",Registre_Maintenance_Part[[#This Row],[Longitude]])))=6,Registre_Maintenance_Part[[#This Row],[Longitude]],"")</f>
        <v>17.479081000000001</v>
      </c>
    </row>
    <row r="326" spans="1:9" x14ac:dyDescent="0.3">
      <c r="A326" t="s">
        <v>1529</v>
      </c>
      <c r="B326" t="s">
        <v>1543</v>
      </c>
      <c r="C326" t="s">
        <v>59</v>
      </c>
      <c r="D326">
        <v>-11.542737000000001</v>
      </c>
      <c r="E326">
        <v>30.175912</v>
      </c>
      <c r="F326" t="s">
        <v>1429</v>
      </c>
      <c r="G326" t="s">
        <v>1438</v>
      </c>
      <c r="H326">
        <f>IF(LEN(RIGHT(Registre_Maintenance_Part[[#This Row],[Latitude]],LEN(Registre_Maintenance_Part[[#This Row],[Latitude]])-SEARCH(",",Registre_Maintenance_Part[[#This Row],[Latitude]])))=6,Registre_Maintenance_Part[[#This Row],[Latitude]],"")</f>
        <v>-11.542737000000001</v>
      </c>
      <c r="I326">
        <f>IF(LEN(RIGHT(Registre_Maintenance_Part[[#This Row],[Longitude]],LEN(Registre_Maintenance_Part[[#This Row],[Longitude]])-SEARCH(",",Registre_Maintenance_Part[[#This Row],[Longitude]])))=6,Registre_Maintenance_Part[[#This Row],[Longitude]],"")</f>
        <v>30.175912</v>
      </c>
    </row>
    <row r="327" spans="1:9" x14ac:dyDescent="0.3">
      <c r="A327" t="s">
        <v>1529</v>
      </c>
      <c r="B327" t="s">
        <v>1544</v>
      </c>
      <c r="C327" t="s">
        <v>24</v>
      </c>
      <c r="D327">
        <v>0.24369399999999999</v>
      </c>
      <c r="E327">
        <v>17.242912</v>
      </c>
      <c r="F327" t="s">
        <v>1429</v>
      </c>
      <c r="G327" t="s">
        <v>1438</v>
      </c>
      <c r="H327">
        <f>IF(LEN(RIGHT(Registre_Maintenance_Part[[#This Row],[Latitude]],LEN(Registre_Maintenance_Part[[#This Row],[Latitude]])-SEARCH(",",Registre_Maintenance_Part[[#This Row],[Latitude]])))=6,Registre_Maintenance_Part[[#This Row],[Latitude]],"")</f>
        <v>0.24369399999999999</v>
      </c>
      <c r="I327">
        <f>IF(LEN(RIGHT(Registre_Maintenance_Part[[#This Row],[Longitude]],LEN(Registre_Maintenance_Part[[#This Row],[Longitude]])-SEARCH(",",Registre_Maintenance_Part[[#This Row],[Longitude]])))=6,Registre_Maintenance_Part[[#This Row],[Longitude]],"")</f>
        <v>17.242912</v>
      </c>
    </row>
    <row r="328" spans="1:9" x14ac:dyDescent="0.3">
      <c r="A328" t="s">
        <v>1529</v>
      </c>
      <c r="B328" t="s">
        <v>1545</v>
      </c>
      <c r="C328" t="s">
        <v>59</v>
      </c>
      <c r="D328">
        <v>2.9836019999999999</v>
      </c>
      <c r="E328">
        <v>21.893065</v>
      </c>
      <c r="F328" t="s">
        <v>1426</v>
      </c>
      <c r="G328" t="s">
        <v>1438</v>
      </c>
      <c r="H328">
        <f>IF(LEN(RIGHT(Registre_Maintenance_Part[[#This Row],[Latitude]],LEN(Registre_Maintenance_Part[[#This Row],[Latitude]])-SEARCH(",",Registre_Maintenance_Part[[#This Row],[Latitude]])))=6,Registre_Maintenance_Part[[#This Row],[Latitude]],"")</f>
        <v>2.9836019999999999</v>
      </c>
      <c r="I328">
        <f>IF(LEN(RIGHT(Registre_Maintenance_Part[[#This Row],[Longitude]],LEN(Registre_Maintenance_Part[[#This Row],[Longitude]])-SEARCH(",",Registre_Maintenance_Part[[#This Row],[Longitude]])))=6,Registre_Maintenance_Part[[#This Row],[Longitude]],"")</f>
        <v>21.893065</v>
      </c>
    </row>
    <row r="329" spans="1:9" x14ac:dyDescent="0.3">
      <c r="A329" t="s">
        <v>1529</v>
      </c>
      <c r="B329" t="s">
        <v>1065</v>
      </c>
      <c r="C329" t="s">
        <v>9</v>
      </c>
      <c r="D329">
        <v>-11.002602</v>
      </c>
      <c r="E329">
        <v>23.918247999999998</v>
      </c>
      <c r="F329" t="s">
        <v>1426</v>
      </c>
      <c r="G329" t="s">
        <v>1432</v>
      </c>
      <c r="H329">
        <f>IF(LEN(RIGHT(Registre_Maintenance_Part[[#This Row],[Latitude]],LEN(Registre_Maintenance_Part[[#This Row],[Latitude]])-SEARCH(",",Registre_Maintenance_Part[[#This Row],[Latitude]])))=6,Registre_Maintenance_Part[[#This Row],[Latitude]],"")</f>
        <v>-11.002602</v>
      </c>
      <c r="I329">
        <f>IF(LEN(RIGHT(Registre_Maintenance_Part[[#This Row],[Longitude]],LEN(Registre_Maintenance_Part[[#This Row],[Longitude]])-SEARCH(",",Registre_Maintenance_Part[[#This Row],[Longitude]])))=6,Registre_Maintenance_Part[[#This Row],[Longitude]],"")</f>
        <v>23.918247999999998</v>
      </c>
    </row>
    <row r="330" spans="1:9" x14ac:dyDescent="0.3">
      <c r="A330" t="s">
        <v>1529</v>
      </c>
      <c r="B330" t="s">
        <v>1546</v>
      </c>
      <c r="C330" t="s">
        <v>68</v>
      </c>
      <c r="D330">
        <v>-6.419365</v>
      </c>
      <c r="E330">
        <v>17.570219000000002</v>
      </c>
      <c r="F330" t="s">
        <v>1429</v>
      </c>
      <c r="G330" t="s">
        <v>1430</v>
      </c>
      <c r="H330">
        <f>IF(LEN(RIGHT(Registre_Maintenance_Part[[#This Row],[Latitude]],LEN(Registre_Maintenance_Part[[#This Row],[Latitude]])-SEARCH(",",Registre_Maintenance_Part[[#This Row],[Latitude]])))=6,Registre_Maintenance_Part[[#This Row],[Latitude]],"")</f>
        <v>-6.419365</v>
      </c>
      <c r="I330">
        <f>IF(LEN(RIGHT(Registre_Maintenance_Part[[#This Row],[Longitude]],LEN(Registre_Maintenance_Part[[#This Row],[Longitude]])-SEARCH(",",Registre_Maintenance_Part[[#This Row],[Longitude]])))=6,Registre_Maintenance_Part[[#This Row],[Longitude]],"")</f>
        <v>17.570219000000002</v>
      </c>
    </row>
    <row r="331" spans="1:9" x14ac:dyDescent="0.3">
      <c r="A331" t="s">
        <v>1529</v>
      </c>
      <c r="B331" t="s">
        <v>929</v>
      </c>
      <c r="C331" t="s">
        <v>122</v>
      </c>
      <c r="D331">
        <v>-1.8555980000000001</v>
      </c>
      <c r="E331">
        <v>30.421918000000002</v>
      </c>
      <c r="F331" t="s">
        <v>1431</v>
      </c>
      <c r="G331" t="s">
        <v>1432</v>
      </c>
      <c r="H331">
        <f>IF(LEN(RIGHT(Registre_Maintenance_Part[[#This Row],[Latitude]],LEN(Registre_Maintenance_Part[[#This Row],[Latitude]])-SEARCH(",",Registre_Maintenance_Part[[#This Row],[Latitude]])))=6,Registre_Maintenance_Part[[#This Row],[Latitude]],"")</f>
        <v>-1.8555980000000001</v>
      </c>
      <c r="I331">
        <f>IF(LEN(RIGHT(Registre_Maintenance_Part[[#This Row],[Longitude]],LEN(Registre_Maintenance_Part[[#This Row],[Longitude]])-SEARCH(",",Registre_Maintenance_Part[[#This Row],[Longitude]])))=6,Registre_Maintenance_Part[[#This Row],[Longitude]],"")</f>
        <v>30.421918000000002</v>
      </c>
    </row>
    <row r="332" spans="1:9" x14ac:dyDescent="0.3">
      <c r="A332" t="s">
        <v>1529</v>
      </c>
      <c r="B332" t="s">
        <v>1059</v>
      </c>
      <c r="C332" t="s">
        <v>24</v>
      </c>
      <c r="D332">
        <v>-6.4197189999999997</v>
      </c>
      <c r="E332">
        <v>22.287264</v>
      </c>
      <c r="F332" t="s">
        <v>1431</v>
      </c>
      <c r="G332" t="s">
        <v>1427</v>
      </c>
      <c r="H332">
        <f>IF(LEN(RIGHT(Registre_Maintenance_Part[[#This Row],[Latitude]],LEN(Registre_Maintenance_Part[[#This Row],[Latitude]])-SEARCH(",",Registre_Maintenance_Part[[#This Row],[Latitude]])))=6,Registre_Maintenance_Part[[#This Row],[Latitude]],"")</f>
        <v>-6.4197189999999997</v>
      </c>
      <c r="I332">
        <f>IF(LEN(RIGHT(Registre_Maintenance_Part[[#This Row],[Longitude]],LEN(Registre_Maintenance_Part[[#This Row],[Longitude]])-SEARCH(",",Registre_Maintenance_Part[[#This Row],[Longitude]])))=6,Registre_Maintenance_Part[[#This Row],[Longitude]],"")</f>
        <v>22.287264</v>
      </c>
    </row>
    <row r="333" spans="1:9" x14ac:dyDescent="0.3">
      <c r="A333" t="s">
        <v>1529</v>
      </c>
      <c r="B333" t="s">
        <v>797</v>
      </c>
      <c r="C333" t="s">
        <v>23</v>
      </c>
      <c r="D333">
        <v>-2.9417719999999998</v>
      </c>
      <c r="E333">
        <v>18.587305000000001</v>
      </c>
      <c r="F333" t="s">
        <v>1426</v>
      </c>
      <c r="G333" t="s">
        <v>1427</v>
      </c>
      <c r="H333">
        <f>IF(LEN(RIGHT(Registre_Maintenance_Part[[#This Row],[Latitude]],LEN(Registre_Maintenance_Part[[#This Row],[Latitude]])-SEARCH(",",Registre_Maintenance_Part[[#This Row],[Latitude]])))=6,Registre_Maintenance_Part[[#This Row],[Latitude]],"")</f>
        <v>-2.9417719999999998</v>
      </c>
      <c r="I333">
        <f>IF(LEN(RIGHT(Registre_Maintenance_Part[[#This Row],[Longitude]],LEN(Registre_Maintenance_Part[[#This Row],[Longitude]])-SEARCH(",",Registre_Maintenance_Part[[#This Row],[Longitude]])))=6,Registre_Maintenance_Part[[#This Row],[Longitude]],"")</f>
        <v>18.587305000000001</v>
      </c>
    </row>
    <row r="334" spans="1:9" x14ac:dyDescent="0.3">
      <c r="A334" t="s">
        <v>1529</v>
      </c>
      <c r="B334" t="s">
        <v>1143</v>
      </c>
      <c r="C334" t="s">
        <v>35</v>
      </c>
      <c r="D334">
        <v>-11.793894</v>
      </c>
      <c r="E334">
        <v>20.433340999999999</v>
      </c>
      <c r="F334" t="s">
        <v>1426</v>
      </c>
      <c r="G334" t="s">
        <v>1438</v>
      </c>
      <c r="H334">
        <f>IF(LEN(RIGHT(Registre_Maintenance_Part[[#This Row],[Latitude]],LEN(Registre_Maintenance_Part[[#This Row],[Latitude]])-SEARCH(",",Registre_Maintenance_Part[[#This Row],[Latitude]])))=6,Registre_Maintenance_Part[[#This Row],[Latitude]],"")</f>
        <v>-11.793894</v>
      </c>
      <c r="I334">
        <f>IF(LEN(RIGHT(Registre_Maintenance_Part[[#This Row],[Longitude]],LEN(Registre_Maintenance_Part[[#This Row],[Longitude]])-SEARCH(",",Registre_Maintenance_Part[[#This Row],[Longitude]])))=6,Registre_Maintenance_Part[[#This Row],[Longitude]],"")</f>
        <v>20.433340999999999</v>
      </c>
    </row>
    <row r="335" spans="1:9" x14ac:dyDescent="0.3">
      <c r="A335" t="s">
        <v>1547</v>
      </c>
      <c r="B335" t="s">
        <v>1548</v>
      </c>
      <c r="C335" t="s">
        <v>54</v>
      </c>
      <c r="D335">
        <v>0.114899</v>
      </c>
      <c r="E335">
        <v>30.510916000000002</v>
      </c>
      <c r="F335" t="s">
        <v>1431</v>
      </c>
      <c r="G335" t="s">
        <v>1438</v>
      </c>
      <c r="H335">
        <f>IF(LEN(RIGHT(Registre_Maintenance_Part[[#This Row],[Latitude]],LEN(Registre_Maintenance_Part[[#This Row],[Latitude]])-SEARCH(",",Registre_Maintenance_Part[[#This Row],[Latitude]])))=6,Registre_Maintenance_Part[[#This Row],[Latitude]],"")</f>
        <v>0.114899</v>
      </c>
      <c r="I335">
        <f>IF(LEN(RIGHT(Registre_Maintenance_Part[[#This Row],[Longitude]],LEN(Registre_Maintenance_Part[[#This Row],[Longitude]])-SEARCH(",",Registre_Maintenance_Part[[#This Row],[Longitude]])))=6,Registre_Maintenance_Part[[#This Row],[Longitude]],"")</f>
        <v>30.510916000000002</v>
      </c>
    </row>
    <row r="336" spans="1:9" x14ac:dyDescent="0.3">
      <c r="A336" t="s">
        <v>1547</v>
      </c>
      <c r="B336" t="s">
        <v>794</v>
      </c>
      <c r="C336" t="s">
        <v>23</v>
      </c>
      <c r="D336">
        <v>-5.5445120000000001</v>
      </c>
      <c r="E336">
        <v>27.547335</v>
      </c>
      <c r="F336" t="s">
        <v>1429</v>
      </c>
      <c r="G336" t="s">
        <v>1427</v>
      </c>
      <c r="H336">
        <f>IF(LEN(RIGHT(Registre_Maintenance_Part[[#This Row],[Latitude]],LEN(Registre_Maintenance_Part[[#This Row],[Latitude]])-SEARCH(",",Registre_Maintenance_Part[[#This Row],[Latitude]])))=6,Registre_Maintenance_Part[[#This Row],[Latitude]],"")</f>
        <v>-5.5445120000000001</v>
      </c>
      <c r="I336">
        <f>IF(LEN(RIGHT(Registre_Maintenance_Part[[#This Row],[Longitude]],LEN(Registre_Maintenance_Part[[#This Row],[Longitude]])-SEARCH(",",Registre_Maintenance_Part[[#This Row],[Longitude]])))=6,Registre_Maintenance_Part[[#This Row],[Longitude]],"")</f>
        <v>27.547335</v>
      </c>
    </row>
    <row r="337" spans="1:9" x14ac:dyDescent="0.3">
      <c r="A337" t="s">
        <v>1547</v>
      </c>
      <c r="B337" t="s">
        <v>1119</v>
      </c>
      <c r="C337" t="s">
        <v>126</v>
      </c>
      <c r="D337">
        <v>2.0392079999999999</v>
      </c>
      <c r="E337">
        <v>19.090841999999999</v>
      </c>
      <c r="F337" t="s">
        <v>1429</v>
      </c>
      <c r="G337" t="s">
        <v>1438</v>
      </c>
      <c r="H337">
        <f>IF(LEN(RIGHT(Registre_Maintenance_Part[[#This Row],[Latitude]],LEN(Registre_Maintenance_Part[[#This Row],[Latitude]])-SEARCH(",",Registre_Maintenance_Part[[#This Row],[Latitude]])))=6,Registre_Maintenance_Part[[#This Row],[Latitude]],"")</f>
        <v>2.0392079999999999</v>
      </c>
      <c r="I337">
        <f>IF(LEN(RIGHT(Registre_Maintenance_Part[[#This Row],[Longitude]],LEN(Registre_Maintenance_Part[[#This Row],[Longitude]])-SEARCH(",",Registre_Maintenance_Part[[#This Row],[Longitude]])))=6,Registre_Maintenance_Part[[#This Row],[Longitude]],"")</f>
        <v>19.090841999999999</v>
      </c>
    </row>
    <row r="338" spans="1:9" x14ac:dyDescent="0.3">
      <c r="A338" t="s">
        <v>1547</v>
      </c>
      <c r="B338" t="s">
        <v>751</v>
      </c>
      <c r="C338" t="s">
        <v>62</v>
      </c>
      <c r="D338">
        <v>-2.2371569999999998</v>
      </c>
      <c r="E338">
        <v>25.926188</v>
      </c>
      <c r="F338" t="s">
        <v>1431</v>
      </c>
      <c r="G338" t="s">
        <v>1438</v>
      </c>
      <c r="H338">
        <f>IF(LEN(RIGHT(Registre_Maintenance_Part[[#This Row],[Latitude]],LEN(Registre_Maintenance_Part[[#This Row],[Latitude]])-SEARCH(",",Registre_Maintenance_Part[[#This Row],[Latitude]])))=6,Registre_Maintenance_Part[[#This Row],[Latitude]],"")</f>
        <v>-2.2371569999999998</v>
      </c>
      <c r="I338">
        <f>IF(LEN(RIGHT(Registre_Maintenance_Part[[#This Row],[Longitude]],LEN(Registre_Maintenance_Part[[#This Row],[Longitude]])-SEARCH(",",Registre_Maintenance_Part[[#This Row],[Longitude]])))=6,Registre_Maintenance_Part[[#This Row],[Longitude]],"")</f>
        <v>25.926188</v>
      </c>
    </row>
    <row r="339" spans="1:9" x14ac:dyDescent="0.3">
      <c r="A339" t="s">
        <v>1547</v>
      </c>
      <c r="B339" t="s">
        <v>865</v>
      </c>
      <c r="C339" t="s">
        <v>31</v>
      </c>
      <c r="D339">
        <v>-10.414493</v>
      </c>
      <c r="E339">
        <v>12.333356999999999</v>
      </c>
      <c r="F339" t="s">
        <v>1431</v>
      </c>
      <c r="G339" t="s">
        <v>1427</v>
      </c>
      <c r="H339">
        <f>IF(LEN(RIGHT(Registre_Maintenance_Part[[#This Row],[Latitude]],LEN(Registre_Maintenance_Part[[#This Row],[Latitude]])-SEARCH(",",Registre_Maintenance_Part[[#This Row],[Latitude]])))=6,Registre_Maintenance_Part[[#This Row],[Latitude]],"")</f>
        <v>-10.414493</v>
      </c>
      <c r="I339">
        <f>IF(LEN(RIGHT(Registre_Maintenance_Part[[#This Row],[Longitude]],LEN(Registre_Maintenance_Part[[#This Row],[Longitude]])-SEARCH(",",Registre_Maintenance_Part[[#This Row],[Longitude]])))=6,Registre_Maintenance_Part[[#This Row],[Longitude]],"")</f>
        <v>12.333356999999999</v>
      </c>
    </row>
    <row r="340" spans="1:9" x14ac:dyDescent="0.3">
      <c r="A340" t="s">
        <v>1547</v>
      </c>
      <c r="B340" t="s">
        <v>1549</v>
      </c>
      <c r="C340" t="s">
        <v>37</v>
      </c>
      <c r="D340">
        <v>4.7908840000000001</v>
      </c>
      <c r="E340">
        <v>23.051435000000001</v>
      </c>
      <c r="F340" t="s">
        <v>1431</v>
      </c>
      <c r="G340" t="s">
        <v>1438</v>
      </c>
      <c r="H340">
        <f>IF(LEN(RIGHT(Registre_Maintenance_Part[[#This Row],[Latitude]],LEN(Registre_Maintenance_Part[[#This Row],[Latitude]])-SEARCH(",",Registre_Maintenance_Part[[#This Row],[Latitude]])))=6,Registre_Maintenance_Part[[#This Row],[Latitude]],"")</f>
        <v>4.7908840000000001</v>
      </c>
      <c r="I340">
        <f>IF(LEN(RIGHT(Registre_Maintenance_Part[[#This Row],[Longitude]],LEN(Registre_Maintenance_Part[[#This Row],[Longitude]])-SEARCH(",",Registre_Maintenance_Part[[#This Row],[Longitude]])))=6,Registre_Maintenance_Part[[#This Row],[Longitude]],"")</f>
        <v>23.051435000000001</v>
      </c>
    </row>
    <row r="341" spans="1:9" x14ac:dyDescent="0.3">
      <c r="A341" t="s">
        <v>1547</v>
      </c>
      <c r="B341" t="s">
        <v>1550</v>
      </c>
      <c r="C341" t="s">
        <v>57</v>
      </c>
      <c r="D341">
        <v>-3.544581</v>
      </c>
      <c r="E341">
        <v>14.776605</v>
      </c>
      <c r="F341" t="s">
        <v>1429</v>
      </c>
      <c r="G341" t="s">
        <v>1438</v>
      </c>
      <c r="H341">
        <f>IF(LEN(RIGHT(Registre_Maintenance_Part[[#This Row],[Latitude]],LEN(Registre_Maintenance_Part[[#This Row],[Latitude]])-SEARCH(",",Registre_Maintenance_Part[[#This Row],[Latitude]])))=6,Registre_Maintenance_Part[[#This Row],[Latitude]],"")</f>
        <v>-3.544581</v>
      </c>
      <c r="I341">
        <f>IF(LEN(RIGHT(Registre_Maintenance_Part[[#This Row],[Longitude]],LEN(Registre_Maintenance_Part[[#This Row],[Longitude]])-SEARCH(",",Registre_Maintenance_Part[[#This Row],[Longitude]])))=6,Registre_Maintenance_Part[[#This Row],[Longitude]],"")</f>
        <v>14.776605</v>
      </c>
    </row>
    <row r="342" spans="1:9" x14ac:dyDescent="0.3">
      <c r="A342" t="s">
        <v>1547</v>
      </c>
      <c r="B342" t="s">
        <v>1077</v>
      </c>
      <c r="C342" t="s">
        <v>118</v>
      </c>
      <c r="D342">
        <v>-6.9624990000000002</v>
      </c>
      <c r="E342">
        <v>20.759834999999999</v>
      </c>
      <c r="F342" t="s">
        <v>1429</v>
      </c>
      <c r="G342" t="s">
        <v>1430</v>
      </c>
      <c r="H342">
        <f>IF(LEN(RIGHT(Registre_Maintenance_Part[[#This Row],[Latitude]],LEN(Registre_Maintenance_Part[[#This Row],[Latitude]])-SEARCH(",",Registre_Maintenance_Part[[#This Row],[Latitude]])))=6,Registre_Maintenance_Part[[#This Row],[Latitude]],"")</f>
        <v>-6.9624990000000002</v>
      </c>
      <c r="I342">
        <f>IF(LEN(RIGHT(Registre_Maintenance_Part[[#This Row],[Longitude]],LEN(Registre_Maintenance_Part[[#This Row],[Longitude]])-SEARCH(",",Registre_Maintenance_Part[[#This Row],[Longitude]])))=6,Registre_Maintenance_Part[[#This Row],[Longitude]],"")</f>
        <v>20.759834999999999</v>
      </c>
    </row>
    <row r="343" spans="1:9" x14ac:dyDescent="0.3">
      <c r="A343" t="s">
        <v>1547</v>
      </c>
      <c r="B343" t="s">
        <v>1551</v>
      </c>
      <c r="C343" t="s">
        <v>12</v>
      </c>
      <c r="D343">
        <v>3.796754</v>
      </c>
      <c r="E343">
        <v>25.172377999999998</v>
      </c>
      <c r="F343" t="s">
        <v>1429</v>
      </c>
      <c r="G343" t="s">
        <v>1430</v>
      </c>
      <c r="H343">
        <f>IF(LEN(RIGHT(Registre_Maintenance_Part[[#This Row],[Latitude]],LEN(Registre_Maintenance_Part[[#This Row],[Latitude]])-SEARCH(",",Registre_Maintenance_Part[[#This Row],[Latitude]])))=6,Registre_Maintenance_Part[[#This Row],[Latitude]],"")</f>
        <v>3.796754</v>
      </c>
      <c r="I343">
        <f>IF(LEN(RIGHT(Registre_Maintenance_Part[[#This Row],[Longitude]],LEN(Registre_Maintenance_Part[[#This Row],[Longitude]])-SEARCH(",",Registre_Maintenance_Part[[#This Row],[Longitude]])))=6,Registre_Maintenance_Part[[#This Row],[Longitude]],"")</f>
        <v>25.172377999999998</v>
      </c>
    </row>
    <row r="344" spans="1:9" x14ac:dyDescent="0.3">
      <c r="A344" t="s">
        <v>1547</v>
      </c>
      <c r="B344" t="s">
        <v>1552</v>
      </c>
      <c r="C344" t="s">
        <v>37</v>
      </c>
      <c r="D344">
        <v>-6.236097</v>
      </c>
      <c r="E344">
        <v>13.004878</v>
      </c>
      <c r="F344" t="s">
        <v>1429</v>
      </c>
      <c r="G344" t="s">
        <v>1427</v>
      </c>
      <c r="H344">
        <f>IF(LEN(RIGHT(Registre_Maintenance_Part[[#This Row],[Latitude]],LEN(Registre_Maintenance_Part[[#This Row],[Latitude]])-SEARCH(",",Registre_Maintenance_Part[[#This Row],[Latitude]])))=6,Registre_Maintenance_Part[[#This Row],[Latitude]],"")</f>
        <v>-6.236097</v>
      </c>
      <c r="I344">
        <f>IF(LEN(RIGHT(Registre_Maintenance_Part[[#This Row],[Longitude]],LEN(Registre_Maintenance_Part[[#This Row],[Longitude]])-SEARCH(",",Registre_Maintenance_Part[[#This Row],[Longitude]])))=6,Registre_Maintenance_Part[[#This Row],[Longitude]],"")</f>
        <v>13.004878</v>
      </c>
    </row>
    <row r="345" spans="1:9" x14ac:dyDescent="0.3">
      <c r="A345" t="s">
        <v>1547</v>
      </c>
      <c r="B345" t="s">
        <v>1553</v>
      </c>
      <c r="C345" t="s">
        <v>122</v>
      </c>
      <c r="D345">
        <v>-1.501492</v>
      </c>
      <c r="E345">
        <v>24.088695999999999</v>
      </c>
      <c r="F345" t="s">
        <v>1429</v>
      </c>
      <c r="G345" t="s">
        <v>1438</v>
      </c>
      <c r="H345">
        <f>IF(LEN(RIGHT(Registre_Maintenance_Part[[#This Row],[Latitude]],LEN(Registre_Maintenance_Part[[#This Row],[Latitude]])-SEARCH(",",Registre_Maintenance_Part[[#This Row],[Latitude]])))=6,Registre_Maintenance_Part[[#This Row],[Latitude]],"")</f>
        <v>-1.501492</v>
      </c>
      <c r="I345">
        <f>IF(LEN(RIGHT(Registre_Maintenance_Part[[#This Row],[Longitude]],LEN(Registre_Maintenance_Part[[#This Row],[Longitude]])-SEARCH(",",Registre_Maintenance_Part[[#This Row],[Longitude]])))=6,Registre_Maintenance_Part[[#This Row],[Longitude]],"")</f>
        <v>24.088695999999999</v>
      </c>
    </row>
    <row r="346" spans="1:9" x14ac:dyDescent="0.3">
      <c r="A346" t="s">
        <v>1547</v>
      </c>
      <c r="B346" t="s">
        <v>1399</v>
      </c>
      <c r="C346" t="s">
        <v>31</v>
      </c>
      <c r="D346">
        <v>-8.0800809999999998</v>
      </c>
      <c r="E346">
        <v>30.147970999999998</v>
      </c>
      <c r="F346" t="s">
        <v>1426</v>
      </c>
      <c r="G346" t="s">
        <v>1430</v>
      </c>
      <c r="H346">
        <f>IF(LEN(RIGHT(Registre_Maintenance_Part[[#This Row],[Latitude]],LEN(Registre_Maintenance_Part[[#This Row],[Latitude]])-SEARCH(",",Registre_Maintenance_Part[[#This Row],[Latitude]])))=6,Registre_Maintenance_Part[[#This Row],[Latitude]],"")</f>
        <v>-8.0800809999999998</v>
      </c>
      <c r="I346">
        <f>IF(LEN(RIGHT(Registre_Maintenance_Part[[#This Row],[Longitude]],LEN(Registre_Maintenance_Part[[#This Row],[Longitude]])-SEARCH(",",Registre_Maintenance_Part[[#This Row],[Longitude]])))=6,Registre_Maintenance_Part[[#This Row],[Longitude]],"")</f>
        <v>30.147970999999998</v>
      </c>
    </row>
    <row r="347" spans="1:9" x14ac:dyDescent="0.3">
      <c r="A347" t="s">
        <v>1547</v>
      </c>
      <c r="B347" t="s">
        <v>1554</v>
      </c>
      <c r="C347" t="s">
        <v>24</v>
      </c>
      <c r="D347">
        <v>-9.8519260000000006</v>
      </c>
      <c r="E347">
        <v>12.925583</v>
      </c>
      <c r="F347" t="s">
        <v>1426</v>
      </c>
      <c r="G347" t="s">
        <v>1427</v>
      </c>
      <c r="H347">
        <f>IF(LEN(RIGHT(Registre_Maintenance_Part[[#This Row],[Latitude]],LEN(Registre_Maintenance_Part[[#This Row],[Latitude]])-SEARCH(",",Registre_Maintenance_Part[[#This Row],[Latitude]])))=6,Registre_Maintenance_Part[[#This Row],[Latitude]],"")</f>
        <v>-9.8519260000000006</v>
      </c>
      <c r="I347">
        <f>IF(LEN(RIGHT(Registre_Maintenance_Part[[#This Row],[Longitude]],LEN(Registre_Maintenance_Part[[#This Row],[Longitude]])-SEARCH(",",Registre_Maintenance_Part[[#This Row],[Longitude]])))=6,Registre_Maintenance_Part[[#This Row],[Longitude]],"")</f>
        <v>12.925583</v>
      </c>
    </row>
    <row r="348" spans="1:9" x14ac:dyDescent="0.3">
      <c r="A348" t="s">
        <v>1547</v>
      </c>
      <c r="B348" t="s">
        <v>888</v>
      </c>
      <c r="C348" t="s">
        <v>72</v>
      </c>
      <c r="D348">
        <v>-4.6818410000000004</v>
      </c>
      <c r="E348">
        <v>17.541618</v>
      </c>
      <c r="F348" t="s">
        <v>1429</v>
      </c>
      <c r="G348" t="s">
        <v>1427</v>
      </c>
      <c r="H348">
        <f>IF(LEN(RIGHT(Registre_Maintenance_Part[[#This Row],[Latitude]],LEN(Registre_Maintenance_Part[[#This Row],[Latitude]])-SEARCH(",",Registre_Maintenance_Part[[#This Row],[Latitude]])))=6,Registre_Maintenance_Part[[#This Row],[Latitude]],"")</f>
        <v>-4.6818410000000004</v>
      </c>
      <c r="I348">
        <f>IF(LEN(RIGHT(Registre_Maintenance_Part[[#This Row],[Longitude]],LEN(Registre_Maintenance_Part[[#This Row],[Longitude]])-SEARCH(",",Registre_Maintenance_Part[[#This Row],[Longitude]])))=6,Registre_Maintenance_Part[[#This Row],[Longitude]],"")</f>
        <v>17.541618</v>
      </c>
    </row>
    <row r="349" spans="1:9" x14ac:dyDescent="0.3">
      <c r="A349" t="s">
        <v>1547</v>
      </c>
      <c r="B349" t="s">
        <v>1555</v>
      </c>
      <c r="C349" t="s">
        <v>29</v>
      </c>
      <c r="D349">
        <v>-2.7775059999999998</v>
      </c>
      <c r="E349">
        <v>24.139983999999998</v>
      </c>
      <c r="F349" t="s">
        <v>1431</v>
      </c>
      <c r="G349" t="s">
        <v>1427</v>
      </c>
      <c r="H349">
        <f>IF(LEN(RIGHT(Registre_Maintenance_Part[[#This Row],[Latitude]],LEN(Registre_Maintenance_Part[[#This Row],[Latitude]])-SEARCH(",",Registre_Maintenance_Part[[#This Row],[Latitude]])))=6,Registre_Maintenance_Part[[#This Row],[Latitude]],"")</f>
        <v>-2.7775059999999998</v>
      </c>
      <c r="I349">
        <f>IF(LEN(RIGHT(Registre_Maintenance_Part[[#This Row],[Longitude]],LEN(Registre_Maintenance_Part[[#This Row],[Longitude]])-SEARCH(",",Registre_Maintenance_Part[[#This Row],[Longitude]])))=6,Registre_Maintenance_Part[[#This Row],[Longitude]],"")</f>
        <v>24.139983999999998</v>
      </c>
    </row>
    <row r="350" spans="1:9" x14ac:dyDescent="0.3">
      <c r="A350" t="s">
        <v>1547</v>
      </c>
      <c r="B350" t="s">
        <v>1556</v>
      </c>
      <c r="C350" t="s">
        <v>29</v>
      </c>
      <c r="D350">
        <v>3.4676979999999999</v>
      </c>
      <c r="E350">
        <v>13.459707</v>
      </c>
      <c r="F350" t="s">
        <v>1426</v>
      </c>
      <c r="G350" t="s">
        <v>1430</v>
      </c>
      <c r="H350">
        <f>IF(LEN(RIGHT(Registre_Maintenance_Part[[#This Row],[Latitude]],LEN(Registre_Maintenance_Part[[#This Row],[Latitude]])-SEARCH(",",Registre_Maintenance_Part[[#This Row],[Latitude]])))=6,Registre_Maintenance_Part[[#This Row],[Latitude]],"")</f>
        <v>3.4676979999999999</v>
      </c>
      <c r="I350">
        <f>IF(LEN(RIGHT(Registre_Maintenance_Part[[#This Row],[Longitude]],LEN(Registre_Maintenance_Part[[#This Row],[Longitude]])-SEARCH(",",Registre_Maintenance_Part[[#This Row],[Longitude]])))=6,Registre_Maintenance_Part[[#This Row],[Longitude]],"")</f>
        <v>13.459707</v>
      </c>
    </row>
    <row r="351" spans="1:9" x14ac:dyDescent="0.3">
      <c r="A351" t="s">
        <v>1547</v>
      </c>
      <c r="B351" t="s">
        <v>1075</v>
      </c>
      <c r="C351" t="s">
        <v>68</v>
      </c>
      <c r="D351">
        <v>-9.4133639999999996</v>
      </c>
      <c r="E351">
        <v>15.682482</v>
      </c>
      <c r="F351" t="s">
        <v>1429</v>
      </c>
      <c r="G351" t="s">
        <v>1430</v>
      </c>
      <c r="H351">
        <f>IF(LEN(RIGHT(Registre_Maintenance_Part[[#This Row],[Latitude]],LEN(Registre_Maintenance_Part[[#This Row],[Latitude]])-SEARCH(",",Registre_Maintenance_Part[[#This Row],[Latitude]])))=6,Registre_Maintenance_Part[[#This Row],[Latitude]],"")</f>
        <v>-9.4133639999999996</v>
      </c>
      <c r="I351">
        <f>IF(LEN(RIGHT(Registre_Maintenance_Part[[#This Row],[Longitude]],LEN(Registre_Maintenance_Part[[#This Row],[Longitude]])-SEARCH(",",Registre_Maintenance_Part[[#This Row],[Longitude]])))=6,Registre_Maintenance_Part[[#This Row],[Longitude]],"")</f>
        <v>15.682482</v>
      </c>
    </row>
    <row r="352" spans="1:9" x14ac:dyDescent="0.3">
      <c r="A352" t="s">
        <v>1547</v>
      </c>
      <c r="B352" t="s">
        <v>1274</v>
      </c>
      <c r="C352" t="s">
        <v>59</v>
      </c>
      <c r="D352">
        <v>1.981107</v>
      </c>
      <c r="E352">
        <v>23.932569000000001</v>
      </c>
      <c r="F352" t="s">
        <v>1431</v>
      </c>
      <c r="G352" t="s">
        <v>1438</v>
      </c>
      <c r="H352">
        <f>IF(LEN(RIGHT(Registre_Maintenance_Part[[#This Row],[Latitude]],LEN(Registre_Maintenance_Part[[#This Row],[Latitude]])-SEARCH(",",Registre_Maintenance_Part[[#This Row],[Latitude]])))=6,Registre_Maintenance_Part[[#This Row],[Latitude]],"")</f>
        <v>1.981107</v>
      </c>
      <c r="I352">
        <f>IF(LEN(RIGHT(Registre_Maintenance_Part[[#This Row],[Longitude]],LEN(Registre_Maintenance_Part[[#This Row],[Longitude]])-SEARCH(",",Registre_Maintenance_Part[[#This Row],[Longitude]])))=6,Registre_Maintenance_Part[[#This Row],[Longitude]],"")</f>
        <v>23.932569000000001</v>
      </c>
    </row>
    <row r="353" spans="1:9" x14ac:dyDescent="0.3">
      <c r="A353" t="s">
        <v>1547</v>
      </c>
      <c r="B353" t="s">
        <v>1145</v>
      </c>
      <c r="C353" t="s">
        <v>12</v>
      </c>
      <c r="D353">
        <v>-7.789663</v>
      </c>
      <c r="E353">
        <v>26.529098000000001</v>
      </c>
      <c r="F353" t="s">
        <v>1426</v>
      </c>
      <c r="G353" t="s">
        <v>1438</v>
      </c>
      <c r="H353">
        <f>IF(LEN(RIGHT(Registre_Maintenance_Part[[#This Row],[Latitude]],LEN(Registre_Maintenance_Part[[#This Row],[Latitude]])-SEARCH(",",Registre_Maintenance_Part[[#This Row],[Latitude]])))=6,Registre_Maintenance_Part[[#This Row],[Latitude]],"")</f>
        <v>-7.789663</v>
      </c>
      <c r="I353">
        <f>IF(LEN(RIGHT(Registre_Maintenance_Part[[#This Row],[Longitude]],LEN(Registre_Maintenance_Part[[#This Row],[Longitude]])-SEARCH(",",Registre_Maintenance_Part[[#This Row],[Longitude]])))=6,Registre_Maintenance_Part[[#This Row],[Longitude]],"")</f>
        <v>26.529098000000001</v>
      </c>
    </row>
    <row r="354" spans="1:9" x14ac:dyDescent="0.3">
      <c r="A354" t="s">
        <v>1547</v>
      </c>
      <c r="B354" t="s">
        <v>1047</v>
      </c>
      <c r="C354" t="s">
        <v>20</v>
      </c>
      <c r="D354">
        <v>-4.1694589999999998</v>
      </c>
      <c r="E354">
        <v>23.376487000000001</v>
      </c>
      <c r="F354" t="s">
        <v>1431</v>
      </c>
      <c r="G354" t="s">
        <v>1438</v>
      </c>
      <c r="H354">
        <f>IF(LEN(RIGHT(Registre_Maintenance_Part[[#This Row],[Latitude]],LEN(Registre_Maintenance_Part[[#This Row],[Latitude]])-SEARCH(",",Registre_Maintenance_Part[[#This Row],[Latitude]])))=6,Registre_Maintenance_Part[[#This Row],[Latitude]],"")</f>
        <v>-4.1694589999999998</v>
      </c>
      <c r="I354">
        <f>IF(LEN(RIGHT(Registre_Maintenance_Part[[#This Row],[Longitude]],LEN(Registre_Maintenance_Part[[#This Row],[Longitude]])-SEARCH(",",Registre_Maintenance_Part[[#This Row],[Longitude]])))=6,Registre_Maintenance_Part[[#This Row],[Longitude]],"")</f>
        <v>23.376487000000001</v>
      </c>
    </row>
    <row r="355" spans="1:9" x14ac:dyDescent="0.3">
      <c r="A355" t="s">
        <v>1547</v>
      </c>
      <c r="B355" t="s">
        <v>832</v>
      </c>
      <c r="C355" t="s">
        <v>122</v>
      </c>
      <c r="D355">
        <v>1.8103860000000001</v>
      </c>
      <c r="E355">
        <v>15.175582</v>
      </c>
      <c r="F355" t="s">
        <v>1431</v>
      </c>
      <c r="G355" t="s">
        <v>1430</v>
      </c>
      <c r="H355">
        <f>IF(LEN(RIGHT(Registre_Maintenance_Part[[#This Row],[Latitude]],LEN(Registre_Maintenance_Part[[#This Row],[Latitude]])-SEARCH(",",Registre_Maintenance_Part[[#This Row],[Latitude]])))=6,Registre_Maintenance_Part[[#This Row],[Latitude]],"")</f>
        <v>1.8103860000000001</v>
      </c>
      <c r="I355">
        <f>IF(LEN(RIGHT(Registre_Maintenance_Part[[#This Row],[Longitude]],LEN(Registre_Maintenance_Part[[#This Row],[Longitude]])-SEARCH(",",Registre_Maintenance_Part[[#This Row],[Longitude]])))=6,Registre_Maintenance_Part[[#This Row],[Longitude]],"")</f>
        <v>15.175582</v>
      </c>
    </row>
    <row r="356" spans="1:9" x14ac:dyDescent="0.3">
      <c r="A356" t="s">
        <v>1547</v>
      </c>
      <c r="B356" t="s">
        <v>764</v>
      </c>
      <c r="C356" t="s">
        <v>35</v>
      </c>
      <c r="D356">
        <v>-2.4662510000000002</v>
      </c>
      <c r="E356">
        <v>18.007998000000001</v>
      </c>
      <c r="F356" t="s">
        <v>1426</v>
      </c>
      <c r="G356" t="s">
        <v>1427</v>
      </c>
      <c r="H356">
        <f>IF(LEN(RIGHT(Registre_Maintenance_Part[[#This Row],[Latitude]],LEN(Registre_Maintenance_Part[[#This Row],[Latitude]])-SEARCH(",",Registre_Maintenance_Part[[#This Row],[Latitude]])))=6,Registre_Maintenance_Part[[#This Row],[Latitude]],"")</f>
        <v>-2.4662510000000002</v>
      </c>
      <c r="I356">
        <f>IF(LEN(RIGHT(Registre_Maintenance_Part[[#This Row],[Longitude]],LEN(Registre_Maintenance_Part[[#This Row],[Longitude]])-SEARCH(",",Registre_Maintenance_Part[[#This Row],[Longitude]])))=6,Registre_Maintenance_Part[[#This Row],[Longitude]],"")</f>
        <v>18.007998000000001</v>
      </c>
    </row>
    <row r="357" spans="1:9" x14ac:dyDescent="0.3">
      <c r="A357" t="s">
        <v>1547</v>
      </c>
      <c r="B357" t="s">
        <v>1557</v>
      </c>
      <c r="C357" t="s">
        <v>9</v>
      </c>
      <c r="D357">
        <v>-4.1061909999999999</v>
      </c>
      <c r="E357">
        <v>28.054902999999999</v>
      </c>
      <c r="F357" t="s">
        <v>1431</v>
      </c>
      <c r="G357" t="s">
        <v>1430</v>
      </c>
      <c r="H357">
        <f>IF(LEN(RIGHT(Registre_Maintenance_Part[[#This Row],[Latitude]],LEN(Registre_Maintenance_Part[[#This Row],[Latitude]])-SEARCH(",",Registre_Maintenance_Part[[#This Row],[Latitude]])))=6,Registre_Maintenance_Part[[#This Row],[Latitude]],"")</f>
        <v>-4.1061909999999999</v>
      </c>
      <c r="I357">
        <f>IF(LEN(RIGHT(Registre_Maintenance_Part[[#This Row],[Longitude]],LEN(Registre_Maintenance_Part[[#This Row],[Longitude]])-SEARCH(",",Registre_Maintenance_Part[[#This Row],[Longitude]])))=6,Registre_Maintenance_Part[[#This Row],[Longitude]],"")</f>
        <v>28.054902999999999</v>
      </c>
    </row>
    <row r="358" spans="1:9" x14ac:dyDescent="0.3">
      <c r="A358" t="s">
        <v>1547</v>
      </c>
      <c r="B358" t="s">
        <v>1022</v>
      </c>
      <c r="C358" t="s">
        <v>20</v>
      </c>
      <c r="D358">
        <v>0.31740800000000002</v>
      </c>
      <c r="E358">
        <v>27.197666999999999</v>
      </c>
      <c r="F358" t="s">
        <v>1426</v>
      </c>
      <c r="G358" t="s">
        <v>1438</v>
      </c>
      <c r="H358">
        <f>IF(LEN(RIGHT(Registre_Maintenance_Part[[#This Row],[Latitude]],LEN(Registre_Maintenance_Part[[#This Row],[Latitude]])-SEARCH(",",Registre_Maintenance_Part[[#This Row],[Latitude]])))=6,Registre_Maintenance_Part[[#This Row],[Latitude]],"")</f>
        <v>0.31740800000000002</v>
      </c>
      <c r="I358">
        <f>IF(LEN(RIGHT(Registre_Maintenance_Part[[#This Row],[Longitude]],LEN(Registre_Maintenance_Part[[#This Row],[Longitude]])-SEARCH(",",Registre_Maintenance_Part[[#This Row],[Longitude]])))=6,Registre_Maintenance_Part[[#This Row],[Longitude]],"")</f>
        <v>27.197666999999999</v>
      </c>
    </row>
    <row r="359" spans="1:9" x14ac:dyDescent="0.3">
      <c r="A359" t="s">
        <v>1547</v>
      </c>
      <c r="B359" t="s">
        <v>1009</v>
      </c>
      <c r="C359" t="s">
        <v>20</v>
      </c>
      <c r="D359">
        <v>1.2419519999999999</v>
      </c>
      <c r="E359">
        <v>25.261382999999999</v>
      </c>
      <c r="F359" t="s">
        <v>1429</v>
      </c>
      <c r="G359" t="s">
        <v>1430</v>
      </c>
      <c r="H359">
        <f>IF(LEN(RIGHT(Registre_Maintenance_Part[[#This Row],[Latitude]],LEN(Registre_Maintenance_Part[[#This Row],[Latitude]])-SEARCH(",",Registre_Maintenance_Part[[#This Row],[Latitude]])))=6,Registre_Maintenance_Part[[#This Row],[Latitude]],"")</f>
        <v>1.2419519999999999</v>
      </c>
      <c r="I359">
        <f>IF(LEN(RIGHT(Registre_Maintenance_Part[[#This Row],[Longitude]],LEN(Registre_Maintenance_Part[[#This Row],[Longitude]])-SEARCH(",",Registre_Maintenance_Part[[#This Row],[Longitude]])))=6,Registre_Maintenance_Part[[#This Row],[Longitude]],"")</f>
        <v>25.261382999999999</v>
      </c>
    </row>
    <row r="360" spans="1:9" x14ac:dyDescent="0.3">
      <c r="A360" t="s">
        <v>1547</v>
      </c>
      <c r="B360" t="s">
        <v>1295</v>
      </c>
      <c r="C360" t="s">
        <v>61</v>
      </c>
      <c r="D360">
        <v>-10.227569000000001</v>
      </c>
      <c r="E360">
        <v>18.887930999999998</v>
      </c>
      <c r="F360" t="s">
        <v>1431</v>
      </c>
      <c r="G360" t="s">
        <v>1432</v>
      </c>
      <c r="H360">
        <f>IF(LEN(RIGHT(Registre_Maintenance_Part[[#This Row],[Latitude]],LEN(Registre_Maintenance_Part[[#This Row],[Latitude]])-SEARCH(",",Registre_Maintenance_Part[[#This Row],[Latitude]])))=6,Registre_Maintenance_Part[[#This Row],[Latitude]],"")</f>
        <v>-10.227569000000001</v>
      </c>
      <c r="I360">
        <f>IF(LEN(RIGHT(Registre_Maintenance_Part[[#This Row],[Longitude]],LEN(Registre_Maintenance_Part[[#This Row],[Longitude]])-SEARCH(",",Registre_Maintenance_Part[[#This Row],[Longitude]])))=6,Registre_Maintenance_Part[[#This Row],[Longitude]],"")</f>
        <v>18.887930999999998</v>
      </c>
    </row>
    <row r="361" spans="1:9" x14ac:dyDescent="0.3">
      <c r="A361" t="s">
        <v>1547</v>
      </c>
      <c r="B361" t="s">
        <v>969</v>
      </c>
      <c r="C361" t="s">
        <v>33</v>
      </c>
      <c r="D361">
        <v>-7.5969509999999998</v>
      </c>
      <c r="E361">
        <v>22.153986</v>
      </c>
      <c r="F361" t="s">
        <v>1431</v>
      </c>
      <c r="G361" t="s">
        <v>1427</v>
      </c>
      <c r="H361">
        <f>IF(LEN(RIGHT(Registre_Maintenance_Part[[#This Row],[Latitude]],LEN(Registre_Maintenance_Part[[#This Row],[Latitude]])-SEARCH(",",Registre_Maintenance_Part[[#This Row],[Latitude]])))=6,Registre_Maintenance_Part[[#This Row],[Latitude]],"")</f>
        <v>-7.5969509999999998</v>
      </c>
      <c r="I361">
        <f>IF(LEN(RIGHT(Registre_Maintenance_Part[[#This Row],[Longitude]],LEN(Registre_Maintenance_Part[[#This Row],[Longitude]])-SEARCH(",",Registre_Maintenance_Part[[#This Row],[Longitude]])))=6,Registre_Maintenance_Part[[#This Row],[Longitude]],"")</f>
        <v>22.153986</v>
      </c>
    </row>
    <row r="362" spans="1:9" x14ac:dyDescent="0.3">
      <c r="A362" t="s">
        <v>1547</v>
      </c>
      <c r="B362" t="s">
        <v>1285</v>
      </c>
      <c r="C362" t="s">
        <v>20</v>
      </c>
      <c r="D362">
        <v>-1.4700059999999999</v>
      </c>
      <c r="E362">
        <v>18.680958</v>
      </c>
      <c r="F362" t="s">
        <v>1431</v>
      </c>
      <c r="G362" t="s">
        <v>1430</v>
      </c>
      <c r="H362">
        <f>IF(LEN(RIGHT(Registre_Maintenance_Part[[#This Row],[Latitude]],LEN(Registre_Maintenance_Part[[#This Row],[Latitude]])-SEARCH(",",Registre_Maintenance_Part[[#This Row],[Latitude]])))=6,Registre_Maintenance_Part[[#This Row],[Latitude]],"")</f>
        <v>-1.4700059999999999</v>
      </c>
      <c r="I362">
        <f>IF(LEN(RIGHT(Registre_Maintenance_Part[[#This Row],[Longitude]],LEN(Registre_Maintenance_Part[[#This Row],[Longitude]])-SEARCH(",",Registre_Maintenance_Part[[#This Row],[Longitude]])))=6,Registre_Maintenance_Part[[#This Row],[Longitude]],"")</f>
        <v>18.680958</v>
      </c>
    </row>
    <row r="363" spans="1:9" x14ac:dyDescent="0.3">
      <c r="A363" t="s">
        <v>1547</v>
      </c>
      <c r="B363" t="s">
        <v>999</v>
      </c>
      <c r="C363" t="s">
        <v>20</v>
      </c>
      <c r="D363">
        <v>-1.5419050000000001</v>
      </c>
      <c r="E363">
        <v>14.730632999999999</v>
      </c>
      <c r="F363" t="s">
        <v>1431</v>
      </c>
      <c r="G363" t="s">
        <v>1432</v>
      </c>
      <c r="H363">
        <f>IF(LEN(RIGHT(Registre_Maintenance_Part[[#This Row],[Latitude]],LEN(Registre_Maintenance_Part[[#This Row],[Latitude]])-SEARCH(",",Registre_Maintenance_Part[[#This Row],[Latitude]])))=6,Registre_Maintenance_Part[[#This Row],[Latitude]],"")</f>
        <v>-1.5419050000000001</v>
      </c>
      <c r="I363">
        <f>IF(LEN(RIGHT(Registre_Maintenance_Part[[#This Row],[Longitude]],LEN(Registre_Maintenance_Part[[#This Row],[Longitude]])-SEARCH(",",Registre_Maintenance_Part[[#This Row],[Longitude]])))=6,Registre_Maintenance_Part[[#This Row],[Longitude]],"")</f>
        <v>14.730632999999999</v>
      </c>
    </row>
    <row r="364" spans="1:9" x14ac:dyDescent="0.3">
      <c r="A364" t="s">
        <v>1547</v>
      </c>
      <c r="B364" t="s">
        <v>1405</v>
      </c>
      <c r="C364" t="s">
        <v>33</v>
      </c>
      <c r="D364">
        <v>-10.764815</v>
      </c>
      <c r="E364">
        <v>14.602039</v>
      </c>
      <c r="F364" t="s">
        <v>1429</v>
      </c>
      <c r="G364" t="s">
        <v>1438</v>
      </c>
      <c r="H364">
        <f>IF(LEN(RIGHT(Registre_Maintenance_Part[[#This Row],[Latitude]],LEN(Registre_Maintenance_Part[[#This Row],[Latitude]])-SEARCH(",",Registre_Maintenance_Part[[#This Row],[Latitude]])))=6,Registre_Maintenance_Part[[#This Row],[Latitude]],"")</f>
        <v>-10.764815</v>
      </c>
      <c r="I364">
        <f>IF(LEN(RIGHT(Registre_Maintenance_Part[[#This Row],[Longitude]],LEN(Registre_Maintenance_Part[[#This Row],[Longitude]])-SEARCH(",",Registre_Maintenance_Part[[#This Row],[Longitude]])))=6,Registre_Maintenance_Part[[#This Row],[Longitude]],"")</f>
        <v>14.602039</v>
      </c>
    </row>
    <row r="365" spans="1:9" x14ac:dyDescent="0.3">
      <c r="A365" t="s">
        <v>1547</v>
      </c>
      <c r="B365" t="s">
        <v>1039</v>
      </c>
      <c r="C365" t="s">
        <v>118</v>
      </c>
      <c r="D365">
        <v>-1.013558</v>
      </c>
      <c r="E365">
        <v>17.346937</v>
      </c>
      <c r="F365" t="s">
        <v>1426</v>
      </c>
      <c r="G365" t="s">
        <v>1430</v>
      </c>
      <c r="H365">
        <f>IF(LEN(RIGHT(Registre_Maintenance_Part[[#This Row],[Latitude]],LEN(Registre_Maintenance_Part[[#This Row],[Latitude]])-SEARCH(",",Registre_Maintenance_Part[[#This Row],[Latitude]])))=6,Registre_Maintenance_Part[[#This Row],[Latitude]],"")</f>
        <v>-1.013558</v>
      </c>
      <c r="I365">
        <f>IF(LEN(RIGHT(Registre_Maintenance_Part[[#This Row],[Longitude]],LEN(Registre_Maintenance_Part[[#This Row],[Longitude]])-SEARCH(",",Registre_Maintenance_Part[[#This Row],[Longitude]])))=6,Registre_Maintenance_Part[[#This Row],[Longitude]],"")</f>
        <v>17.346937</v>
      </c>
    </row>
    <row r="366" spans="1:9" x14ac:dyDescent="0.3">
      <c r="A366" t="s">
        <v>1547</v>
      </c>
      <c r="B366" t="s">
        <v>1402</v>
      </c>
      <c r="C366" t="s">
        <v>57</v>
      </c>
      <c r="D366">
        <v>-7.8215969999999997</v>
      </c>
      <c r="E366">
        <v>26.797349000000001</v>
      </c>
      <c r="F366" t="s">
        <v>1431</v>
      </c>
      <c r="G366" t="s">
        <v>1427</v>
      </c>
      <c r="H366">
        <f>IF(LEN(RIGHT(Registre_Maintenance_Part[[#This Row],[Latitude]],LEN(Registre_Maintenance_Part[[#This Row],[Latitude]])-SEARCH(",",Registre_Maintenance_Part[[#This Row],[Latitude]])))=6,Registre_Maintenance_Part[[#This Row],[Latitude]],"")</f>
        <v>-7.8215969999999997</v>
      </c>
      <c r="I366">
        <f>IF(LEN(RIGHT(Registre_Maintenance_Part[[#This Row],[Longitude]],LEN(Registre_Maintenance_Part[[#This Row],[Longitude]])-SEARCH(",",Registre_Maintenance_Part[[#This Row],[Longitude]])))=6,Registre_Maintenance_Part[[#This Row],[Longitude]],"")</f>
        <v>26.797349000000001</v>
      </c>
    </row>
    <row r="367" spans="1:9" x14ac:dyDescent="0.3">
      <c r="A367" t="s">
        <v>1547</v>
      </c>
      <c r="B367" t="s">
        <v>811</v>
      </c>
      <c r="C367" t="s">
        <v>37</v>
      </c>
      <c r="D367">
        <v>-9.7712979999999998</v>
      </c>
      <c r="E367">
        <v>19.827895999999999</v>
      </c>
      <c r="F367" t="s">
        <v>1431</v>
      </c>
      <c r="G367" t="s">
        <v>1432</v>
      </c>
      <c r="H367">
        <f>IF(LEN(RIGHT(Registre_Maintenance_Part[[#This Row],[Latitude]],LEN(Registre_Maintenance_Part[[#This Row],[Latitude]])-SEARCH(",",Registre_Maintenance_Part[[#This Row],[Latitude]])))=6,Registre_Maintenance_Part[[#This Row],[Latitude]],"")</f>
        <v>-9.7712979999999998</v>
      </c>
      <c r="I367">
        <f>IF(LEN(RIGHT(Registre_Maintenance_Part[[#This Row],[Longitude]],LEN(Registre_Maintenance_Part[[#This Row],[Longitude]])-SEARCH(",",Registre_Maintenance_Part[[#This Row],[Longitude]])))=6,Registre_Maintenance_Part[[#This Row],[Longitude]],"")</f>
        <v>19.827895999999999</v>
      </c>
    </row>
    <row r="368" spans="1:9" x14ac:dyDescent="0.3">
      <c r="A368" t="s">
        <v>1547</v>
      </c>
      <c r="B368" t="s">
        <v>1273</v>
      </c>
      <c r="C368" t="s">
        <v>17</v>
      </c>
      <c r="D368">
        <v>-1.3938550000000001</v>
      </c>
      <c r="E368">
        <v>15.097554000000001</v>
      </c>
      <c r="F368" t="s">
        <v>1429</v>
      </c>
      <c r="G368" t="s">
        <v>1430</v>
      </c>
      <c r="H368">
        <f>IF(LEN(RIGHT(Registre_Maintenance_Part[[#This Row],[Latitude]],LEN(Registre_Maintenance_Part[[#This Row],[Latitude]])-SEARCH(",",Registre_Maintenance_Part[[#This Row],[Latitude]])))=6,Registre_Maintenance_Part[[#This Row],[Latitude]],"")</f>
        <v>-1.3938550000000001</v>
      </c>
      <c r="I368">
        <f>IF(LEN(RIGHT(Registre_Maintenance_Part[[#This Row],[Longitude]],LEN(Registre_Maintenance_Part[[#This Row],[Longitude]])-SEARCH(",",Registre_Maintenance_Part[[#This Row],[Longitude]])))=6,Registre_Maintenance_Part[[#This Row],[Longitude]],"")</f>
        <v>15.097554000000001</v>
      </c>
    </row>
    <row r="369" spans="1:9" x14ac:dyDescent="0.3">
      <c r="A369" t="s">
        <v>1547</v>
      </c>
      <c r="B369" t="s">
        <v>1176</v>
      </c>
      <c r="C369" t="s">
        <v>118</v>
      </c>
      <c r="D369">
        <v>-12.488033</v>
      </c>
      <c r="E369">
        <v>16.139648000000001</v>
      </c>
      <c r="F369" t="s">
        <v>1429</v>
      </c>
      <c r="G369" t="s">
        <v>1430</v>
      </c>
      <c r="H369">
        <f>IF(LEN(RIGHT(Registre_Maintenance_Part[[#This Row],[Latitude]],LEN(Registre_Maintenance_Part[[#This Row],[Latitude]])-SEARCH(",",Registre_Maintenance_Part[[#This Row],[Latitude]])))=6,Registre_Maintenance_Part[[#This Row],[Latitude]],"")</f>
        <v>-12.488033</v>
      </c>
      <c r="I369">
        <f>IF(LEN(RIGHT(Registre_Maintenance_Part[[#This Row],[Longitude]],LEN(Registre_Maintenance_Part[[#This Row],[Longitude]])-SEARCH(",",Registre_Maintenance_Part[[#This Row],[Longitude]])))=6,Registre_Maintenance_Part[[#This Row],[Longitude]],"")</f>
        <v>16.139648000000001</v>
      </c>
    </row>
    <row r="370" spans="1:9" x14ac:dyDescent="0.3">
      <c r="A370" t="s">
        <v>1547</v>
      </c>
      <c r="B370" t="s">
        <v>1029</v>
      </c>
      <c r="C370" t="s">
        <v>9</v>
      </c>
      <c r="D370">
        <v>-4.1250960000000001</v>
      </c>
      <c r="E370">
        <v>27.799897999999999</v>
      </c>
      <c r="F370" t="s">
        <v>1431</v>
      </c>
      <c r="G370" t="s">
        <v>1438</v>
      </c>
      <c r="H370">
        <f>IF(LEN(RIGHT(Registre_Maintenance_Part[[#This Row],[Latitude]],LEN(Registre_Maintenance_Part[[#This Row],[Latitude]])-SEARCH(",",Registre_Maintenance_Part[[#This Row],[Latitude]])))=6,Registre_Maintenance_Part[[#This Row],[Latitude]],"")</f>
        <v>-4.1250960000000001</v>
      </c>
      <c r="I370">
        <f>IF(LEN(RIGHT(Registre_Maintenance_Part[[#This Row],[Longitude]],LEN(Registre_Maintenance_Part[[#This Row],[Longitude]])-SEARCH(",",Registre_Maintenance_Part[[#This Row],[Longitude]])))=6,Registre_Maintenance_Part[[#This Row],[Longitude]],"")</f>
        <v>27.799897999999999</v>
      </c>
    </row>
    <row r="371" spans="1:9" x14ac:dyDescent="0.3">
      <c r="A371" t="s">
        <v>1547</v>
      </c>
      <c r="B371" t="s">
        <v>807</v>
      </c>
      <c r="C371" t="s">
        <v>23</v>
      </c>
      <c r="D371">
        <v>4.4712560000000003</v>
      </c>
      <c r="E371">
        <v>27.107028</v>
      </c>
      <c r="F371" t="s">
        <v>1431</v>
      </c>
      <c r="G371" t="s">
        <v>1427</v>
      </c>
      <c r="H371">
        <f>IF(LEN(RIGHT(Registre_Maintenance_Part[[#This Row],[Latitude]],LEN(Registre_Maintenance_Part[[#This Row],[Latitude]])-SEARCH(",",Registre_Maintenance_Part[[#This Row],[Latitude]])))=6,Registre_Maintenance_Part[[#This Row],[Latitude]],"")</f>
        <v>4.4712560000000003</v>
      </c>
      <c r="I371">
        <f>IF(LEN(RIGHT(Registre_Maintenance_Part[[#This Row],[Longitude]],LEN(Registre_Maintenance_Part[[#This Row],[Longitude]])-SEARCH(",",Registre_Maintenance_Part[[#This Row],[Longitude]])))=6,Registre_Maintenance_Part[[#This Row],[Longitude]],"")</f>
        <v>27.107028</v>
      </c>
    </row>
    <row r="372" spans="1:9" x14ac:dyDescent="0.3">
      <c r="A372" t="s">
        <v>1547</v>
      </c>
      <c r="B372" t="s">
        <v>1326</v>
      </c>
      <c r="C372" t="s">
        <v>118</v>
      </c>
      <c r="D372">
        <v>-2.2199559999999998</v>
      </c>
      <c r="E372">
        <v>22.614449</v>
      </c>
      <c r="F372" t="s">
        <v>1431</v>
      </c>
      <c r="G372" t="s">
        <v>1438</v>
      </c>
      <c r="H372">
        <f>IF(LEN(RIGHT(Registre_Maintenance_Part[[#This Row],[Latitude]],LEN(Registre_Maintenance_Part[[#This Row],[Latitude]])-SEARCH(",",Registre_Maintenance_Part[[#This Row],[Latitude]])))=6,Registre_Maintenance_Part[[#This Row],[Latitude]],"")</f>
        <v>-2.2199559999999998</v>
      </c>
      <c r="I372">
        <f>IF(LEN(RIGHT(Registre_Maintenance_Part[[#This Row],[Longitude]],LEN(Registre_Maintenance_Part[[#This Row],[Longitude]])-SEARCH(",",Registre_Maintenance_Part[[#This Row],[Longitude]])))=6,Registre_Maintenance_Part[[#This Row],[Longitude]],"")</f>
        <v>22.614449</v>
      </c>
    </row>
    <row r="373" spans="1:9" x14ac:dyDescent="0.3">
      <c r="A373" t="s">
        <v>1547</v>
      </c>
      <c r="B373" t="s">
        <v>1097</v>
      </c>
      <c r="C373" t="s">
        <v>33</v>
      </c>
      <c r="D373">
        <v>-6.4883290000000002</v>
      </c>
      <c r="E373">
        <v>25.103404000000001</v>
      </c>
      <c r="F373" t="s">
        <v>1426</v>
      </c>
      <c r="G373" t="s">
        <v>1432</v>
      </c>
      <c r="H373">
        <f>IF(LEN(RIGHT(Registre_Maintenance_Part[[#This Row],[Latitude]],LEN(Registre_Maintenance_Part[[#This Row],[Latitude]])-SEARCH(",",Registre_Maintenance_Part[[#This Row],[Latitude]])))=6,Registre_Maintenance_Part[[#This Row],[Latitude]],"")</f>
        <v>-6.4883290000000002</v>
      </c>
      <c r="I373">
        <f>IF(LEN(RIGHT(Registre_Maintenance_Part[[#This Row],[Longitude]],LEN(Registre_Maintenance_Part[[#This Row],[Longitude]])-SEARCH(",",Registre_Maintenance_Part[[#This Row],[Longitude]])))=6,Registre_Maintenance_Part[[#This Row],[Longitude]],"")</f>
        <v>25.103404000000001</v>
      </c>
    </row>
    <row r="374" spans="1:9" x14ac:dyDescent="0.3">
      <c r="A374" t="s">
        <v>1547</v>
      </c>
      <c r="B374" t="s">
        <v>932</v>
      </c>
      <c r="C374" t="s">
        <v>27</v>
      </c>
      <c r="D374">
        <v>-4.351254</v>
      </c>
      <c r="E374">
        <v>30.097408999999999</v>
      </c>
      <c r="F374" t="s">
        <v>1426</v>
      </c>
      <c r="G374" t="s">
        <v>1438</v>
      </c>
      <c r="H374">
        <f>IF(LEN(RIGHT(Registre_Maintenance_Part[[#This Row],[Latitude]],LEN(Registre_Maintenance_Part[[#This Row],[Latitude]])-SEARCH(",",Registre_Maintenance_Part[[#This Row],[Latitude]])))=6,Registre_Maintenance_Part[[#This Row],[Latitude]],"")</f>
        <v>-4.351254</v>
      </c>
      <c r="I374">
        <f>IF(LEN(RIGHT(Registre_Maintenance_Part[[#This Row],[Longitude]],LEN(Registre_Maintenance_Part[[#This Row],[Longitude]])-SEARCH(",",Registre_Maintenance_Part[[#This Row],[Longitude]])))=6,Registre_Maintenance_Part[[#This Row],[Longitude]],"")</f>
        <v>30.097408999999999</v>
      </c>
    </row>
    <row r="375" spans="1:9" x14ac:dyDescent="0.3">
      <c r="A375" t="s">
        <v>1547</v>
      </c>
      <c r="B375" t="s">
        <v>1385</v>
      </c>
      <c r="C375" t="s">
        <v>23</v>
      </c>
      <c r="D375">
        <v>-5.1507670000000001</v>
      </c>
      <c r="E375">
        <v>28.075324999999999</v>
      </c>
      <c r="F375" t="s">
        <v>1426</v>
      </c>
      <c r="G375" t="s">
        <v>1430</v>
      </c>
      <c r="H375">
        <f>IF(LEN(RIGHT(Registre_Maintenance_Part[[#This Row],[Latitude]],LEN(Registre_Maintenance_Part[[#This Row],[Latitude]])-SEARCH(",",Registre_Maintenance_Part[[#This Row],[Latitude]])))=6,Registre_Maintenance_Part[[#This Row],[Latitude]],"")</f>
        <v>-5.1507670000000001</v>
      </c>
      <c r="I375">
        <f>IF(LEN(RIGHT(Registre_Maintenance_Part[[#This Row],[Longitude]],LEN(Registre_Maintenance_Part[[#This Row],[Longitude]])-SEARCH(",",Registre_Maintenance_Part[[#This Row],[Longitude]])))=6,Registre_Maintenance_Part[[#This Row],[Longitude]],"")</f>
        <v>28.075324999999999</v>
      </c>
    </row>
    <row r="376" spans="1:9" x14ac:dyDescent="0.3">
      <c r="A376" t="s">
        <v>1547</v>
      </c>
      <c r="B376" t="s">
        <v>1558</v>
      </c>
      <c r="C376" t="s">
        <v>17</v>
      </c>
      <c r="D376">
        <v>-8.3575920000000004</v>
      </c>
      <c r="E376">
        <v>25.538395000000001</v>
      </c>
      <c r="F376" t="s">
        <v>1431</v>
      </c>
      <c r="G376" t="s">
        <v>1432</v>
      </c>
      <c r="H376">
        <f>IF(LEN(RIGHT(Registre_Maintenance_Part[[#This Row],[Latitude]],LEN(Registre_Maintenance_Part[[#This Row],[Latitude]])-SEARCH(",",Registre_Maintenance_Part[[#This Row],[Latitude]])))=6,Registre_Maintenance_Part[[#This Row],[Latitude]],"")</f>
        <v>-8.3575920000000004</v>
      </c>
      <c r="I376">
        <f>IF(LEN(RIGHT(Registre_Maintenance_Part[[#This Row],[Longitude]],LEN(Registre_Maintenance_Part[[#This Row],[Longitude]])-SEARCH(",",Registre_Maintenance_Part[[#This Row],[Longitude]])))=6,Registre_Maintenance_Part[[#This Row],[Longitude]],"")</f>
        <v>25.538395000000001</v>
      </c>
    </row>
    <row r="377" spans="1:9" x14ac:dyDescent="0.3">
      <c r="A377" t="s">
        <v>1547</v>
      </c>
      <c r="B377" t="s">
        <v>1559</v>
      </c>
      <c r="C377" t="s">
        <v>9</v>
      </c>
      <c r="D377">
        <v>-0.65356899999999996</v>
      </c>
      <c r="E377">
        <v>25.343032999999998</v>
      </c>
      <c r="F377" t="s">
        <v>1429</v>
      </c>
      <c r="G377" t="s">
        <v>1427</v>
      </c>
      <c r="H377">
        <f>IF(LEN(RIGHT(Registre_Maintenance_Part[[#This Row],[Latitude]],LEN(Registre_Maintenance_Part[[#This Row],[Latitude]])-SEARCH(",",Registre_Maintenance_Part[[#This Row],[Latitude]])))=6,Registre_Maintenance_Part[[#This Row],[Latitude]],"")</f>
        <v>-0.65356899999999996</v>
      </c>
      <c r="I377">
        <f>IF(LEN(RIGHT(Registre_Maintenance_Part[[#This Row],[Longitude]],LEN(Registre_Maintenance_Part[[#This Row],[Longitude]])-SEARCH(",",Registre_Maintenance_Part[[#This Row],[Longitude]])))=6,Registre_Maintenance_Part[[#This Row],[Longitude]],"")</f>
        <v>25.343032999999998</v>
      </c>
    </row>
    <row r="378" spans="1:9" x14ac:dyDescent="0.3">
      <c r="A378" t="s">
        <v>1560</v>
      </c>
      <c r="B378" t="s">
        <v>1561</v>
      </c>
      <c r="C378" t="s">
        <v>59</v>
      </c>
      <c r="D378">
        <v>-2.290705</v>
      </c>
      <c r="E378">
        <v>19.150395</v>
      </c>
      <c r="F378" t="s">
        <v>1426</v>
      </c>
      <c r="G378" t="s">
        <v>1427</v>
      </c>
      <c r="H378">
        <f>IF(LEN(RIGHT(Registre_Maintenance_Part[[#This Row],[Latitude]],LEN(Registre_Maintenance_Part[[#This Row],[Latitude]])-SEARCH(",",Registre_Maintenance_Part[[#This Row],[Latitude]])))=6,Registre_Maintenance_Part[[#This Row],[Latitude]],"")</f>
        <v>-2.290705</v>
      </c>
      <c r="I378">
        <f>IF(LEN(RIGHT(Registre_Maintenance_Part[[#This Row],[Longitude]],LEN(Registre_Maintenance_Part[[#This Row],[Longitude]])-SEARCH(",",Registre_Maintenance_Part[[#This Row],[Longitude]])))=6,Registre_Maintenance_Part[[#This Row],[Longitude]],"")</f>
        <v>19.150395</v>
      </c>
    </row>
    <row r="379" spans="1:9" x14ac:dyDescent="0.3">
      <c r="A379" t="s">
        <v>1560</v>
      </c>
      <c r="B379" t="s">
        <v>746</v>
      </c>
      <c r="C379" t="s">
        <v>37</v>
      </c>
      <c r="D379">
        <v>4.8319039999999998</v>
      </c>
      <c r="E379">
        <v>20.733468999999999</v>
      </c>
      <c r="F379" t="s">
        <v>1426</v>
      </c>
      <c r="G379" t="s">
        <v>1427</v>
      </c>
      <c r="H379">
        <f>IF(LEN(RIGHT(Registre_Maintenance_Part[[#This Row],[Latitude]],LEN(Registre_Maintenance_Part[[#This Row],[Latitude]])-SEARCH(",",Registre_Maintenance_Part[[#This Row],[Latitude]])))=6,Registre_Maintenance_Part[[#This Row],[Latitude]],"")</f>
        <v>4.8319039999999998</v>
      </c>
      <c r="I379">
        <f>IF(LEN(RIGHT(Registre_Maintenance_Part[[#This Row],[Longitude]],LEN(Registre_Maintenance_Part[[#This Row],[Longitude]])-SEARCH(",",Registre_Maintenance_Part[[#This Row],[Longitude]])))=6,Registre_Maintenance_Part[[#This Row],[Longitude]],"")</f>
        <v>20.733468999999999</v>
      </c>
    </row>
    <row r="380" spans="1:9" x14ac:dyDescent="0.3">
      <c r="A380" t="s">
        <v>1560</v>
      </c>
      <c r="B380" t="s">
        <v>1562</v>
      </c>
      <c r="C380" t="s">
        <v>72</v>
      </c>
      <c r="D380">
        <v>-10.790281</v>
      </c>
      <c r="E380">
        <v>12.624336</v>
      </c>
      <c r="F380" t="s">
        <v>1429</v>
      </c>
      <c r="G380" t="s">
        <v>1438</v>
      </c>
      <c r="H380">
        <f>IF(LEN(RIGHT(Registre_Maintenance_Part[[#This Row],[Latitude]],LEN(Registre_Maintenance_Part[[#This Row],[Latitude]])-SEARCH(",",Registre_Maintenance_Part[[#This Row],[Latitude]])))=6,Registre_Maintenance_Part[[#This Row],[Latitude]],"")</f>
        <v>-10.790281</v>
      </c>
      <c r="I380">
        <f>IF(LEN(RIGHT(Registre_Maintenance_Part[[#This Row],[Longitude]],LEN(Registre_Maintenance_Part[[#This Row],[Longitude]])-SEARCH(",",Registre_Maintenance_Part[[#This Row],[Longitude]])))=6,Registre_Maintenance_Part[[#This Row],[Longitude]],"")</f>
        <v>12.624336</v>
      </c>
    </row>
    <row r="381" spans="1:9" x14ac:dyDescent="0.3">
      <c r="A381" t="s">
        <v>1560</v>
      </c>
      <c r="B381" t="s">
        <v>1563</v>
      </c>
      <c r="C381" t="s">
        <v>24</v>
      </c>
      <c r="D381">
        <v>2.0859640000000002</v>
      </c>
      <c r="E381">
        <v>22.576664000000001</v>
      </c>
      <c r="F381" t="s">
        <v>1429</v>
      </c>
      <c r="G381" t="s">
        <v>1432</v>
      </c>
      <c r="H381">
        <f>IF(LEN(RIGHT(Registre_Maintenance_Part[[#This Row],[Latitude]],LEN(Registre_Maintenance_Part[[#This Row],[Latitude]])-SEARCH(",",Registre_Maintenance_Part[[#This Row],[Latitude]])))=6,Registre_Maintenance_Part[[#This Row],[Latitude]],"")</f>
        <v>2.0859640000000002</v>
      </c>
      <c r="I381">
        <f>IF(LEN(RIGHT(Registre_Maintenance_Part[[#This Row],[Longitude]],LEN(Registre_Maintenance_Part[[#This Row],[Longitude]])-SEARCH(",",Registre_Maintenance_Part[[#This Row],[Longitude]])))=6,Registre_Maintenance_Part[[#This Row],[Longitude]],"")</f>
        <v>22.576664000000001</v>
      </c>
    </row>
    <row r="382" spans="1:9" x14ac:dyDescent="0.3">
      <c r="A382" t="s">
        <v>1560</v>
      </c>
      <c r="B382" t="s">
        <v>1184</v>
      </c>
      <c r="C382" t="s">
        <v>48</v>
      </c>
      <c r="D382">
        <v>5.3608999999999997E-2</v>
      </c>
      <c r="E382">
        <v>28.346852999999999</v>
      </c>
      <c r="F382" t="s">
        <v>1431</v>
      </c>
      <c r="G382" t="s">
        <v>1432</v>
      </c>
      <c r="H382">
        <f>IF(LEN(RIGHT(Registre_Maintenance_Part[[#This Row],[Latitude]],LEN(Registre_Maintenance_Part[[#This Row],[Latitude]])-SEARCH(",",Registre_Maintenance_Part[[#This Row],[Latitude]])))=6,Registre_Maintenance_Part[[#This Row],[Latitude]],"")</f>
        <v>5.3608999999999997E-2</v>
      </c>
      <c r="I382">
        <f>IF(LEN(RIGHT(Registre_Maintenance_Part[[#This Row],[Longitude]],LEN(Registre_Maintenance_Part[[#This Row],[Longitude]])-SEARCH(",",Registre_Maintenance_Part[[#This Row],[Longitude]])))=6,Registre_Maintenance_Part[[#This Row],[Longitude]],"")</f>
        <v>28.346852999999999</v>
      </c>
    </row>
    <row r="383" spans="1:9" x14ac:dyDescent="0.3">
      <c r="A383" t="s">
        <v>1560</v>
      </c>
      <c r="B383" t="s">
        <v>1311</v>
      </c>
      <c r="C383" t="s">
        <v>33</v>
      </c>
      <c r="D383">
        <v>-0.157111</v>
      </c>
      <c r="E383">
        <v>25.415125</v>
      </c>
      <c r="F383" t="s">
        <v>1429</v>
      </c>
      <c r="G383" t="s">
        <v>1427</v>
      </c>
      <c r="H383">
        <f>IF(LEN(RIGHT(Registre_Maintenance_Part[[#This Row],[Latitude]],LEN(Registre_Maintenance_Part[[#This Row],[Latitude]])-SEARCH(",",Registre_Maintenance_Part[[#This Row],[Latitude]])))=6,Registre_Maintenance_Part[[#This Row],[Latitude]],"")</f>
        <v>-0.157111</v>
      </c>
      <c r="I383">
        <f>IF(LEN(RIGHT(Registre_Maintenance_Part[[#This Row],[Longitude]],LEN(Registre_Maintenance_Part[[#This Row],[Longitude]])-SEARCH(",",Registre_Maintenance_Part[[#This Row],[Longitude]])))=6,Registre_Maintenance_Part[[#This Row],[Longitude]],"")</f>
        <v>25.415125</v>
      </c>
    </row>
    <row r="384" spans="1:9" x14ac:dyDescent="0.3">
      <c r="A384" t="s">
        <v>1560</v>
      </c>
      <c r="B384" t="s">
        <v>1564</v>
      </c>
      <c r="C384" t="s">
        <v>118</v>
      </c>
      <c r="D384">
        <v>-2.5254650000000001</v>
      </c>
      <c r="E384">
        <v>21.338113</v>
      </c>
      <c r="F384" t="s">
        <v>1426</v>
      </c>
      <c r="G384" t="s">
        <v>1438</v>
      </c>
      <c r="H384">
        <f>IF(LEN(RIGHT(Registre_Maintenance_Part[[#This Row],[Latitude]],LEN(Registre_Maintenance_Part[[#This Row],[Latitude]])-SEARCH(",",Registre_Maintenance_Part[[#This Row],[Latitude]])))=6,Registre_Maintenance_Part[[#This Row],[Latitude]],"")</f>
        <v>-2.5254650000000001</v>
      </c>
      <c r="I384">
        <f>IF(LEN(RIGHT(Registre_Maintenance_Part[[#This Row],[Longitude]],LEN(Registre_Maintenance_Part[[#This Row],[Longitude]])-SEARCH(",",Registre_Maintenance_Part[[#This Row],[Longitude]])))=6,Registre_Maintenance_Part[[#This Row],[Longitude]],"")</f>
        <v>21.338113</v>
      </c>
    </row>
    <row r="385" spans="1:9" x14ac:dyDescent="0.3">
      <c r="A385" t="s">
        <v>1560</v>
      </c>
      <c r="B385" t="s">
        <v>925</v>
      </c>
      <c r="C385" t="s">
        <v>17</v>
      </c>
      <c r="D385">
        <v>1.210869</v>
      </c>
      <c r="E385">
        <v>25.598741</v>
      </c>
      <c r="F385" t="s">
        <v>1429</v>
      </c>
      <c r="G385" t="s">
        <v>1427</v>
      </c>
      <c r="H385">
        <f>IF(LEN(RIGHT(Registre_Maintenance_Part[[#This Row],[Latitude]],LEN(Registre_Maintenance_Part[[#This Row],[Latitude]])-SEARCH(",",Registre_Maintenance_Part[[#This Row],[Latitude]])))=6,Registre_Maintenance_Part[[#This Row],[Latitude]],"")</f>
        <v>1.210869</v>
      </c>
      <c r="I385">
        <f>IF(LEN(RIGHT(Registre_Maintenance_Part[[#This Row],[Longitude]],LEN(Registre_Maintenance_Part[[#This Row],[Longitude]])-SEARCH(",",Registre_Maintenance_Part[[#This Row],[Longitude]])))=6,Registre_Maintenance_Part[[#This Row],[Longitude]],"")</f>
        <v>25.598741</v>
      </c>
    </row>
    <row r="386" spans="1:9" x14ac:dyDescent="0.3">
      <c r="A386" t="s">
        <v>1560</v>
      </c>
      <c r="B386" t="s">
        <v>1044</v>
      </c>
      <c r="C386" t="s">
        <v>33</v>
      </c>
      <c r="D386">
        <v>-1.4110389999999999</v>
      </c>
      <c r="E386">
        <v>21.261644</v>
      </c>
      <c r="F386" t="s">
        <v>1429</v>
      </c>
      <c r="G386" t="s">
        <v>1432</v>
      </c>
      <c r="H386">
        <f>IF(LEN(RIGHT(Registre_Maintenance_Part[[#This Row],[Latitude]],LEN(Registre_Maintenance_Part[[#This Row],[Latitude]])-SEARCH(",",Registre_Maintenance_Part[[#This Row],[Latitude]])))=6,Registre_Maintenance_Part[[#This Row],[Latitude]],"")</f>
        <v>-1.4110389999999999</v>
      </c>
      <c r="I386">
        <f>IF(LEN(RIGHT(Registre_Maintenance_Part[[#This Row],[Longitude]],LEN(Registre_Maintenance_Part[[#This Row],[Longitude]])-SEARCH(",",Registre_Maintenance_Part[[#This Row],[Longitude]])))=6,Registre_Maintenance_Part[[#This Row],[Longitude]],"")</f>
        <v>21.261644</v>
      </c>
    </row>
    <row r="387" spans="1:9" x14ac:dyDescent="0.3">
      <c r="A387" t="s">
        <v>1560</v>
      </c>
      <c r="B387" t="s">
        <v>875</v>
      </c>
      <c r="C387" t="s">
        <v>118</v>
      </c>
      <c r="D387">
        <v>-4.4351269999999996</v>
      </c>
      <c r="E387">
        <v>24.825467</v>
      </c>
      <c r="F387" t="s">
        <v>1429</v>
      </c>
      <c r="G387" t="s">
        <v>1430</v>
      </c>
      <c r="H387">
        <f>IF(LEN(RIGHT(Registre_Maintenance_Part[[#This Row],[Latitude]],LEN(Registre_Maintenance_Part[[#This Row],[Latitude]])-SEARCH(",",Registre_Maintenance_Part[[#This Row],[Latitude]])))=6,Registre_Maintenance_Part[[#This Row],[Latitude]],"")</f>
        <v>-4.4351269999999996</v>
      </c>
      <c r="I387">
        <f>IF(LEN(RIGHT(Registre_Maintenance_Part[[#This Row],[Longitude]],LEN(Registre_Maintenance_Part[[#This Row],[Longitude]])-SEARCH(",",Registre_Maintenance_Part[[#This Row],[Longitude]])))=6,Registre_Maintenance_Part[[#This Row],[Longitude]],"")</f>
        <v>24.825467</v>
      </c>
    </row>
    <row r="388" spans="1:9" x14ac:dyDescent="0.3">
      <c r="A388" t="s">
        <v>1560</v>
      </c>
      <c r="B388" t="s">
        <v>1565</v>
      </c>
      <c r="C388" t="s">
        <v>54</v>
      </c>
      <c r="D388">
        <v>-2.1430220000000002</v>
      </c>
      <c r="E388">
        <v>24.541492999999999</v>
      </c>
      <c r="F388" t="s">
        <v>1429</v>
      </c>
      <c r="G388" t="s">
        <v>1432</v>
      </c>
      <c r="H388">
        <f>IF(LEN(RIGHT(Registre_Maintenance_Part[[#This Row],[Latitude]],LEN(Registre_Maintenance_Part[[#This Row],[Latitude]])-SEARCH(",",Registre_Maintenance_Part[[#This Row],[Latitude]])))=6,Registre_Maintenance_Part[[#This Row],[Latitude]],"")</f>
        <v>-2.1430220000000002</v>
      </c>
      <c r="I388">
        <f>IF(LEN(RIGHT(Registre_Maintenance_Part[[#This Row],[Longitude]],LEN(Registre_Maintenance_Part[[#This Row],[Longitude]])-SEARCH(",",Registre_Maintenance_Part[[#This Row],[Longitude]])))=6,Registre_Maintenance_Part[[#This Row],[Longitude]],"")</f>
        <v>24.541492999999999</v>
      </c>
    </row>
    <row r="389" spans="1:9" x14ac:dyDescent="0.3">
      <c r="A389" t="s">
        <v>1560</v>
      </c>
      <c r="B389" t="s">
        <v>1126</v>
      </c>
      <c r="C389" t="s">
        <v>57</v>
      </c>
      <c r="D389">
        <v>-5.7200150000000001</v>
      </c>
      <c r="E389">
        <v>25.022109</v>
      </c>
      <c r="F389" t="s">
        <v>1426</v>
      </c>
      <c r="G389" t="s">
        <v>1432</v>
      </c>
      <c r="H389">
        <f>IF(LEN(RIGHT(Registre_Maintenance_Part[[#This Row],[Latitude]],LEN(Registre_Maintenance_Part[[#This Row],[Latitude]])-SEARCH(",",Registre_Maintenance_Part[[#This Row],[Latitude]])))=6,Registre_Maintenance_Part[[#This Row],[Latitude]],"")</f>
        <v>-5.7200150000000001</v>
      </c>
      <c r="I389">
        <f>IF(LEN(RIGHT(Registre_Maintenance_Part[[#This Row],[Longitude]],LEN(Registre_Maintenance_Part[[#This Row],[Longitude]])-SEARCH(",",Registre_Maintenance_Part[[#This Row],[Longitude]])))=6,Registre_Maintenance_Part[[#This Row],[Longitude]],"")</f>
        <v>25.022109</v>
      </c>
    </row>
    <row r="390" spans="1:9" x14ac:dyDescent="0.3">
      <c r="A390" t="s">
        <v>1560</v>
      </c>
      <c r="B390" t="s">
        <v>1566</v>
      </c>
      <c r="C390" t="s">
        <v>9</v>
      </c>
      <c r="D390">
        <v>-4.2784089999999999</v>
      </c>
      <c r="E390">
        <v>22.871994000000001</v>
      </c>
      <c r="F390" t="s">
        <v>1431</v>
      </c>
      <c r="G390" t="s">
        <v>1427</v>
      </c>
      <c r="H390">
        <f>IF(LEN(RIGHT(Registre_Maintenance_Part[[#This Row],[Latitude]],LEN(Registre_Maintenance_Part[[#This Row],[Latitude]])-SEARCH(",",Registre_Maintenance_Part[[#This Row],[Latitude]])))=6,Registre_Maintenance_Part[[#This Row],[Latitude]],"")</f>
        <v>-4.2784089999999999</v>
      </c>
      <c r="I390">
        <f>IF(LEN(RIGHT(Registre_Maintenance_Part[[#This Row],[Longitude]],LEN(Registre_Maintenance_Part[[#This Row],[Longitude]])-SEARCH(",",Registre_Maintenance_Part[[#This Row],[Longitude]])))=6,Registre_Maintenance_Part[[#This Row],[Longitude]],"")</f>
        <v>22.871994000000001</v>
      </c>
    </row>
    <row r="391" spans="1:9" x14ac:dyDescent="0.3">
      <c r="A391" t="s">
        <v>1560</v>
      </c>
      <c r="B391" t="s">
        <v>1567</v>
      </c>
      <c r="C391" t="s">
        <v>9</v>
      </c>
      <c r="D391">
        <v>0.82399199999999995</v>
      </c>
      <c r="E391">
        <v>28.232678</v>
      </c>
      <c r="F391" t="s">
        <v>1431</v>
      </c>
      <c r="G391" t="s">
        <v>1430</v>
      </c>
      <c r="H391">
        <f>IF(LEN(RIGHT(Registre_Maintenance_Part[[#This Row],[Latitude]],LEN(Registre_Maintenance_Part[[#This Row],[Latitude]])-SEARCH(",",Registre_Maintenance_Part[[#This Row],[Latitude]])))=6,Registre_Maintenance_Part[[#This Row],[Latitude]],"")</f>
        <v>0.82399199999999995</v>
      </c>
      <c r="I391">
        <f>IF(LEN(RIGHT(Registre_Maintenance_Part[[#This Row],[Longitude]],LEN(Registre_Maintenance_Part[[#This Row],[Longitude]])-SEARCH(",",Registre_Maintenance_Part[[#This Row],[Longitude]])))=6,Registre_Maintenance_Part[[#This Row],[Longitude]],"")</f>
        <v>28.232678</v>
      </c>
    </row>
    <row r="392" spans="1:9" x14ac:dyDescent="0.3">
      <c r="A392" t="s">
        <v>1560</v>
      </c>
      <c r="B392" t="s">
        <v>1568</v>
      </c>
      <c r="C392" t="s">
        <v>23</v>
      </c>
      <c r="D392">
        <v>-4.0490719999999998</v>
      </c>
      <c r="E392">
        <v>21.399131000000001</v>
      </c>
      <c r="F392" t="s">
        <v>1431</v>
      </c>
      <c r="G392" t="s">
        <v>1432</v>
      </c>
      <c r="H392">
        <f>IF(LEN(RIGHT(Registre_Maintenance_Part[[#This Row],[Latitude]],LEN(Registre_Maintenance_Part[[#This Row],[Latitude]])-SEARCH(",",Registre_Maintenance_Part[[#This Row],[Latitude]])))=6,Registre_Maintenance_Part[[#This Row],[Latitude]],"")</f>
        <v>-4.0490719999999998</v>
      </c>
      <c r="I392">
        <f>IF(LEN(RIGHT(Registre_Maintenance_Part[[#This Row],[Longitude]],LEN(Registre_Maintenance_Part[[#This Row],[Longitude]])-SEARCH(",",Registre_Maintenance_Part[[#This Row],[Longitude]])))=6,Registre_Maintenance_Part[[#This Row],[Longitude]],"")</f>
        <v>21.399131000000001</v>
      </c>
    </row>
    <row r="393" spans="1:9" x14ac:dyDescent="0.3">
      <c r="A393" t="s">
        <v>1560</v>
      </c>
      <c r="B393" t="s">
        <v>1386</v>
      </c>
      <c r="C393" t="s">
        <v>24</v>
      </c>
      <c r="D393">
        <v>-1.6893210000000001</v>
      </c>
      <c r="E393">
        <v>30.446543999999999</v>
      </c>
      <c r="F393" t="s">
        <v>1429</v>
      </c>
      <c r="G393" t="s">
        <v>1430</v>
      </c>
      <c r="H393">
        <f>IF(LEN(RIGHT(Registre_Maintenance_Part[[#This Row],[Latitude]],LEN(Registre_Maintenance_Part[[#This Row],[Latitude]])-SEARCH(",",Registre_Maintenance_Part[[#This Row],[Latitude]])))=6,Registre_Maintenance_Part[[#This Row],[Latitude]],"")</f>
        <v>-1.6893210000000001</v>
      </c>
      <c r="I393">
        <f>IF(LEN(RIGHT(Registre_Maintenance_Part[[#This Row],[Longitude]],LEN(Registre_Maintenance_Part[[#This Row],[Longitude]])-SEARCH(",",Registre_Maintenance_Part[[#This Row],[Longitude]])))=6,Registre_Maintenance_Part[[#This Row],[Longitude]],"")</f>
        <v>30.446543999999999</v>
      </c>
    </row>
    <row r="394" spans="1:9" x14ac:dyDescent="0.3">
      <c r="A394" t="s">
        <v>1560</v>
      </c>
      <c r="B394" t="s">
        <v>1019</v>
      </c>
      <c r="C394" t="s">
        <v>12</v>
      </c>
      <c r="D394">
        <v>-10.577049000000001</v>
      </c>
      <c r="E394">
        <v>23.721854</v>
      </c>
      <c r="F394" t="s">
        <v>1429</v>
      </c>
      <c r="G394" t="s">
        <v>1432</v>
      </c>
      <c r="H394">
        <f>IF(LEN(RIGHT(Registre_Maintenance_Part[[#This Row],[Latitude]],LEN(Registre_Maintenance_Part[[#This Row],[Latitude]])-SEARCH(",",Registre_Maintenance_Part[[#This Row],[Latitude]])))=6,Registre_Maintenance_Part[[#This Row],[Latitude]],"")</f>
        <v>-10.577049000000001</v>
      </c>
      <c r="I394">
        <f>IF(LEN(RIGHT(Registre_Maintenance_Part[[#This Row],[Longitude]],LEN(Registre_Maintenance_Part[[#This Row],[Longitude]])-SEARCH(",",Registre_Maintenance_Part[[#This Row],[Longitude]])))=6,Registre_Maintenance_Part[[#This Row],[Longitude]],"")</f>
        <v>23.721854</v>
      </c>
    </row>
    <row r="395" spans="1:9" x14ac:dyDescent="0.3">
      <c r="A395" t="s">
        <v>1560</v>
      </c>
      <c r="B395" t="s">
        <v>1303</v>
      </c>
      <c r="C395" t="s">
        <v>20</v>
      </c>
      <c r="D395">
        <v>-11.207139</v>
      </c>
      <c r="E395">
        <v>18.702511999999999</v>
      </c>
      <c r="F395" t="s">
        <v>1426</v>
      </c>
      <c r="G395" t="s">
        <v>1427</v>
      </c>
      <c r="H395">
        <f>IF(LEN(RIGHT(Registre_Maintenance_Part[[#This Row],[Latitude]],LEN(Registre_Maintenance_Part[[#This Row],[Latitude]])-SEARCH(",",Registre_Maintenance_Part[[#This Row],[Latitude]])))=6,Registre_Maintenance_Part[[#This Row],[Latitude]],"")</f>
        <v>-11.207139</v>
      </c>
      <c r="I395">
        <f>IF(LEN(RIGHT(Registre_Maintenance_Part[[#This Row],[Longitude]],LEN(Registre_Maintenance_Part[[#This Row],[Longitude]])-SEARCH(",",Registre_Maintenance_Part[[#This Row],[Longitude]])))=6,Registre_Maintenance_Part[[#This Row],[Longitude]],"")</f>
        <v>18.702511999999999</v>
      </c>
    </row>
    <row r="396" spans="1:9" x14ac:dyDescent="0.3">
      <c r="A396" t="s">
        <v>1560</v>
      </c>
      <c r="B396" t="s">
        <v>1569</v>
      </c>
      <c r="C396" t="s">
        <v>27</v>
      </c>
      <c r="D396">
        <v>-12.048655999999999</v>
      </c>
      <c r="E396">
        <v>30.577876</v>
      </c>
      <c r="F396" t="s">
        <v>1426</v>
      </c>
      <c r="G396" t="s">
        <v>1432</v>
      </c>
      <c r="H396">
        <f>IF(LEN(RIGHT(Registre_Maintenance_Part[[#This Row],[Latitude]],LEN(Registre_Maintenance_Part[[#This Row],[Latitude]])-SEARCH(",",Registre_Maintenance_Part[[#This Row],[Latitude]])))=6,Registre_Maintenance_Part[[#This Row],[Latitude]],"")</f>
        <v>-12.048655999999999</v>
      </c>
      <c r="I396">
        <f>IF(LEN(RIGHT(Registre_Maintenance_Part[[#This Row],[Longitude]],LEN(Registre_Maintenance_Part[[#This Row],[Longitude]])-SEARCH(",",Registre_Maintenance_Part[[#This Row],[Longitude]])))=6,Registre_Maintenance_Part[[#This Row],[Longitude]],"")</f>
        <v>30.577876</v>
      </c>
    </row>
    <row r="397" spans="1:9" x14ac:dyDescent="0.3">
      <c r="A397" t="s">
        <v>1560</v>
      </c>
      <c r="B397" t="s">
        <v>1570</v>
      </c>
      <c r="C397" t="s">
        <v>61</v>
      </c>
      <c r="D397">
        <v>-11.771884</v>
      </c>
      <c r="E397">
        <v>18.089172999999999</v>
      </c>
      <c r="F397" t="s">
        <v>1429</v>
      </c>
      <c r="G397" t="s">
        <v>1438</v>
      </c>
      <c r="H397">
        <f>IF(LEN(RIGHT(Registre_Maintenance_Part[[#This Row],[Latitude]],LEN(Registre_Maintenance_Part[[#This Row],[Latitude]])-SEARCH(",",Registre_Maintenance_Part[[#This Row],[Latitude]])))=6,Registre_Maintenance_Part[[#This Row],[Latitude]],"")</f>
        <v>-11.771884</v>
      </c>
      <c r="I397">
        <f>IF(LEN(RIGHT(Registre_Maintenance_Part[[#This Row],[Longitude]],LEN(Registre_Maintenance_Part[[#This Row],[Longitude]])-SEARCH(",",Registre_Maintenance_Part[[#This Row],[Longitude]])))=6,Registre_Maintenance_Part[[#This Row],[Longitude]],"")</f>
        <v>18.089172999999999</v>
      </c>
    </row>
    <row r="398" spans="1:9" x14ac:dyDescent="0.3">
      <c r="A398" t="s">
        <v>1560</v>
      </c>
      <c r="B398" t="s">
        <v>894</v>
      </c>
      <c r="C398" t="s">
        <v>12</v>
      </c>
      <c r="D398">
        <v>-0.79406600000000005</v>
      </c>
      <c r="E398">
        <v>12.534793000000001</v>
      </c>
      <c r="F398" t="s">
        <v>1431</v>
      </c>
      <c r="G398" t="s">
        <v>1430</v>
      </c>
      <c r="H398">
        <f>IF(LEN(RIGHT(Registre_Maintenance_Part[[#This Row],[Latitude]],LEN(Registre_Maintenance_Part[[#This Row],[Latitude]])-SEARCH(",",Registre_Maintenance_Part[[#This Row],[Latitude]])))=6,Registre_Maintenance_Part[[#This Row],[Latitude]],"")</f>
        <v>-0.79406600000000005</v>
      </c>
      <c r="I398">
        <f>IF(LEN(RIGHT(Registre_Maintenance_Part[[#This Row],[Longitude]],LEN(Registre_Maintenance_Part[[#This Row],[Longitude]])-SEARCH(",",Registre_Maintenance_Part[[#This Row],[Longitude]])))=6,Registre_Maintenance_Part[[#This Row],[Longitude]],"")</f>
        <v>12.534793000000001</v>
      </c>
    </row>
    <row r="399" spans="1:9" x14ac:dyDescent="0.3">
      <c r="A399" t="s">
        <v>1560</v>
      </c>
      <c r="B399" t="s">
        <v>1052</v>
      </c>
      <c r="C399" t="s">
        <v>24</v>
      </c>
      <c r="D399">
        <v>4.497306</v>
      </c>
      <c r="E399">
        <v>12.857251</v>
      </c>
      <c r="F399" t="s">
        <v>1426</v>
      </c>
      <c r="G399" t="s">
        <v>1427</v>
      </c>
      <c r="H399">
        <f>IF(LEN(RIGHT(Registre_Maintenance_Part[[#This Row],[Latitude]],LEN(Registre_Maintenance_Part[[#This Row],[Latitude]])-SEARCH(",",Registre_Maintenance_Part[[#This Row],[Latitude]])))=6,Registre_Maintenance_Part[[#This Row],[Latitude]],"")</f>
        <v>4.497306</v>
      </c>
      <c r="I399">
        <f>IF(LEN(RIGHT(Registre_Maintenance_Part[[#This Row],[Longitude]],LEN(Registre_Maintenance_Part[[#This Row],[Longitude]])-SEARCH(",",Registre_Maintenance_Part[[#This Row],[Longitude]])))=6,Registre_Maintenance_Part[[#This Row],[Longitude]],"")</f>
        <v>12.857251</v>
      </c>
    </row>
    <row r="400" spans="1:9" x14ac:dyDescent="0.3">
      <c r="A400" t="s">
        <v>1560</v>
      </c>
      <c r="B400" t="s">
        <v>1571</v>
      </c>
      <c r="C400" t="s">
        <v>12</v>
      </c>
      <c r="D400">
        <v>-6.1126060000000004</v>
      </c>
      <c r="E400">
        <v>27.901748999999999</v>
      </c>
      <c r="F400" t="s">
        <v>1429</v>
      </c>
      <c r="G400" t="s">
        <v>1432</v>
      </c>
      <c r="H400">
        <f>IF(LEN(RIGHT(Registre_Maintenance_Part[[#This Row],[Latitude]],LEN(Registre_Maintenance_Part[[#This Row],[Latitude]])-SEARCH(",",Registre_Maintenance_Part[[#This Row],[Latitude]])))=6,Registre_Maintenance_Part[[#This Row],[Latitude]],"")</f>
        <v>-6.1126060000000004</v>
      </c>
      <c r="I400">
        <f>IF(LEN(RIGHT(Registre_Maintenance_Part[[#This Row],[Longitude]],LEN(Registre_Maintenance_Part[[#This Row],[Longitude]])-SEARCH(",",Registre_Maintenance_Part[[#This Row],[Longitude]])))=6,Registre_Maintenance_Part[[#This Row],[Longitude]],"")</f>
        <v>27.901748999999999</v>
      </c>
    </row>
    <row r="401" spans="1:9" x14ac:dyDescent="0.3">
      <c r="A401" t="s">
        <v>1560</v>
      </c>
      <c r="B401" t="s">
        <v>771</v>
      </c>
      <c r="C401" t="s">
        <v>48</v>
      </c>
      <c r="D401">
        <v>-0.77432100000000004</v>
      </c>
      <c r="E401">
        <v>18.628658999999999</v>
      </c>
      <c r="F401" t="s">
        <v>1429</v>
      </c>
      <c r="G401" t="s">
        <v>1430</v>
      </c>
      <c r="H401">
        <f>IF(LEN(RIGHT(Registre_Maintenance_Part[[#This Row],[Latitude]],LEN(Registre_Maintenance_Part[[#This Row],[Latitude]])-SEARCH(",",Registre_Maintenance_Part[[#This Row],[Latitude]])))=6,Registre_Maintenance_Part[[#This Row],[Latitude]],"")</f>
        <v>-0.77432100000000004</v>
      </c>
      <c r="I401">
        <f>IF(LEN(RIGHT(Registre_Maintenance_Part[[#This Row],[Longitude]],LEN(Registre_Maintenance_Part[[#This Row],[Longitude]])-SEARCH(",",Registre_Maintenance_Part[[#This Row],[Longitude]])))=6,Registre_Maintenance_Part[[#This Row],[Longitude]],"")</f>
        <v>18.628658999999999</v>
      </c>
    </row>
    <row r="402" spans="1:9" x14ac:dyDescent="0.3">
      <c r="A402" t="s">
        <v>1560</v>
      </c>
      <c r="B402" t="s">
        <v>883</v>
      </c>
      <c r="C402" t="s">
        <v>118</v>
      </c>
      <c r="D402">
        <v>-1.8045979999999999</v>
      </c>
      <c r="E402">
        <v>12.511096999999999</v>
      </c>
      <c r="F402" t="s">
        <v>1431</v>
      </c>
      <c r="G402" t="s">
        <v>1430</v>
      </c>
      <c r="H402">
        <f>IF(LEN(RIGHT(Registre_Maintenance_Part[[#This Row],[Latitude]],LEN(Registre_Maintenance_Part[[#This Row],[Latitude]])-SEARCH(",",Registre_Maintenance_Part[[#This Row],[Latitude]])))=6,Registre_Maintenance_Part[[#This Row],[Latitude]],"")</f>
        <v>-1.8045979999999999</v>
      </c>
      <c r="I402">
        <f>IF(LEN(RIGHT(Registre_Maintenance_Part[[#This Row],[Longitude]],LEN(Registre_Maintenance_Part[[#This Row],[Longitude]])-SEARCH(",",Registre_Maintenance_Part[[#This Row],[Longitude]])))=6,Registre_Maintenance_Part[[#This Row],[Longitude]],"")</f>
        <v>12.511096999999999</v>
      </c>
    </row>
    <row r="403" spans="1:9" x14ac:dyDescent="0.3">
      <c r="A403" t="s">
        <v>1560</v>
      </c>
      <c r="B403" t="s">
        <v>1216</v>
      </c>
      <c r="C403" t="s">
        <v>68</v>
      </c>
      <c r="D403">
        <v>-11.265995</v>
      </c>
      <c r="E403">
        <v>28.935514999999999</v>
      </c>
      <c r="F403" t="s">
        <v>1429</v>
      </c>
      <c r="G403" t="s">
        <v>1427</v>
      </c>
      <c r="H403">
        <f>IF(LEN(RIGHT(Registre_Maintenance_Part[[#This Row],[Latitude]],LEN(Registre_Maintenance_Part[[#This Row],[Latitude]])-SEARCH(",",Registre_Maintenance_Part[[#This Row],[Latitude]])))=6,Registre_Maintenance_Part[[#This Row],[Latitude]],"")</f>
        <v>-11.265995</v>
      </c>
      <c r="I403">
        <f>IF(LEN(RIGHT(Registre_Maintenance_Part[[#This Row],[Longitude]],LEN(Registre_Maintenance_Part[[#This Row],[Longitude]])-SEARCH(",",Registre_Maintenance_Part[[#This Row],[Longitude]])))=6,Registre_Maintenance_Part[[#This Row],[Longitude]],"")</f>
        <v>28.935514999999999</v>
      </c>
    </row>
    <row r="404" spans="1:9" x14ac:dyDescent="0.3">
      <c r="A404" t="s">
        <v>1560</v>
      </c>
      <c r="B404" t="s">
        <v>864</v>
      </c>
      <c r="C404" t="s">
        <v>12</v>
      </c>
      <c r="D404">
        <v>-11.622688999999999</v>
      </c>
      <c r="E404">
        <v>18.483874</v>
      </c>
      <c r="F404" t="s">
        <v>1426</v>
      </c>
      <c r="G404" t="s">
        <v>1432</v>
      </c>
      <c r="H404">
        <f>IF(LEN(RIGHT(Registre_Maintenance_Part[[#This Row],[Latitude]],LEN(Registre_Maintenance_Part[[#This Row],[Latitude]])-SEARCH(",",Registre_Maintenance_Part[[#This Row],[Latitude]])))=6,Registre_Maintenance_Part[[#This Row],[Latitude]],"")</f>
        <v>-11.622688999999999</v>
      </c>
      <c r="I404">
        <f>IF(LEN(RIGHT(Registre_Maintenance_Part[[#This Row],[Longitude]],LEN(Registre_Maintenance_Part[[#This Row],[Longitude]])-SEARCH(",",Registre_Maintenance_Part[[#This Row],[Longitude]])))=6,Registre_Maintenance_Part[[#This Row],[Longitude]],"")</f>
        <v>18.483874</v>
      </c>
    </row>
    <row r="405" spans="1:9" x14ac:dyDescent="0.3">
      <c r="A405" t="s">
        <v>1560</v>
      </c>
      <c r="B405" t="s">
        <v>914</v>
      </c>
      <c r="C405" t="s">
        <v>12</v>
      </c>
      <c r="D405">
        <v>0.52897499999999997</v>
      </c>
      <c r="E405">
        <v>13.849651</v>
      </c>
      <c r="F405" t="s">
        <v>1431</v>
      </c>
      <c r="G405" t="s">
        <v>1432</v>
      </c>
      <c r="H405">
        <f>IF(LEN(RIGHT(Registre_Maintenance_Part[[#This Row],[Latitude]],LEN(Registre_Maintenance_Part[[#This Row],[Latitude]])-SEARCH(",",Registre_Maintenance_Part[[#This Row],[Latitude]])))=6,Registre_Maintenance_Part[[#This Row],[Latitude]],"")</f>
        <v>0.52897499999999997</v>
      </c>
      <c r="I405">
        <f>IF(LEN(RIGHT(Registre_Maintenance_Part[[#This Row],[Longitude]],LEN(Registre_Maintenance_Part[[#This Row],[Longitude]])-SEARCH(",",Registre_Maintenance_Part[[#This Row],[Longitude]])))=6,Registre_Maintenance_Part[[#This Row],[Longitude]],"")</f>
        <v>13.849651</v>
      </c>
    </row>
    <row r="406" spans="1:9" x14ac:dyDescent="0.3">
      <c r="A406" t="s">
        <v>1560</v>
      </c>
      <c r="B406" t="s">
        <v>1572</v>
      </c>
      <c r="C406" t="s">
        <v>37</v>
      </c>
      <c r="D406">
        <v>0.81629799999999997</v>
      </c>
      <c r="E406">
        <v>18.557718000000001</v>
      </c>
      <c r="F406" t="s">
        <v>1426</v>
      </c>
      <c r="G406" t="s">
        <v>1427</v>
      </c>
      <c r="H406">
        <f>IF(LEN(RIGHT(Registre_Maintenance_Part[[#This Row],[Latitude]],LEN(Registre_Maintenance_Part[[#This Row],[Latitude]])-SEARCH(",",Registre_Maintenance_Part[[#This Row],[Latitude]])))=6,Registre_Maintenance_Part[[#This Row],[Latitude]],"")</f>
        <v>0.81629799999999997</v>
      </c>
      <c r="I406">
        <f>IF(LEN(RIGHT(Registre_Maintenance_Part[[#This Row],[Longitude]],LEN(Registre_Maintenance_Part[[#This Row],[Longitude]])-SEARCH(",",Registre_Maintenance_Part[[#This Row],[Longitude]])))=6,Registre_Maintenance_Part[[#This Row],[Longitude]],"")</f>
        <v>18.557718000000001</v>
      </c>
    </row>
    <row r="407" spans="1:9" x14ac:dyDescent="0.3">
      <c r="A407" t="s">
        <v>1560</v>
      </c>
      <c r="B407" t="s">
        <v>1415</v>
      </c>
      <c r="C407" t="s">
        <v>48</v>
      </c>
      <c r="D407">
        <v>1.2691650000000001</v>
      </c>
      <c r="E407">
        <v>18.789956</v>
      </c>
      <c r="F407" t="s">
        <v>1431</v>
      </c>
      <c r="G407" t="s">
        <v>1438</v>
      </c>
      <c r="H407">
        <f>IF(LEN(RIGHT(Registre_Maintenance_Part[[#This Row],[Latitude]],LEN(Registre_Maintenance_Part[[#This Row],[Latitude]])-SEARCH(",",Registre_Maintenance_Part[[#This Row],[Latitude]])))=6,Registre_Maintenance_Part[[#This Row],[Latitude]],"")</f>
        <v>1.2691650000000001</v>
      </c>
      <c r="I407">
        <f>IF(LEN(RIGHT(Registre_Maintenance_Part[[#This Row],[Longitude]],LEN(Registre_Maintenance_Part[[#This Row],[Longitude]])-SEARCH(",",Registre_Maintenance_Part[[#This Row],[Longitude]])))=6,Registre_Maintenance_Part[[#This Row],[Longitude]],"")</f>
        <v>18.789956</v>
      </c>
    </row>
    <row r="408" spans="1:9" x14ac:dyDescent="0.3">
      <c r="A408" t="s">
        <v>1560</v>
      </c>
      <c r="B408" t="s">
        <v>919</v>
      </c>
      <c r="C408" t="s">
        <v>41</v>
      </c>
      <c r="D408">
        <v>-9.3652280000000001</v>
      </c>
      <c r="E408">
        <v>18.674116000000001</v>
      </c>
      <c r="F408" t="s">
        <v>1429</v>
      </c>
      <c r="G408" t="s">
        <v>1430</v>
      </c>
      <c r="H408">
        <f>IF(LEN(RIGHT(Registre_Maintenance_Part[[#This Row],[Latitude]],LEN(Registre_Maintenance_Part[[#This Row],[Latitude]])-SEARCH(",",Registre_Maintenance_Part[[#This Row],[Latitude]])))=6,Registre_Maintenance_Part[[#This Row],[Latitude]],"")</f>
        <v>-9.3652280000000001</v>
      </c>
      <c r="I408">
        <f>IF(LEN(RIGHT(Registre_Maintenance_Part[[#This Row],[Longitude]],LEN(Registre_Maintenance_Part[[#This Row],[Longitude]])-SEARCH(",",Registre_Maintenance_Part[[#This Row],[Longitude]])))=6,Registre_Maintenance_Part[[#This Row],[Longitude]],"")</f>
        <v>18.674116000000001</v>
      </c>
    </row>
    <row r="409" spans="1:9" x14ac:dyDescent="0.3">
      <c r="A409" t="s">
        <v>1560</v>
      </c>
      <c r="B409" t="s">
        <v>997</v>
      </c>
      <c r="C409" t="s">
        <v>122</v>
      </c>
      <c r="D409">
        <v>-4.1754939999999996</v>
      </c>
      <c r="E409">
        <v>16.704664999999999</v>
      </c>
      <c r="F409" t="s">
        <v>1431</v>
      </c>
      <c r="G409" t="s">
        <v>1427</v>
      </c>
      <c r="H409">
        <f>IF(LEN(RIGHT(Registre_Maintenance_Part[[#This Row],[Latitude]],LEN(Registre_Maintenance_Part[[#This Row],[Latitude]])-SEARCH(",",Registre_Maintenance_Part[[#This Row],[Latitude]])))=6,Registre_Maintenance_Part[[#This Row],[Latitude]],"")</f>
        <v>-4.1754939999999996</v>
      </c>
      <c r="I409">
        <f>IF(LEN(RIGHT(Registre_Maintenance_Part[[#This Row],[Longitude]],LEN(Registre_Maintenance_Part[[#This Row],[Longitude]])-SEARCH(",",Registre_Maintenance_Part[[#This Row],[Longitude]])))=6,Registre_Maintenance_Part[[#This Row],[Longitude]],"")</f>
        <v>16.704664999999999</v>
      </c>
    </row>
    <row r="410" spans="1:9" x14ac:dyDescent="0.3">
      <c r="A410" t="s">
        <v>1560</v>
      </c>
      <c r="B410" t="s">
        <v>1573</v>
      </c>
      <c r="C410" t="s">
        <v>35</v>
      </c>
      <c r="D410">
        <v>-8.290025</v>
      </c>
      <c r="E410">
        <v>24.313573999999999</v>
      </c>
      <c r="F410" t="s">
        <v>1429</v>
      </c>
      <c r="G410" t="s">
        <v>1427</v>
      </c>
      <c r="H410">
        <f>IF(LEN(RIGHT(Registre_Maintenance_Part[[#This Row],[Latitude]],LEN(Registre_Maintenance_Part[[#This Row],[Latitude]])-SEARCH(",",Registre_Maintenance_Part[[#This Row],[Latitude]])))=6,Registre_Maintenance_Part[[#This Row],[Latitude]],"")</f>
        <v>-8.290025</v>
      </c>
      <c r="I410">
        <f>IF(LEN(RIGHT(Registre_Maintenance_Part[[#This Row],[Longitude]],LEN(Registre_Maintenance_Part[[#This Row],[Longitude]])-SEARCH(",",Registre_Maintenance_Part[[#This Row],[Longitude]])))=6,Registre_Maintenance_Part[[#This Row],[Longitude]],"")</f>
        <v>24.313573999999999</v>
      </c>
    </row>
    <row r="411" spans="1:9" x14ac:dyDescent="0.3">
      <c r="A411" t="s">
        <v>1560</v>
      </c>
      <c r="B411" t="s">
        <v>1359</v>
      </c>
      <c r="C411" t="s">
        <v>83</v>
      </c>
      <c r="D411">
        <v>-6.8149179999999996</v>
      </c>
      <c r="E411">
        <v>23.258102000000001</v>
      </c>
      <c r="F411" t="s">
        <v>1426</v>
      </c>
      <c r="G411" t="s">
        <v>1430</v>
      </c>
      <c r="H411">
        <f>IF(LEN(RIGHT(Registre_Maintenance_Part[[#This Row],[Latitude]],LEN(Registre_Maintenance_Part[[#This Row],[Latitude]])-SEARCH(",",Registre_Maintenance_Part[[#This Row],[Latitude]])))=6,Registre_Maintenance_Part[[#This Row],[Latitude]],"")</f>
        <v>-6.8149179999999996</v>
      </c>
      <c r="I411">
        <f>IF(LEN(RIGHT(Registre_Maintenance_Part[[#This Row],[Longitude]],LEN(Registre_Maintenance_Part[[#This Row],[Longitude]])-SEARCH(",",Registre_Maintenance_Part[[#This Row],[Longitude]])))=6,Registre_Maintenance_Part[[#This Row],[Longitude]],"")</f>
        <v>23.258102000000001</v>
      </c>
    </row>
    <row r="412" spans="1:9" x14ac:dyDescent="0.3">
      <c r="A412" t="s">
        <v>1560</v>
      </c>
      <c r="B412" t="s">
        <v>849</v>
      </c>
      <c r="C412" t="s">
        <v>48</v>
      </c>
      <c r="D412">
        <v>2.4741019999999998</v>
      </c>
      <c r="E412">
        <v>29.297391000000001</v>
      </c>
      <c r="F412" t="s">
        <v>1429</v>
      </c>
      <c r="G412" t="s">
        <v>1427</v>
      </c>
      <c r="H412">
        <f>IF(LEN(RIGHT(Registre_Maintenance_Part[[#This Row],[Latitude]],LEN(Registre_Maintenance_Part[[#This Row],[Latitude]])-SEARCH(",",Registre_Maintenance_Part[[#This Row],[Latitude]])))=6,Registre_Maintenance_Part[[#This Row],[Latitude]],"")</f>
        <v>2.4741019999999998</v>
      </c>
      <c r="I412">
        <f>IF(LEN(RIGHT(Registre_Maintenance_Part[[#This Row],[Longitude]],LEN(Registre_Maintenance_Part[[#This Row],[Longitude]])-SEARCH(",",Registre_Maintenance_Part[[#This Row],[Longitude]])))=6,Registre_Maintenance_Part[[#This Row],[Longitude]],"")</f>
        <v>29.297391000000001</v>
      </c>
    </row>
    <row r="413" spans="1:9" x14ac:dyDescent="0.3">
      <c r="A413" t="s">
        <v>1560</v>
      </c>
      <c r="B413" t="s">
        <v>1327</v>
      </c>
      <c r="C413" t="s">
        <v>17</v>
      </c>
      <c r="D413">
        <v>-3.1608390000000002</v>
      </c>
      <c r="E413">
        <v>13.244503999999999</v>
      </c>
      <c r="F413" t="s">
        <v>1431</v>
      </c>
      <c r="G413" t="s">
        <v>1430</v>
      </c>
      <c r="H413">
        <f>IF(LEN(RIGHT(Registre_Maintenance_Part[[#This Row],[Latitude]],LEN(Registre_Maintenance_Part[[#This Row],[Latitude]])-SEARCH(",",Registre_Maintenance_Part[[#This Row],[Latitude]])))=6,Registre_Maintenance_Part[[#This Row],[Latitude]],"")</f>
        <v>-3.1608390000000002</v>
      </c>
      <c r="I413">
        <f>IF(LEN(RIGHT(Registre_Maintenance_Part[[#This Row],[Longitude]],LEN(Registre_Maintenance_Part[[#This Row],[Longitude]])-SEARCH(",",Registre_Maintenance_Part[[#This Row],[Longitude]])))=6,Registre_Maintenance_Part[[#This Row],[Longitude]],"")</f>
        <v>13.244503999999999</v>
      </c>
    </row>
    <row r="414" spans="1:9" x14ac:dyDescent="0.3">
      <c r="A414" t="s">
        <v>1560</v>
      </c>
      <c r="B414" t="s">
        <v>1574</v>
      </c>
      <c r="C414" t="s">
        <v>27</v>
      </c>
      <c r="D414">
        <v>4.1464489999999996</v>
      </c>
      <c r="E414">
        <v>17.793337000000001</v>
      </c>
      <c r="F414" t="s">
        <v>1426</v>
      </c>
      <c r="G414" t="s">
        <v>1432</v>
      </c>
      <c r="H414">
        <f>IF(LEN(RIGHT(Registre_Maintenance_Part[[#This Row],[Latitude]],LEN(Registre_Maintenance_Part[[#This Row],[Latitude]])-SEARCH(",",Registre_Maintenance_Part[[#This Row],[Latitude]])))=6,Registre_Maintenance_Part[[#This Row],[Latitude]],"")</f>
        <v>4.1464489999999996</v>
      </c>
      <c r="I414">
        <f>IF(LEN(RIGHT(Registre_Maintenance_Part[[#This Row],[Longitude]],LEN(Registre_Maintenance_Part[[#This Row],[Longitude]])-SEARCH(",",Registre_Maintenance_Part[[#This Row],[Longitude]])))=6,Registre_Maintenance_Part[[#This Row],[Longitude]],"")</f>
        <v>17.793337000000001</v>
      </c>
    </row>
    <row r="415" spans="1:9" x14ac:dyDescent="0.3">
      <c r="A415" t="s">
        <v>1560</v>
      </c>
      <c r="B415" t="s">
        <v>978</v>
      </c>
      <c r="C415" t="s">
        <v>37</v>
      </c>
      <c r="D415">
        <v>-12.431227</v>
      </c>
      <c r="E415">
        <v>18.414290999999999</v>
      </c>
      <c r="F415" t="s">
        <v>1426</v>
      </c>
      <c r="G415" t="s">
        <v>1430</v>
      </c>
      <c r="H415">
        <f>IF(LEN(RIGHT(Registre_Maintenance_Part[[#This Row],[Latitude]],LEN(Registre_Maintenance_Part[[#This Row],[Latitude]])-SEARCH(",",Registre_Maintenance_Part[[#This Row],[Latitude]])))=6,Registre_Maintenance_Part[[#This Row],[Latitude]],"")</f>
        <v>-12.431227</v>
      </c>
      <c r="I415">
        <f>IF(LEN(RIGHT(Registre_Maintenance_Part[[#This Row],[Longitude]],LEN(Registre_Maintenance_Part[[#This Row],[Longitude]])-SEARCH(",",Registre_Maintenance_Part[[#This Row],[Longitude]])))=6,Registre_Maintenance_Part[[#This Row],[Longitude]],"")</f>
        <v>18.414290999999999</v>
      </c>
    </row>
    <row r="416" spans="1:9" x14ac:dyDescent="0.3">
      <c r="A416" t="s">
        <v>1560</v>
      </c>
      <c r="B416" t="s">
        <v>821</v>
      </c>
      <c r="C416" t="s">
        <v>20</v>
      </c>
      <c r="D416">
        <v>-5.2526849999999996</v>
      </c>
      <c r="E416">
        <v>12.374528</v>
      </c>
      <c r="F416" t="s">
        <v>1431</v>
      </c>
      <c r="G416" t="s">
        <v>1438</v>
      </c>
      <c r="H416">
        <f>IF(LEN(RIGHT(Registre_Maintenance_Part[[#This Row],[Latitude]],LEN(Registre_Maintenance_Part[[#This Row],[Latitude]])-SEARCH(",",Registre_Maintenance_Part[[#This Row],[Latitude]])))=6,Registre_Maintenance_Part[[#This Row],[Latitude]],"")</f>
        <v>-5.2526849999999996</v>
      </c>
      <c r="I416">
        <f>IF(LEN(RIGHT(Registre_Maintenance_Part[[#This Row],[Longitude]],LEN(Registre_Maintenance_Part[[#This Row],[Longitude]])-SEARCH(",",Registre_Maintenance_Part[[#This Row],[Longitude]])))=6,Registre_Maintenance_Part[[#This Row],[Longitude]],"")</f>
        <v>12.374528</v>
      </c>
    </row>
    <row r="417" spans="1:9" x14ac:dyDescent="0.3">
      <c r="A417" t="s">
        <v>1560</v>
      </c>
      <c r="B417" t="s">
        <v>1575</v>
      </c>
      <c r="C417" t="s">
        <v>72</v>
      </c>
      <c r="D417">
        <v>-6.0946619999999996</v>
      </c>
      <c r="E417">
        <v>20.757277999999999</v>
      </c>
      <c r="F417" t="s">
        <v>1426</v>
      </c>
      <c r="G417" t="s">
        <v>1430</v>
      </c>
      <c r="H417">
        <f>IF(LEN(RIGHT(Registre_Maintenance_Part[[#This Row],[Latitude]],LEN(Registre_Maintenance_Part[[#This Row],[Latitude]])-SEARCH(",",Registre_Maintenance_Part[[#This Row],[Latitude]])))=6,Registre_Maintenance_Part[[#This Row],[Latitude]],"")</f>
        <v>-6.0946619999999996</v>
      </c>
      <c r="I417">
        <f>IF(LEN(RIGHT(Registre_Maintenance_Part[[#This Row],[Longitude]],LEN(Registre_Maintenance_Part[[#This Row],[Longitude]])-SEARCH(",",Registre_Maintenance_Part[[#This Row],[Longitude]])))=6,Registre_Maintenance_Part[[#This Row],[Longitude]],"")</f>
        <v>20.757277999999999</v>
      </c>
    </row>
    <row r="418" spans="1:9" x14ac:dyDescent="0.3">
      <c r="A418" t="s">
        <v>1560</v>
      </c>
      <c r="B418" t="s">
        <v>1241</v>
      </c>
      <c r="C418" t="s">
        <v>31</v>
      </c>
      <c r="D418">
        <v>-7.3379339999999997</v>
      </c>
      <c r="E418">
        <v>28.404001999999998</v>
      </c>
      <c r="F418" t="s">
        <v>1431</v>
      </c>
      <c r="G418" t="s">
        <v>1438</v>
      </c>
      <c r="H418">
        <f>IF(LEN(RIGHT(Registre_Maintenance_Part[[#This Row],[Latitude]],LEN(Registre_Maintenance_Part[[#This Row],[Latitude]])-SEARCH(",",Registre_Maintenance_Part[[#This Row],[Latitude]])))=6,Registre_Maintenance_Part[[#This Row],[Latitude]],"")</f>
        <v>-7.3379339999999997</v>
      </c>
      <c r="I418">
        <f>IF(LEN(RIGHT(Registre_Maintenance_Part[[#This Row],[Longitude]],LEN(Registre_Maintenance_Part[[#This Row],[Longitude]])-SEARCH(",",Registre_Maintenance_Part[[#This Row],[Longitude]])))=6,Registre_Maintenance_Part[[#This Row],[Longitude]],"")</f>
        <v>28.404001999999998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9"/>
  <sheetViews>
    <sheetView topLeftCell="A946" workbookViewId="0">
      <selection activeCell="G946" sqref="G946"/>
    </sheetView>
  </sheetViews>
  <sheetFormatPr baseColWidth="10" defaultColWidth="9.109375" defaultRowHeight="14.4" x14ac:dyDescent="0.3"/>
  <cols>
    <col min="1" max="1" width="16.44140625" customWidth="1"/>
    <col min="2" max="2" width="23.44140625" customWidth="1"/>
    <col min="3" max="3" width="26.88671875" customWidth="1"/>
    <col min="4" max="4" width="16" customWidth="1"/>
    <col min="5" max="5" width="21.88671875" customWidth="1"/>
    <col min="6" max="6" width="25" customWidth="1"/>
    <col min="7" max="7" width="20.5546875" customWidth="1"/>
    <col min="8" max="8" width="14.33203125" customWidth="1"/>
    <col min="9" max="9" width="16" customWidth="1"/>
    <col min="10" max="10" width="13.88671875" customWidth="1"/>
    <col min="11" max="11" width="16.88671875" customWidth="1"/>
  </cols>
  <sheetData>
    <row r="1" spans="1:11" x14ac:dyDescent="0.3">
      <c r="A1" t="s">
        <v>0</v>
      </c>
      <c r="B1" t="s">
        <v>1417</v>
      </c>
      <c r="C1" t="s">
        <v>728</v>
      </c>
      <c r="D1" t="s">
        <v>729</v>
      </c>
      <c r="E1" t="s">
        <v>730</v>
      </c>
      <c r="F1" t="s">
        <v>731</v>
      </c>
      <c r="G1" t="s">
        <v>1420</v>
      </c>
      <c r="H1" t="s">
        <v>1421</v>
      </c>
      <c r="I1" t="s">
        <v>1422</v>
      </c>
      <c r="J1" t="s">
        <v>1423</v>
      </c>
      <c r="K1" t="s">
        <v>1424</v>
      </c>
    </row>
    <row r="2" spans="1:11" x14ac:dyDescent="0.3">
      <c r="A2" t="s">
        <v>1221</v>
      </c>
      <c r="B2" s="1">
        <v>45200.98541666667</v>
      </c>
      <c r="C2" s="2">
        <v>45200.98541666667</v>
      </c>
      <c r="D2" t="s">
        <v>924</v>
      </c>
      <c r="E2">
        <v>29</v>
      </c>
      <c r="F2" t="s">
        <v>739</v>
      </c>
      <c r="G2" t="str">
        <f>IFERROR(VLOOKUP(Logs_Reseau_Part5[[#This Row],[Cell_ID]],Registre_Maintenance_Part[[ID_Antenne]:[Colonne2]],2,FALSE),"")</f>
        <v>Bas-Uele</v>
      </c>
      <c r="H2">
        <f>IFERROR(VLOOKUP(Logs_Reseau_Part5[[#This Row],[Cell_ID]],Registre_Maintenance_Part[[ID_Antenne]:[Colonne2]],3,FALSE),"")</f>
        <v>1.5278670000000001</v>
      </c>
      <c r="I2">
        <f>IFERROR(VLOOKUP(Logs_Reseau_Part5[[#This Row],[Cell_ID]],Registre_Maintenance_Part[[ID_Antenne]:[Colonne2]],4,FALSE),"")</f>
        <v>13.899388999999999</v>
      </c>
      <c r="J2" t="str">
        <f>IFERROR(VLOOKUP(Logs_Reseau_Part5[[#This Row],[Cell_ID]],Registre_Maintenance_Part[[ID_Antenne]:[Colonne2]],5,FALSE),"")</f>
        <v>3G</v>
      </c>
      <c r="K2" t="str">
        <f>IFERROR(VLOOKUP(Logs_Reseau_Part5[[#This Row],[Cell_ID]],Registre_Maintenance_Part[[ID_Antenne]:[Colonne2]],6,FALSE),"")</f>
        <v>Huawei</v>
      </c>
    </row>
    <row r="3" spans="1:11" x14ac:dyDescent="0.3">
      <c r="A3" t="s">
        <v>1243</v>
      </c>
      <c r="B3" s="1">
        <v>45201.527777777781</v>
      </c>
      <c r="C3" s="2">
        <v>45201.527777777781</v>
      </c>
      <c r="D3" t="s">
        <v>1255</v>
      </c>
      <c r="E3">
        <v>20</v>
      </c>
      <c r="F3" t="s">
        <v>737</v>
      </c>
      <c r="G3" t="str">
        <f>IFERROR(VLOOKUP(Logs_Reseau_Part5[[#This Row],[Cell_ID]],Registre_Maintenance_Part[[ID_Antenne]:[Colonne2]],2,FALSE),"")</f>
        <v>Bas-Uele</v>
      </c>
      <c r="H3">
        <f>IFERROR(VLOOKUP(Logs_Reseau_Part5[[#This Row],[Cell_ID]],Registre_Maintenance_Part[[ID_Antenne]:[Colonne2]],3,FALSE),"")</f>
        <v>0.45116099999999998</v>
      </c>
      <c r="I3">
        <f>IFERROR(VLOOKUP(Logs_Reseau_Part5[[#This Row],[Cell_ID]],Registre_Maintenance_Part[[ID_Antenne]:[Colonne2]],4,FALSE),"")</f>
        <v>17.265761000000001</v>
      </c>
      <c r="J3" t="str">
        <f>IFERROR(VLOOKUP(Logs_Reseau_Part5[[#This Row],[Cell_ID]],Registre_Maintenance_Part[[ID_Antenne]:[Colonne2]],5,FALSE),"")</f>
        <v>4G</v>
      </c>
      <c r="K3" t="str">
        <f>IFERROR(VLOOKUP(Logs_Reseau_Part5[[#This Row],[Cell_ID]],Registre_Maintenance_Part[[ID_Antenne]:[Colonne2]],6,FALSE),"")</f>
        <v>Huawei</v>
      </c>
    </row>
    <row r="4" spans="1:11" x14ac:dyDescent="0.3">
      <c r="A4" t="s">
        <v>1116</v>
      </c>
      <c r="B4" s="1">
        <v>45201.922222222223</v>
      </c>
      <c r="C4" s="2">
        <v>45201.922222222223</v>
      </c>
      <c r="D4" t="s">
        <v>924</v>
      </c>
      <c r="E4">
        <v>32</v>
      </c>
      <c r="F4" t="s">
        <v>734</v>
      </c>
      <c r="G4" t="str">
        <f>IFERROR(VLOOKUP(Logs_Reseau_Part5[[#This Row],[Cell_ID]],Registre_Maintenance_Part[[ID_Antenne]:[Colonne2]],2,FALSE),"")</f>
        <v>Bas-Uele</v>
      </c>
      <c r="H4">
        <f>IFERROR(VLOOKUP(Logs_Reseau_Part5[[#This Row],[Cell_ID]],Registre_Maintenance_Part[[ID_Antenne]:[Colonne2]],3,FALSE),"")</f>
        <v>1.5278670000000001</v>
      </c>
      <c r="I4">
        <f>IFERROR(VLOOKUP(Logs_Reseau_Part5[[#This Row],[Cell_ID]],Registre_Maintenance_Part[[ID_Antenne]:[Colonne2]],4,FALSE),"")</f>
        <v>13.899388999999999</v>
      </c>
      <c r="J4" t="str">
        <f>IFERROR(VLOOKUP(Logs_Reseau_Part5[[#This Row],[Cell_ID]],Registre_Maintenance_Part[[ID_Antenne]:[Colonne2]],5,FALSE),"")</f>
        <v>3G</v>
      </c>
      <c r="K4" t="str">
        <f>IFERROR(VLOOKUP(Logs_Reseau_Part5[[#This Row],[Cell_ID]],Registre_Maintenance_Part[[ID_Antenne]:[Colonne2]],6,FALSE),"")</f>
        <v>Huawei</v>
      </c>
    </row>
    <row r="5" spans="1:11" x14ac:dyDescent="0.3">
      <c r="A5" t="s">
        <v>1026</v>
      </c>
      <c r="B5" s="1">
        <v>45202.412499999999</v>
      </c>
      <c r="C5" s="2">
        <v>45202.412499999999</v>
      </c>
      <c r="D5" t="s">
        <v>1059</v>
      </c>
      <c r="E5">
        <v>35</v>
      </c>
      <c r="F5" t="s">
        <v>734</v>
      </c>
      <c r="G5" t="str">
        <f>IFERROR(VLOOKUP(Logs_Reseau_Part5[[#This Row],[Cell_ID]],Registre_Maintenance_Part[[ID_Antenne]:[Colonne2]],2,FALSE),"")</f>
        <v>Bas-Uele</v>
      </c>
      <c r="H5">
        <f>IFERROR(VLOOKUP(Logs_Reseau_Part5[[#This Row],[Cell_ID]],Registre_Maintenance_Part[[ID_Antenne]:[Colonne2]],3,FALSE),"")</f>
        <v>-6.4197189999999997</v>
      </c>
      <c r="I5">
        <f>IFERROR(VLOOKUP(Logs_Reseau_Part5[[#This Row],[Cell_ID]],Registre_Maintenance_Part[[ID_Antenne]:[Colonne2]],4,FALSE),"")</f>
        <v>22.287264</v>
      </c>
      <c r="J5" t="str">
        <f>IFERROR(VLOOKUP(Logs_Reseau_Part5[[#This Row],[Cell_ID]],Registre_Maintenance_Part[[ID_Antenne]:[Colonne2]],5,FALSE),"")</f>
        <v>3G</v>
      </c>
      <c r="K5" t="str">
        <f>IFERROR(VLOOKUP(Logs_Reseau_Part5[[#This Row],[Cell_ID]],Registre_Maintenance_Part[[ID_Antenne]:[Colonne2]],6,FALSE),"")</f>
        <v>Ericsson</v>
      </c>
    </row>
    <row r="6" spans="1:11" x14ac:dyDescent="0.3">
      <c r="A6" t="s">
        <v>1363</v>
      </c>
      <c r="B6" s="1">
        <v>45203.041666666657</v>
      </c>
      <c r="C6" s="2">
        <v>45203.041666666657</v>
      </c>
      <c r="D6" t="s">
        <v>1055</v>
      </c>
      <c r="E6">
        <v>69</v>
      </c>
      <c r="F6" t="s">
        <v>739</v>
      </c>
      <c r="G6" t="str">
        <f>IFERROR(VLOOKUP(Logs_Reseau_Part5[[#This Row],[Cell_ID]],Registre_Maintenance_Part[[ID_Antenne]:[Colonne2]],2,FALSE),"")</f>
        <v>Bas-Uele</v>
      </c>
      <c r="H6">
        <f>IFERROR(VLOOKUP(Logs_Reseau_Part5[[#This Row],[Cell_ID]],Registre_Maintenance_Part[[ID_Antenne]:[Colonne2]],3,FALSE),"")</f>
        <v>-2.2876210000000001</v>
      </c>
      <c r="I6">
        <f>IFERROR(VLOOKUP(Logs_Reseau_Part5[[#This Row],[Cell_ID]],Registre_Maintenance_Part[[ID_Antenne]:[Colonne2]],4,FALSE),"")</f>
        <v>27.582545</v>
      </c>
      <c r="J6" t="str">
        <f>IFERROR(VLOOKUP(Logs_Reseau_Part5[[#This Row],[Cell_ID]],Registre_Maintenance_Part[[ID_Antenne]:[Colonne2]],5,FALSE),"")</f>
        <v>4G</v>
      </c>
      <c r="K6" t="str">
        <f>IFERROR(VLOOKUP(Logs_Reseau_Part5[[#This Row],[Cell_ID]],Registre_Maintenance_Part[[ID_Antenne]:[Colonne2]],6,FALSE),"")</f>
        <v>Huawei</v>
      </c>
    </row>
    <row r="7" spans="1:11" x14ac:dyDescent="0.3">
      <c r="A7" t="s">
        <v>1384</v>
      </c>
      <c r="B7" s="1">
        <v>45204.625</v>
      </c>
      <c r="C7" s="2">
        <v>45204.625</v>
      </c>
      <c r="D7" t="s">
        <v>1386</v>
      </c>
      <c r="E7">
        <v>94</v>
      </c>
      <c r="F7" t="s">
        <v>739</v>
      </c>
      <c r="G7" t="str">
        <f>IFERROR(VLOOKUP(Logs_Reseau_Part5[[#This Row],[Cell_ID]],Registre_Maintenance_Part[[ID_Antenne]:[Colonne2]],2,FALSE),"")</f>
        <v>Bas-Uele</v>
      </c>
      <c r="H7">
        <f>IFERROR(VLOOKUP(Logs_Reseau_Part5[[#This Row],[Cell_ID]],Registre_Maintenance_Part[[ID_Antenne]:[Colonne2]],3,FALSE),"")</f>
        <v>-1.6893210000000001</v>
      </c>
      <c r="I7">
        <f>IFERROR(VLOOKUP(Logs_Reseau_Part5[[#This Row],[Cell_ID]],Registre_Maintenance_Part[[ID_Antenne]:[Colonne2]],4,FALSE),"")</f>
        <v>30.446543999999999</v>
      </c>
      <c r="J7" t="str">
        <f>IFERROR(VLOOKUP(Logs_Reseau_Part5[[#This Row],[Cell_ID]],Registre_Maintenance_Part[[ID_Antenne]:[Colonne2]],5,FALSE),"")</f>
        <v>4G</v>
      </c>
      <c r="K7" t="str">
        <f>IFERROR(VLOOKUP(Logs_Reseau_Part5[[#This Row],[Cell_ID]],Registre_Maintenance_Part[[ID_Antenne]:[Colonne2]],6,FALSE),"")</f>
        <v>Huawei</v>
      </c>
    </row>
    <row r="8" spans="1:11" x14ac:dyDescent="0.3">
      <c r="A8" t="s">
        <v>1026</v>
      </c>
      <c r="B8" s="1">
        <v>45204.905555555553</v>
      </c>
      <c r="C8" s="2">
        <v>45204.905555555553</v>
      </c>
      <c r="D8" t="s">
        <v>1052</v>
      </c>
      <c r="E8">
        <v>61</v>
      </c>
      <c r="F8" t="s">
        <v>734</v>
      </c>
      <c r="G8" t="str">
        <f>IFERROR(VLOOKUP(Logs_Reseau_Part5[[#This Row],[Cell_ID]],Registre_Maintenance_Part[[ID_Antenne]:[Colonne2]],2,FALSE),"")</f>
        <v>Bas-Uele</v>
      </c>
      <c r="H8">
        <f>IFERROR(VLOOKUP(Logs_Reseau_Part5[[#This Row],[Cell_ID]],Registre_Maintenance_Part[[ID_Antenne]:[Colonne2]],3,FALSE),"")</f>
        <v>4.497306</v>
      </c>
      <c r="I8">
        <f>IFERROR(VLOOKUP(Logs_Reseau_Part5[[#This Row],[Cell_ID]],Registre_Maintenance_Part[[ID_Antenne]:[Colonne2]],4,FALSE),"")</f>
        <v>12.857251</v>
      </c>
      <c r="J8" t="str">
        <f>IFERROR(VLOOKUP(Logs_Reseau_Part5[[#This Row],[Cell_ID]],Registre_Maintenance_Part[[ID_Antenne]:[Colonne2]],5,FALSE),"")</f>
        <v>5G</v>
      </c>
      <c r="K8" t="str">
        <f>IFERROR(VLOOKUP(Logs_Reseau_Part5[[#This Row],[Cell_ID]],Registre_Maintenance_Part[[ID_Antenne]:[Colonne2]],6,FALSE),"")</f>
        <v>Ericsson</v>
      </c>
    </row>
    <row r="9" spans="1:11" x14ac:dyDescent="0.3">
      <c r="A9" t="s">
        <v>904</v>
      </c>
      <c r="B9" s="1">
        <v>45205.018055555563</v>
      </c>
      <c r="C9" s="2">
        <v>45205.018055555563</v>
      </c>
      <c r="D9" t="s">
        <v>924</v>
      </c>
      <c r="E9">
        <v>67</v>
      </c>
      <c r="F9" t="s">
        <v>739</v>
      </c>
      <c r="G9" t="str">
        <f>IFERROR(VLOOKUP(Logs_Reseau_Part5[[#This Row],[Cell_ID]],Registre_Maintenance_Part[[ID_Antenne]:[Colonne2]],2,FALSE),"")</f>
        <v>Bas-Uele</v>
      </c>
      <c r="H9">
        <f>IFERROR(VLOOKUP(Logs_Reseau_Part5[[#This Row],[Cell_ID]],Registre_Maintenance_Part[[ID_Antenne]:[Colonne2]],3,FALSE),"")</f>
        <v>1.5278670000000001</v>
      </c>
      <c r="I9">
        <f>IFERROR(VLOOKUP(Logs_Reseau_Part5[[#This Row],[Cell_ID]],Registre_Maintenance_Part[[ID_Antenne]:[Colonne2]],4,FALSE),"")</f>
        <v>13.899388999999999</v>
      </c>
      <c r="J9" t="str">
        <f>IFERROR(VLOOKUP(Logs_Reseau_Part5[[#This Row],[Cell_ID]],Registre_Maintenance_Part[[ID_Antenne]:[Colonne2]],5,FALSE),"")</f>
        <v>3G</v>
      </c>
      <c r="K9" t="str">
        <f>IFERROR(VLOOKUP(Logs_Reseau_Part5[[#This Row],[Cell_ID]],Registre_Maintenance_Part[[ID_Antenne]:[Colonne2]],6,FALSE),"")</f>
        <v>Huawei</v>
      </c>
    </row>
    <row r="10" spans="1:11" x14ac:dyDescent="0.3">
      <c r="A10" t="s">
        <v>1167</v>
      </c>
      <c r="B10" s="1">
        <v>45207.342361111107</v>
      </c>
      <c r="C10" s="2">
        <v>45207.342361111107</v>
      </c>
      <c r="D10" t="s">
        <v>1174</v>
      </c>
      <c r="E10">
        <v>28</v>
      </c>
      <c r="F10" t="s">
        <v>734</v>
      </c>
      <c r="G10" t="str">
        <f>IFERROR(VLOOKUP(Logs_Reseau_Part5[[#This Row],[Cell_ID]],Registre_Maintenance_Part[[ID_Antenne]:[Colonne2]],2,FALSE),"")</f>
        <v>Bas-Uele</v>
      </c>
      <c r="H10">
        <f>IFERROR(VLOOKUP(Logs_Reseau_Part5[[#This Row],[Cell_ID]],Registre_Maintenance_Part[[ID_Antenne]:[Colonne2]],3,FALSE),"")</f>
        <v>0.40267799999999998</v>
      </c>
      <c r="I10">
        <f>IFERROR(VLOOKUP(Logs_Reseau_Part5[[#This Row],[Cell_ID]],Registre_Maintenance_Part[[ID_Antenne]:[Colonne2]],4,FALSE),"")</f>
        <v>16.000858000000001</v>
      </c>
      <c r="J10" t="str">
        <f>IFERROR(VLOOKUP(Logs_Reseau_Part5[[#This Row],[Cell_ID]],Registre_Maintenance_Part[[ID_Antenne]:[Colonne2]],5,FALSE),"")</f>
        <v>3G</v>
      </c>
      <c r="K10" t="str">
        <f>IFERROR(VLOOKUP(Logs_Reseau_Part5[[#This Row],[Cell_ID]],Registre_Maintenance_Part[[ID_Antenne]:[Colonne2]],6,FALSE),"")</f>
        <v>Nokia</v>
      </c>
    </row>
    <row r="11" spans="1:11" x14ac:dyDescent="0.3">
      <c r="A11" t="s">
        <v>1363</v>
      </c>
      <c r="B11" s="1">
        <v>45208.961805555547</v>
      </c>
      <c r="C11" s="2">
        <v>45208.961805555547</v>
      </c>
      <c r="D11" t="s">
        <v>1365</v>
      </c>
      <c r="E11">
        <v>68</v>
      </c>
      <c r="F11" t="s">
        <v>734</v>
      </c>
      <c r="G11" t="str">
        <f>IFERROR(VLOOKUP(Logs_Reseau_Part5[[#This Row],[Cell_ID]],Registre_Maintenance_Part[[ID_Antenne]:[Colonne2]],2,FALSE),"")</f>
        <v>Bas-Uele</v>
      </c>
      <c r="H11">
        <f>IFERROR(VLOOKUP(Logs_Reseau_Part5[[#This Row],[Cell_ID]],Registre_Maintenance_Part[[ID_Antenne]:[Colonne2]],3,FALSE),"")</f>
        <v>-2.3269820000000001</v>
      </c>
      <c r="I11">
        <f>IFERROR(VLOOKUP(Logs_Reseau_Part5[[#This Row],[Cell_ID]],Registre_Maintenance_Part[[ID_Antenne]:[Colonne2]],4,FALSE),"")</f>
        <v>14.609259</v>
      </c>
      <c r="J11" t="str">
        <f>IFERROR(VLOOKUP(Logs_Reseau_Part5[[#This Row],[Cell_ID]],Registre_Maintenance_Part[[ID_Antenne]:[Colonne2]],5,FALSE),"")</f>
        <v>3G</v>
      </c>
      <c r="K11" t="str">
        <f>IFERROR(VLOOKUP(Logs_Reseau_Part5[[#This Row],[Cell_ID]],Registre_Maintenance_Part[[ID_Antenne]:[Colonne2]],6,FALSE),"")</f>
        <v>Nokia</v>
      </c>
    </row>
    <row r="12" spans="1:11" x14ac:dyDescent="0.3">
      <c r="A12" t="s">
        <v>1406</v>
      </c>
      <c r="B12" s="1">
        <v>45209.913888888892</v>
      </c>
      <c r="C12" s="2">
        <v>45209.913888888892</v>
      </c>
      <c r="D12" t="s">
        <v>1059</v>
      </c>
      <c r="E12">
        <v>111</v>
      </c>
      <c r="F12" t="s">
        <v>739</v>
      </c>
      <c r="G12" t="str">
        <f>IFERROR(VLOOKUP(Logs_Reseau_Part5[[#This Row],[Cell_ID]],Registre_Maintenance_Part[[ID_Antenne]:[Colonne2]],2,FALSE),"")</f>
        <v>Bas-Uele</v>
      </c>
      <c r="H12">
        <f>IFERROR(VLOOKUP(Logs_Reseau_Part5[[#This Row],[Cell_ID]],Registre_Maintenance_Part[[ID_Antenne]:[Colonne2]],3,FALSE),"")</f>
        <v>-6.4197189999999997</v>
      </c>
      <c r="I12">
        <f>IFERROR(VLOOKUP(Logs_Reseau_Part5[[#This Row],[Cell_ID]],Registre_Maintenance_Part[[ID_Antenne]:[Colonne2]],4,FALSE),"")</f>
        <v>22.287264</v>
      </c>
      <c r="J12" t="str">
        <f>IFERROR(VLOOKUP(Logs_Reseau_Part5[[#This Row],[Cell_ID]],Registre_Maintenance_Part[[ID_Antenne]:[Colonne2]],5,FALSE),"")</f>
        <v>3G</v>
      </c>
      <c r="K12" t="str">
        <f>IFERROR(VLOOKUP(Logs_Reseau_Part5[[#This Row],[Cell_ID]],Registre_Maintenance_Part[[ID_Antenne]:[Colonne2]],6,FALSE),"")</f>
        <v>Ericsson</v>
      </c>
    </row>
    <row r="13" spans="1:11" x14ac:dyDescent="0.3">
      <c r="A13" t="s">
        <v>1140</v>
      </c>
      <c r="B13" s="1">
        <v>45209.921527777777</v>
      </c>
      <c r="C13" s="2">
        <v>45209.921527777777</v>
      </c>
      <c r="D13" t="s">
        <v>924</v>
      </c>
      <c r="E13">
        <v>119</v>
      </c>
      <c r="F13" t="s">
        <v>734</v>
      </c>
      <c r="G13" t="str">
        <f>IFERROR(VLOOKUP(Logs_Reseau_Part5[[#This Row],[Cell_ID]],Registre_Maintenance_Part[[ID_Antenne]:[Colonne2]],2,FALSE),"")</f>
        <v>Bas-Uele</v>
      </c>
      <c r="H13">
        <f>IFERROR(VLOOKUP(Logs_Reseau_Part5[[#This Row],[Cell_ID]],Registre_Maintenance_Part[[ID_Antenne]:[Colonne2]],3,FALSE),"")</f>
        <v>1.5278670000000001</v>
      </c>
      <c r="I13">
        <f>IFERROR(VLOOKUP(Logs_Reseau_Part5[[#This Row],[Cell_ID]],Registre_Maintenance_Part[[ID_Antenne]:[Colonne2]],4,FALSE),"")</f>
        <v>13.899388999999999</v>
      </c>
      <c r="J13" t="str">
        <f>IFERROR(VLOOKUP(Logs_Reseau_Part5[[#This Row],[Cell_ID]],Registre_Maintenance_Part[[ID_Antenne]:[Colonne2]],5,FALSE),"")</f>
        <v>3G</v>
      </c>
      <c r="K13" t="str">
        <f>IFERROR(VLOOKUP(Logs_Reseau_Part5[[#This Row],[Cell_ID]],Registre_Maintenance_Part[[ID_Antenne]:[Colonne2]],6,FALSE),"")</f>
        <v>Huawei</v>
      </c>
    </row>
    <row r="14" spans="1:11" x14ac:dyDescent="0.3">
      <c r="A14" t="s">
        <v>1384</v>
      </c>
      <c r="B14" s="1">
        <v>45214.172222222223</v>
      </c>
      <c r="C14" s="2">
        <v>45214.172222222223</v>
      </c>
      <c r="D14" t="s">
        <v>903</v>
      </c>
      <c r="E14">
        <v>6</v>
      </c>
      <c r="F14" t="s">
        <v>734</v>
      </c>
      <c r="G14" t="str">
        <f>IFERROR(VLOOKUP(Logs_Reseau_Part5[[#This Row],[Cell_ID]],Registre_Maintenance_Part[[ID_Antenne]:[Colonne2]],2,FALSE),"")</f>
        <v>Bas-Uele</v>
      </c>
      <c r="H14">
        <f>IFERROR(VLOOKUP(Logs_Reseau_Part5[[#This Row],[Cell_ID]],Registre_Maintenance_Part[[ID_Antenne]:[Colonne2]],3,FALSE),"")</f>
        <v>-3.6945459999999999</v>
      </c>
      <c r="I14">
        <f>IFERROR(VLOOKUP(Logs_Reseau_Part5[[#This Row],[Cell_ID]],Registre_Maintenance_Part[[ID_Antenne]:[Colonne2]],4,FALSE),"")</f>
        <v>16.809108999999999</v>
      </c>
      <c r="J14" t="str">
        <f>IFERROR(VLOOKUP(Logs_Reseau_Part5[[#This Row],[Cell_ID]],Registre_Maintenance_Part[[ID_Antenne]:[Colonne2]],5,FALSE),"")</f>
        <v>5G</v>
      </c>
      <c r="K14" t="str">
        <f>IFERROR(VLOOKUP(Logs_Reseau_Part5[[#This Row],[Cell_ID]],Registre_Maintenance_Part[[ID_Antenne]:[Colonne2]],6,FALSE),"")</f>
        <v>ZTE</v>
      </c>
    </row>
    <row r="15" spans="1:11" x14ac:dyDescent="0.3">
      <c r="A15" t="s">
        <v>1243</v>
      </c>
      <c r="B15" s="1">
        <v>45216.970138888893</v>
      </c>
      <c r="C15" s="2">
        <v>45216.970138888893</v>
      </c>
      <c r="D15" t="s">
        <v>1059</v>
      </c>
      <c r="E15">
        <v>13</v>
      </c>
      <c r="F15" t="s">
        <v>739</v>
      </c>
      <c r="G15" t="str">
        <f>IFERROR(VLOOKUP(Logs_Reseau_Part5[[#This Row],[Cell_ID]],Registre_Maintenance_Part[[ID_Antenne]:[Colonne2]],2,FALSE),"")</f>
        <v>Bas-Uele</v>
      </c>
      <c r="H15">
        <f>IFERROR(VLOOKUP(Logs_Reseau_Part5[[#This Row],[Cell_ID]],Registre_Maintenance_Part[[ID_Antenne]:[Colonne2]],3,FALSE),"")</f>
        <v>-6.4197189999999997</v>
      </c>
      <c r="I15">
        <f>IFERROR(VLOOKUP(Logs_Reseau_Part5[[#This Row],[Cell_ID]],Registre_Maintenance_Part[[ID_Antenne]:[Colonne2]],4,FALSE),"")</f>
        <v>22.287264</v>
      </c>
      <c r="J15" t="str">
        <f>IFERROR(VLOOKUP(Logs_Reseau_Part5[[#This Row],[Cell_ID]],Registre_Maintenance_Part[[ID_Antenne]:[Colonne2]],5,FALSE),"")</f>
        <v>3G</v>
      </c>
      <c r="K15" t="str">
        <f>IFERROR(VLOOKUP(Logs_Reseau_Part5[[#This Row],[Cell_ID]],Registre_Maintenance_Part[[ID_Antenne]:[Colonne2]],6,FALSE),"")</f>
        <v>Ericsson</v>
      </c>
    </row>
    <row r="16" spans="1:11" x14ac:dyDescent="0.3">
      <c r="A16" t="s">
        <v>1406</v>
      </c>
      <c r="B16" s="1">
        <v>45219.095833333333</v>
      </c>
      <c r="C16" s="2">
        <v>45219.095833333333</v>
      </c>
      <c r="D16" t="s">
        <v>903</v>
      </c>
      <c r="E16">
        <v>113</v>
      </c>
      <c r="F16" t="s">
        <v>739</v>
      </c>
      <c r="G16" t="str">
        <f>IFERROR(VLOOKUP(Logs_Reseau_Part5[[#This Row],[Cell_ID]],Registre_Maintenance_Part[[ID_Antenne]:[Colonne2]],2,FALSE),"")</f>
        <v>Bas-Uele</v>
      </c>
      <c r="H16">
        <f>IFERROR(VLOOKUP(Logs_Reseau_Part5[[#This Row],[Cell_ID]],Registre_Maintenance_Part[[ID_Antenne]:[Colonne2]],3,FALSE),"")</f>
        <v>-3.6945459999999999</v>
      </c>
      <c r="I16">
        <f>IFERROR(VLOOKUP(Logs_Reseau_Part5[[#This Row],[Cell_ID]],Registre_Maintenance_Part[[ID_Antenne]:[Colonne2]],4,FALSE),"")</f>
        <v>16.809108999999999</v>
      </c>
      <c r="J16" t="str">
        <f>IFERROR(VLOOKUP(Logs_Reseau_Part5[[#This Row],[Cell_ID]],Registre_Maintenance_Part[[ID_Antenne]:[Colonne2]],5,FALSE),"")</f>
        <v>5G</v>
      </c>
      <c r="K16" t="str">
        <f>IFERROR(VLOOKUP(Logs_Reseau_Part5[[#This Row],[Cell_ID]],Registre_Maintenance_Part[[ID_Antenne]:[Colonne2]],6,FALSE),"")</f>
        <v>ZTE</v>
      </c>
    </row>
    <row r="17" spans="1:11" x14ac:dyDescent="0.3">
      <c r="A17" t="s">
        <v>1026</v>
      </c>
      <c r="B17" s="1">
        <v>45220.893750000003</v>
      </c>
      <c r="C17" s="2">
        <v>45220.893750000003</v>
      </c>
      <c r="D17" t="s">
        <v>1055</v>
      </c>
      <c r="E17">
        <v>101</v>
      </c>
      <c r="F17" t="s">
        <v>739</v>
      </c>
      <c r="G17" t="str">
        <f>IFERROR(VLOOKUP(Logs_Reseau_Part5[[#This Row],[Cell_ID]],Registre_Maintenance_Part[[ID_Antenne]:[Colonne2]],2,FALSE),"")</f>
        <v>Bas-Uele</v>
      </c>
      <c r="H17">
        <f>IFERROR(VLOOKUP(Logs_Reseau_Part5[[#This Row],[Cell_ID]],Registre_Maintenance_Part[[ID_Antenne]:[Colonne2]],3,FALSE),"")</f>
        <v>-2.2876210000000001</v>
      </c>
      <c r="I17">
        <f>IFERROR(VLOOKUP(Logs_Reseau_Part5[[#This Row],[Cell_ID]],Registre_Maintenance_Part[[ID_Antenne]:[Colonne2]],4,FALSE),"")</f>
        <v>27.582545</v>
      </c>
      <c r="J17" t="str">
        <f>IFERROR(VLOOKUP(Logs_Reseau_Part5[[#This Row],[Cell_ID]],Registre_Maintenance_Part[[ID_Antenne]:[Colonne2]],5,FALSE),"")</f>
        <v>4G</v>
      </c>
      <c r="K17" t="str">
        <f>IFERROR(VLOOKUP(Logs_Reseau_Part5[[#This Row],[Cell_ID]],Registre_Maintenance_Part[[ID_Antenne]:[Colonne2]],6,FALSE),"")</f>
        <v>Huawei</v>
      </c>
    </row>
    <row r="18" spans="1:11" x14ac:dyDescent="0.3">
      <c r="A18" t="s">
        <v>781</v>
      </c>
      <c r="B18" s="1">
        <v>45222.427083333343</v>
      </c>
      <c r="C18" s="2">
        <v>45222.427083333343</v>
      </c>
      <c r="D18" t="s">
        <v>819</v>
      </c>
      <c r="E18">
        <v>82</v>
      </c>
      <c r="F18" t="s">
        <v>734</v>
      </c>
      <c r="G18" t="str">
        <f>IFERROR(VLOOKUP(Logs_Reseau_Part5[[#This Row],[Cell_ID]],Registre_Maintenance_Part[[ID_Antenne]:[Colonne2]],2,FALSE),"")</f>
        <v>Bas-Uele</v>
      </c>
      <c r="H18">
        <f>IFERROR(VLOOKUP(Logs_Reseau_Part5[[#This Row],[Cell_ID]],Registre_Maintenance_Part[[ID_Antenne]:[Colonne2]],3,FALSE),"")</f>
        <v>-4.4697000000000001E-2</v>
      </c>
      <c r="I18">
        <f>IFERROR(VLOOKUP(Logs_Reseau_Part5[[#This Row],[Cell_ID]],Registre_Maintenance_Part[[ID_Antenne]:[Colonne2]],4,FALSE),"")</f>
        <v>22.943373000000001</v>
      </c>
      <c r="J18" t="str">
        <f>IFERROR(VLOOKUP(Logs_Reseau_Part5[[#This Row],[Cell_ID]],Registre_Maintenance_Part[[ID_Antenne]:[Colonne2]],5,FALSE),"")</f>
        <v>3G</v>
      </c>
      <c r="K18" t="str">
        <f>IFERROR(VLOOKUP(Logs_Reseau_Part5[[#This Row],[Cell_ID]],Registre_Maintenance_Part[[ID_Antenne]:[Colonne2]],6,FALSE),"")</f>
        <v>Huawei</v>
      </c>
    </row>
    <row r="19" spans="1:11" x14ac:dyDescent="0.3">
      <c r="A19" t="s">
        <v>1116</v>
      </c>
      <c r="B19" s="1">
        <v>45222.763194444437</v>
      </c>
      <c r="C19" s="2">
        <v>45222.763194444437</v>
      </c>
      <c r="D19" t="s">
        <v>903</v>
      </c>
      <c r="E19">
        <v>91</v>
      </c>
      <c r="F19" t="s">
        <v>739</v>
      </c>
      <c r="G19" t="str">
        <f>IFERROR(VLOOKUP(Logs_Reseau_Part5[[#This Row],[Cell_ID]],Registre_Maintenance_Part[[ID_Antenne]:[Colonne2]],2,FALSE),"")</f>
        <v>Bas-Uele</v>
      </c>
      <c r="H19">
        <f>IFERROR(VLOOKUP(Logs_Reseau_Part5[[#This Row],[Cell_ID]],Registre_Maintenance_Part[[ID_Antenne]:[Colonne2]],3,FALSE),"")</f>
        <v>-3.6945459999999999</v>
      </c>
      <c r="I19">
        <f>IFERROR(VLOOKUP(Logs_Reseau_Part5[[#This Row],[Cell_ID]],Registre_Maintenance_Part[[ID_Antenne]:[Colonne2]],4,FALSE),"")</f>
        <v>16.809108999999999</v>
      </c>
      <c r="J19" t="str">
        <f>IFERROR(VLOOKUP(Logs_Reseau_Part5[[#This Row],[Cell_ID]],Registre_Maintenance_Part[[ID_Antenne]:[Colonne2]],5,FALSE),"")</f>
        <v>5G</v>
      </c>
      <c r="K19" t="str">
        <f>IFERROR(VLOOKUP(Logs_Reseau_Part5[[#This Row],[Cell_ID]],Registre_Maintenance_Part[[ID_Antenne]:[Colonne2]],6,FALSE),"")</f>
        <v>ZTE</v>
      </c>
    </row>
    <row r="20" spans="1:11" x14ac:dyDescent="0.3">
      <c r="A20" t="s">
        <v>1310</v>
      </c>
      <c r="B20" s="1">
        <v>45223.436111111107</v>
      </c>
      <c r="C20" s="2">
        <v>45223.436111111107</v>
      </c>
      <c r="D20" t="s">
        <v>924</v>
      </c>
      <c r="E20">
        <v>26</v>
      </c>
      <c r="F20" t="s">
        <v>734</v>
      </c>
      <c r="G20" t="str">
        <f>IFERROR(VLOOKUP(Logs_Reseau_Part5[[#This Row],[Cell_ID]],Registre_Maintenance_Part[[ID_Antenne]:[Colonne2]],2,FALSE),"")</f>
        <v>Bas-Uele</v>
      </c>
      <c r="H20">
        <f>IFERROR(VLOOKUP(Logs_Reseau_Part5[[#This Row],[Cell_ID]],Registre_Maintenance_Part[[ID_Antenne]:[Colonne2]],3,FALSE),"")</f>
        <v>1.5278670000000001</v>
      </c>
      <c r="I20">
        <f>IFERROR(VLOOKUP(Logs_Reseau_Part5[[#This Row],[Cell_ID]],Registre_Maintenance_Part[[ID_Antenne]:[Colonne2]],4,FALSE),"")</f>
        <v>13.899388999999999</v>
      </c>
      <c r="J20" t="str">
        <f>IFERROR(VLOOKUP(Logs_Reseau_Part5[[#This Row],[Cell_ID]],Registre_Maintenance_Part[[ID_Antenne]:[Colonne2]],5,FALSE),"")</f>
        <v>3G</v>
      </c>
      <c r="K20" t="str">
        <f>IFERROR(VLOOKUP(Logs_Reseau_Part5[[#This Row],[Cell_ID]],Registre_Maintenance_Part[[ID_Antenne]:[Colonne2]],6,FALSE),"")</f>
        <v>Huawei</v>
      </c>
    </row>
    <row r="21" spans="1:11" x14ac:dyDescent="0.3">
      <c r="A21" t="s">
        <v>1243</v>
      </c>
      <c r="B21" s="1">
        <v>45224.195138888892</v>
      </c>
      <c r="C21" s="2">
        <v>45224.195138888892</v>
      </c>
      <c r="D21" t="s">
        <v>1262</v>
      </c>
      <c r="E21">
        <v>81</v>
      </c>
      <c r="F21" t="s">
        <v>737</v>
      </c>
      <c r="G21" t="str">
        <f>IFERROR(VLOOKUP(Logs_Reseau_Part5[[#This Row],[Cell_ID]],Registre_Maintenance_Part[[ID_Antenne]:[Colonne2]],2,FALSE),"")</f>
        <v>Bas-Uele</v>
      </c>
      <c r="H21">
        <f>IFERROR(VLOOKUP(Logs_Reseau_Part5[[#This Row],[Cell_ID]],Registre_Maintenance_Part[[ID_Antenne]:[Colonne2]],3,FALSE),"")</f>
        <v>-1.500685</v>
      </c>
      <c r="I21">
        <f>IFERROR(VLOOKUP(Logs_Reseau_Part5[[#This Row],[Cell_ID]],Registre_Maintenance_Part[[ID_Antenne]:[Colonne2]],4,FALSE),"")</f>
        <v>26.563376000000002</v>
      </c>
      <c r="J21" t="str">
        <f>IFERROR(VLOOKUP(Logs_Reseau_Part5[[#This Row],[Cell_ID]],Registre_Maintenance_Part[[ID_Antenne]:[Colonne2]],5,FALSE),"")</f>
        <v>5G</v>
      </c>
      <c r="K21" t="str">
        <f>IFERROR(VLOOKUP(Logs_Reseau_Part5[[#This Row],[Cell_ID]],Registre_Maintenance_Part[[ID_Antenne]:[Colonne2]],6,FALSE),"")</f>
        <v>Nokia</v>
      </c>
    </row>
    <row r="22" spans="1:11" x14ac:dyDescent="0.3">
      <c r="A22" t="s">
        <v>863</v>
      </c>
      <c r="B22" s="1">
        <v>45228.614583333343</v>
      </c>
      <c r="C22" s="2">
        <v>45228.614583333343</v>
      </c>
      <c r="D22" t="s">
        <v>903</v>
      </c>
      <c r="E22">
        <v>48</v>
      </c>
      <c r="F22" t="s">
        <v>737</v>
      </c>
      <c r="G22" t="str">
        <f>IFERROR(VLOOKUP(Logs_Reseau_Part5[[#This Row],[Cell_ID]],Registre_Maintenance_Part[[ID_Antenne]:[Colonne2]],2,FALSE),"")</f>
        <v>Bas-Uele</v>
      </c>
      <c r="H22">
        <f>IFERROR(VLOOKUP(Logs_Reseau_Part5[[#This Row],[Cell_ID]],Registre_Maintenance_Part[[ID_Antenne]:[Colonne2]],3,FALSE),"")</f>
        <v>-3.6945459999999999</v>
      </c>
      <c r="I22">
        <f>IFERROR(VLOOKUP(Logs_Reseau_Part5[[#This Row],[Cell_ID]],Registre_Maintenance_Part[[ID_Antenne]:[Colonne2]],4,FALSE),"")</f>
        <v>16.809108999999999</v>
      </c>
      <c r="J22" t="str">
        <f>IFERROR(VLOOKUP(Logs_Reseau_Part5[[#This Row],[Cell_ID]],Registre_Maintenance_Part[[ID_Antenne]:[Colonne2]],5,FALSE),"")</f>
        <v>5G</v>
      </c>
      <c r="K22" t="str">
        <f>IFERROR(VLOOKUP(Logs_Reseau_Part5[[#This Row],[Cell_ID]],Registre_Maintenance_Part[[ID_Antenne]:[Colonne2]],6,FALSE),"")</f>
        <v>ZTE</v>
      </c>
    </row>
    <row r="23" spans="1:11" x14ac:dyDescent="0.3">
      <c r="A23" t="s">
        <v>1347</v>
      </c>
      <c r="B23" s="1">
        <v>45230.395138888889</v>
      </c>
      <c r="C23" s="2">
        <v>45230.395138888889</v>
      </c>
      <c r="D23" t="s">
        <v>1362</v>
      </c>
      <c r="E23">
        <v>89</v>
      </c>
      <c r="F23" t="s">
        <v>739</v>
      </c>
      <c r="G23" t="str">
        <f>IFERROR(VLOOKUP(Logs_Reseau_Part5[[#This Row],[Cell_ID]],Registre_Maintenance_Part[[ID_Antenne]:[Colonne2]],2,FALSE),"")</f>
        <v>Bas-Uele</v>
      </c>
      <c r="H23">
        <f>IFERROR(VLOOKUP(Logs_Reseau_Part5[[#This Row],[Cell_ID]],Registre_Maintenance_Part[[ID_Antenne]:[Colonne2]],3,FALSE),"")</f>
        <v>-7.3952039999999997</v>
      </c>
      <c r="I23">
        <f>IFERROR(VLOOKUP(Logs_Reseau_Part5[[#This Row],[Cell_ID]],Registre_Maintenance_Part[[ID_Antenne]:[Colonne2]],4,FALSE),"")</f>
        <v>21.651043999999999</v>
      </c>
      <c r="J23" t="str">
        <f>IFERROR(VLOOKUP(Logs_Reseau_Part5[[#This Row],[Cell_ID]],Registre_Maintenance_Part[[ID_Antenne]:[Colonne2]],5,FALSE),"")</f>
        <v>4G</v>
      </c>
      <c r="K23" t="str">
        <f>IFERROR(VLOOKUP(Logs_Reseau_Part5[[#This Row],[Cell_ID]],Registre_Maintenance_Part[[ID_Antenne]:[Colonne2]],6,FALSE),"")</f>
        <v>Huawei</v>
      </c>
    </row>
    <row r="24" spans="1:11" x14ac:dyDescent="0.3">
      <c r="A24" t="s">
        <v>1384</v>
      </c>
      <c r="B24" s="1">
        <v>45230.429166666669</v>
      </c>
      <c r="C24" s="2">
        <v>45230.429166666669</v>
      </c>
      <c r="D24" t="s">
        <v>1125</v>
      </c>
      <c r="E24">
        <v>11</v>
      </c>
      <c r="F24" t="s">
        <v>739</v>
      </c>
      <c r="G24" t="str">
        <f>IFERROR(VLOOKUP(Logs_Reseau_Part5[[#This Row],[Cell_ID]],Registre_Maintenance_Part[[ID_Antenne]:[Colonne2]],2,FALSE),"")</f>
        <v>Bas-Uele</v>
      </c>
      <c r="H24">
        <f>IFERROR(VLOOKUP(Logs_Reseau_Part5[[#This Row],[Cell_ID]],Registre_Maintenance_Part[[ID_Antenne]:[Colonne2]],3,FALSE),"")</f>
        <v>-2.8532869999999999</v>
      </c>
      <c r="I24">
        <f>IFERROR(VLOOKUP(Logs_Reseau_Part5[[#This Row],[Cell_ID]],Registre_Maintenance_Part[[ID_Antenne]:[Colonne2]],4,FALSE),"")</f>
        <v>22.117896000000002</v>
      </c>
      <c r="J24" t="str">
        <f>IFERROR(VLOOKUP(Logs_Reseau_Part5[[#This Row],[Cell_ID]],Registre_Maintenance_Part[[ID_Antenne]:[Colonne2]],5,FALSE),"")</f>
        <v>5G</v>
      </c>
      <c r="K24" t="str">
        <f>IFERROR(VLOOKUP(Logs_Reseau_Part5[[#This Row],[Cell_ID]],Registre_Maintenance_Part[[ID_Antenne]:[Colonne2]],6,FALSE),"")</f>
        <v>Huawei</v>
      </c>
    </row>
    <row r="25" spans="1:11" x14ac:dyDescent="0.3">
      <c r="A25" t="s">
        <v>1116</v>
      </c>
      <c r="B25" s="1">
        <v>45230.868055555547</v>
      </c>
      <c r="C25" s="2">
        <v>45230.868055555547</v>
      </c>
      <c r="D25" t="s">
        <v>1125</v>
      </c>
      <c r="E25">
        <v>103</v>
      </c>
      <c r="F25" t="s">
        <v>739</v>
      </c>
      <c r="G25" t="str">
        <f>IFERROR(VLOOKUP(Logs_Reseau_Part5[[#This Row],[Cell_ID]],Registre_Maintenance_Part[[ID_Antenne]:[Colonne2]],2,FALSE),"")</f>
        <v>Bas-Uele</v>
      </c>
      <c r="H25">
        <f>IFERROR(VLOOKUP(Logs_Reseau_Part5[[#This Row],[Cell_ID]],Registre_Maintenance_Part[[ID_Antenne]:[Colonne2]],3,FALSE),"")</f>
        <v>-2.8532869999999999</v>
      </c>
      <c r="I25">
        <f>IFERROR(VLOOKUP(Logs_Reseau_Part5[[#This Row],[Cell_ID]],Registre_Maintenance_Part[[ID_Antenne]:[Colonne2]],4,FALSE),"")</f>
        <v>22.117896000000002</v>
      </c>
      <c r="J25" t="str">
        <f>IFERROR(VLOOKUP(Logs_Reseau_Part5[[#This Row],[Cell_ID]],Registre_Maintenance_Part[[ID_Antenne]:[Colonne2]],5,FALSE),"")</f>
        <v>5G</v>
      </c>
      <c r="K25" t="str">
        <f>IFERROR(VLOOKUP(Logs_Reseau_Part5[[#This Row],[Cell_ID]],Registre_Maintenance_Part[[ID_Antenne]:[Colonne2]],6,FALSE),"")</f>
        <v>Huawei</v>
      </c>
    </row>
    <row r="26" spans="1:11" x14ac:dyDescent="0.3">
      <c r="A26" t="s">
        <v>732</v>
      </c>
      <c r="B26" s="1">
        <v>45202.290277777778</v>
      </c>
      <c r="C26" s="2">
        <v>45202.290277777778</v>
      </c>
      <c r="D26" t="s">
        <v>775</v>
      </c>
      <c r="E26">
        <v>103</v>
      </c>
      <c r="F26" t="s">
        <v>737</v>
      </c>
      <c r="G26" t="str">
        <f>IFERROR(VLOOKUP(Logs_Reseau_Part5[[#This Row],[Cell_ID]],Registre_Maintenance_Part[[ID_Antenne]:[Colonne2]],2,FALSE),"")</f>
        <v>Equateur</v>
      </c>
      <c r="H26">
        <f>IFERROR(VLOOKUP(Logs_Reseau_Part5[[#This Row],[Cell_ID]],Registre_Maintenance_Part[[ID_Antenne]:[Colonne2]],3,FALSE),"")</f>
        <v>4.9250049999999996</v>
      </c>
      <c r="I26">
        <f>IFERROR(VLOOKUP(Logs_Reseau_Part5[[#This Row],[Cell_ID]],Registre_Maintenance_Part[[ID_Antenne]:[Colonne2]],4,FALSE),"")</f>
        <v>19.887931999999999</v>
      </c>
      <c r="J26" t="str">
        <f>IFERROR(VLOOKUP(Logs_Reseau_Part5[[#This Row],[Cell_ID]],Registre_Maintenance_Part[[ID_Antenne]:[Colonne2]],5,FALSE),"")</f>
        <v>4G</v>
      </c>
      <c r="K26" t="str">
        <f>IFERROR(VLOOKUP(Logs_Reseau_Part5[[#This Row],[Cell_ID]],Registre_Maintenance_Part[[ID_Antenne]:[Colonne2]],6,FALSE),"")</f>
        <v>Huawei</v>
      </c>
    </row>
    <row r="27" spans="1:11" x14ac:dyDescent="0.3">
      <c r="A27" t="s">
        <v>1290</v>
      </c>
      <c r="B27" s="1">
        <v>45204.122916666667</v>
      </c>
      <c r="C27" s="2">
        <v>45204.122916666667</v>
      </c>
      <c r="D27" t="s">
        <v>1202</v>
      </c>
      <c r="E27">
        <v>34</v>
      </c>
      <c r="F27" t="s">
        <v>734</v>
      </c>
      <c r="G27" t="str">
        <f>IFERROR(VLOOKUP(Logs_Reseau_Part5[[#This Row],[Cell_ID]],Registre_Maintenance_Part[[ID_Antenne]:[Colonne2]],2,FALSE),"")</f>
        <v>Equateur</v>
      </c>
      <c r="H27">
        <f>IFERROR(VLOOKUP(Logs_Reseau_Part5[[#This Row],[Cell_ID]],Registre_Maintenance_Part[[ID_Antenne]:[Colonne2]],3,FALSE),"")</f>
        <v>-6.1490739999999997</v>
      </c>
      <c r="I27">
        <f>IFERROR(VLOOKUP(Logs_Reseau_Part5[[#This Row],[Cell_ID]],Registre_Maintenance_Part[[ID_Antenne]:[Colonne2]],4,FALSE),"")</f>
        <v>23.304411000000002</v>
      </c>
      <c r="J27" t="str">
        <f>IFERROR(VLOOKUP(Logs_Reseau_Part5[[#This Row],[Cell_ID]],Registre_Maintenance_Part[[ID_Antenne]:[Colonne2]],5,FALSE),"")</f>
        <v>5G</v>
      </c>
      <c r="K27" t="str">
        <f>IFERROR(VLOOKUP(Logs_Reseau_Part5[[#This Row],[Cell_ID]],Registre_Maintenance_Part[[ID_Antenne]:[Colonne2]],6,FALSE),"")</f>
        <v>ZTE</v>
      </c>
    </row>
    <row r="28" spans="1:11" x14ac:dyDescent="0.3">
      <c r="A28" t="s">
        <v>825</v>
      </c>
      <c r="B28" s="1">
        <v>45209.32708333333</v>
      </c>
      <c r="C28" s="2">
        <v>45209.32708333333</v>
      </c>
      <c r="D28" t="s">
        <v>859</v>
      </c>
      <c r="E28">
        <v>107</v>
      </c>
      <c r="F28" t="s">
        <v>737</v>
      </c>
      <c r="G28" t="str">
        <f>IFERROR(VLOOKUP(Logs_Reseau_Part5[[#This Row],[Cell_ID]],Registre_Maintenance_Part[[ID_Antenne]:[Colonne2]],2,FALSE),"")</f>
        <v>Equateur</v>
      </c>
      <c r="H28">
        <f>IFERROR(VLOOKUP(Logs_Reseau_Part5[[#This Row],[Cell_ID]],Registre_Maintenance_Part[[ID_Antenne]:[Colonne2]],3,FALSE),"")</f>
        <v>-5.0402180000000003</v>
      </c>
      <c r="I28">
        <f>IFERROR(VLOOKUP(Logs_Reseau_Part5[[#This Row],[Cell_ID]],Registre_Maintenance_Part[[ID_Antenne]:[Colonne2]],4,FALSE),"")</f>
        <v>13.892471</v>
      </c>
      <c r="J28" t="str">
        <f>IFERROR(VLOOKUP(Logs_Reseau_Part5[[#This Row],[Cell_ID]],Registre_Maintenance_Part[[ID_Antenne]:[Colonne2]],5,FALSE),"")</f>
        <v>3G</v>
      </c>
      <c r="K28" t="str">
        <f>IFERROR(VLOOKUP(Logs_Reseau_Part5[[#This Row],[Cell_ID]],Registre_Maintenance_Part[[ID_Antenne]:[Colonne2]],6,FALSE),"")</f>
        <v>ZTE</v>
      </c>
    </row>
    <row r="29" spans="1:11" x14ac:dyDescent="0.3">
      <c r="A29" t="s">
        <v>1310</v>
      </c>
      <c r="B29" s="1">
        <v>45209.988888888889</v>
      </c>
      <c r="C29" s="2">
        <v>45209.988888888889</v>
      </c>
      <c r="D29" t="s">
        <v>1202</v>
      </c>
      <c r="E29">
        <v>51</v>
      </c>
      <c r="F29" t="s">
        <v>737</v>
      </c>
      <c r="G29" t="str">
        <f>IFERROR(VLOOKUP(Logs_Reseau_Part5[[#This Row],[Cell_ID]],Registre_Maintenance_Part[[ID_Antenne]:[Colonne2]],2,FALSE),"")</f>
        <v>Equateur</v>
      </c>
      <c r="H29">
        <f>IFERROR(VLOOKUP(Logs_Reseau_Part5[[#This Row],[Cell_ID]],Registre_Maintenance_Part[[ID_Antenne]:[Colonne2]],3,FALSE),"")</f>
        <v>-6.1490739999999997</v>
      </c>
      <c r="I29">
        <f>IFERROR(VLOOKUP(Logs_Reseau_Part5[[#This Row],[Cell_ID]],Registre_Maintenance_Part[[ID_Antenne]:[Colonne2]],4,FALSE),"")</f>
        <v>23.304411000000002</v>
      </c>
      <c r="J29" t="str">
        <f>IFERROR(VLOOKUP(Logs_Reseau_Part5[[#This Row],[Cell_ID]],Registre_Maintenance_Part[[ID_Antenne]:[Colonne2]],5,FALSE),"")</f>
        <v>5G</v>
      </c>
      <c r="K29" t="str">
        <f>IFERROR(VLOOKUP(Logs_Reseau_Part5[[#This Row],[Cell_ID]],Registre_Maintenance_Part[[ID_Antenne]:[Colonne2]],6,FALSE),"")</f>
        <v>ZTE</v>
      </c>
    </row>
    <row r="30" spans="1:11" x14ac:dyDescent="0.3">
      <c r="A30" t="s">
        <v>1116</v>
      </c>
      <c r="B30" s="1">
        <v>45210.703472222223</v>
      </c>
      <c r="C30" s="2">
        <v>45210.703472222223</v>
      </c>
      <c r="D30" t="s">
        <v>1122</v>
      </c>
      <c r="E30">
        <v>20</v>
      </c>
      <c r="F30" t="s">
        <v>734</v>
      </c>
      <c r="G30" t="str">
        <f>IFERROR(VLOOKUP(Logs_Reseau_Part5[[#This Row],[Cell_ID]],Registre_Maintenance_Part[[ID_Antenne]:[Colonne2]],2,FALSE),"")</f>
        <v>Equateur</v>
      </c>
      <c r="H30">
        <f>IFERROR(VLOOKUP(Logs_Reseau_Part5[[#This Row],[Cell_ID]],Registre_Maintenance_Part[[ID_Antenne]:[Colonne2]],3,FALSE),"")</f>
        <v>-0.79459900000000006</v>
      </c>
      <c r="I30">
        <f>IFERROR(VLOOKUP(Logs_Reseau_Part5[[#This Row],[Cell_ID]],Registre_Maintenance_Part[[ID_Antenne]:[Colonne2]],4,FALSE),"")</f>
        <v>26.775570999999999</v>
      </c>
      <c r="J30" t="str">
        <f>IFERROR(VLOOKUP(Logs_Reseau_Part5[[#This Row],[Cell_ID]],Registre_Maintenance_Part[[ID_Antenne]:[Colonne2]],5,FALSE),"")</f>
        <v>5G</v>
      </c>
      <c r="K30" t="str">
        <f>IFERROR(VLOOKUP(Logs_Reseau_Part5[[#This Row],[Cell_ID]],Registre_Maintenance_Part[[ID_Antenne]:[Colonne2]],6,FALSE),"")</f>
        <v>Huawei</v>
      </c>
    </row>
    <row r="31" spans="1:11" x14ac:dyDescent="0.3">
      <c r="A31" t="s">
        <v>1384</v>
      </c>
      <c r="B31" s="1">
        <v>45211.587500000001</v>
      </c>
      <c r="C31" s="2">
        <v>45211.587500000001</v>
      </c>
      <c r="D31" t="s">
        <v>1402</v>
      </c>
      <c r="E31">
        <v>27</v>
      </c>
      <c r="F31" t="s">
        <v>739</v>
      </c>
      <c r="G31" t="str">
        <f>IFERROR(VLOOKUP(Logs_Reseau_Part5[[#This Row],[Cell_ID]],Registre_Maintenance_Part[[ID_Antenne]:[Colonne2]],2,FALSE),"")</f>
        <v>Equateur</v>
      </c>
      <c r="H31">
        <f>IFERROR(VLOOKUP(Logs_Reseau_Part5[[#This Row],[Cell_ID]],Registre_Maintenance_Part[[ID_Antenne]:[Colonne2]],3,FALSE),"")</f>
        <v>-7.8215969999999997</v>
      </c>
      <c r="I31">
        <f>IFERROR(VLOOKUP(Logs_Reseau_Part5[[#This Row],[Cell_ID]],Registre_Maintenance_Part[[ID_Antenne]:[Colonne2]],4,FALSE),"")</f>
        <v>26.797349000000001</v>
      </c>
      <c r="J31" t="str">
        <f>IFERROR(VLOOKUP(Logs_Reseau_Part5[[#This Row],[Cell_ID]],Registre_Maintenance_Part[[ID_Antenne]:[Colonne2]],5,FALSE),"")</f>
        <v>3G</v>
      </c>
      <c r="K31" t="str">
        <f>IFERROR(VLOOKUP(Logs_Reseau_Part5[[#This Row],[Cell_ID]],Registre_Maintenance_Part[[ID_Antenne]:[Colonne2]],6,FALSE),"")</f>
        <v>Ericsson</v>
      </c>
    </row>
    <row r="32" spans="1:11" x14ac:dyDescent="0.3">
      <c r="A32" t="s">
        <v>1116</v>
      </c>
      <c r="B32" s="1">
        <v>45213.763194444437</v>
      </c>
      <c r="C32" s="2">
        <v>45213.763194444437</v>
      </c>
      <c r="D32" t="s">
        <v>1122</v>
      </c>
      <c r="E32">
        <v>119</v>
      </c>
      <c r="F32" t="s">
        <v>739</v>
      </c>
      <c r="G32" t="str">
        <f>IFERROR(VLOOKUP(Logs_Reseau_Part5[[#This Row],[Cell_ID]],Registre_Maintenance_Part[[ID_Antenne]:[Colonne2]],2,FALSE),"")</f>
        <v>Equateur</v>
      </c>
      <c r="H32">
        <f>IFERROR(VLOOKUP(Logs_Reseau_Part5[[#This Row],[Cell_ID]],Registre_Maintenance_Part[[ID_Antenne]:[Colonne2]],3,FALSE),"")</f>
        <v>-0.79459900000000006</v>
      </c>
      <c r="I32">
        <f>IFERROR(VLOOKUP(Logs_Reseau_Part5[[#This Row],[Cell_ID]],Registre_Maintenance_Part[[ID_Antenne]:[Colonne2]],4,FALSE),"")</f>
        <v>26.775570999999999</v>
      </c>
      <c r="J32" t="str">
        <f>IFERROR(VLOOKUP(Logs_Reseau_Part5[[#This Row],[Cell_ID]],Registre_Maintenance_Part[[ID_Antenne]:[Colonne2]],5,FALSE),"")</f>
        <v>5G</v>
      </c>
      <c r="K32" t="str">
        <f>IFERROR(VLOOKUP(Logs_Reseau_Part5[[#This Row],[Cell_ID]],Registre_Maintenance_Part[[ID_Antenne]:[Colonne2]],6,FALSE),"")</f>
        <v>Huawei</v>
      </c>
    </row>
    <row r="33" spans="1:11" x14ac:dyDescent="0.3">
      <c r="A33" t="s">
        <v>1332</v>
      </c>
      <c r="B33" s="1">
        <v>45214.290277777778</v>
      </c>
      <c r="C33" s="2">
        <v>45214.290277777778</v>
      </c>
      <c r="D33" t="s">
        <v>1192</v>
      </c>
      <c r="E33">
        <v>27</v>
      </c>
      <c r="F33" t="s">
        <v>737</v>
      </c>
      <c r="G33" t="str">
        <f>IFERROR(VLOOKUP(Logs_Reseau_Part5[[#This Row],[Cell_ID]],Registre_Maintenance_Part[[ID_Antenne]:[Colonne2]],2,FALSE),"")</f>
        <v>Equateur</v>
      </c>
      <c r="H33">
        <f>IFERROR(VLOOKUP(Logs_Reseau_Part5[[#This Row],[Cell_ID]],Registre_Maintenance_Part[[ID_Antenne]:[Colonne2]],3,FALSE),"")</f>
        <v>-12.839263000000001</v>
      </c>
      <c r="I33">
        <f>IFERROR(VLOOKUP(Logs_Reseau_Part5[[#This Row],[Cell_ID]],Registre_Maintenance_Part[[ID_Antenne]:[Colonne2]],4,FALSE),"")</f>
        <v>12.355677</v>
      </c>
      <c r="J33" t="str">
        <f>IFERROR(VLOOKUP(Logs_Reseau_Part5[[#This Row],[Cell_ID]],Registre_Maintenance_Part[[ID_Antenne]:[Colonne2]],5,FALSE),"")</f>
        <v>3G</v>
      </c>
      <c r="K33" t="str">
        <f>IFERROR(VLOOKUP(Logs_Reseau_Part5[[#This Row],[Cell_ID]],Registre_Maintenance_Part[[ID_Antenne]:[Colonne2]],6,FALSE),"")</f>
        <v>Huawei</v>
      </c>
    </row>
    <row r="34" spans="1:11" x14ac:dyDescent="0.3">
      <c r="A34" t="s">
        <v>1195</v>
      </c>
      <c r="B34" s="1">
        <v>45214.634722222218</v>
      </c>
      <c r="C34" s="2">
        <v>45214.634722222218</v>
      </c>
      <c r="D34" t="s">
        <v>1202</v>
      </c>
      <c r="E34">
        <v>112</v>
      </c>
      <c r="F34" t="s">
        <v>737</v>
      </c>
      <c r="G34" t="str">
        <f>IFERROR(VLOOKUP(Logs_Reseau_Part5[[#This Row],[Cell_ID]],Registre_Maintenance_Part[[ID_Antenne]:[Colonne2]],2,FALSE),"")</f>
        <v>Equateur</v>
      </c>
      <c r="H34">
        <f>IFERROR(VLOOKUP(Logs_Reseau_Part5[[#This Row],[Cell_ID]],Registre_Maintenance_Part[[ID_Antenne]:[Colonne2]],3,FALSE),"")</f>
        <v>-6.1490739999999997</v>
      </c>
      <c r="I34">
        <f>IFERROR(VLOOKUP(Logs_Reseau_Part5[[#This Row],[Cell_ID]],Registre_Maintenance_Part[[ID_Antenne]:[Colonne2]],4,FALSE),"")</f>
        <v>23.304411000000002</v>
      </c>
      <c r="J34" t="str">
        <f>IFERROR(VLOOKUP(Logs_Reseau_Part5[[#This Row],[Cell_ID]],Registre_Maintenance_Part[[ID_Antenne]:[Colonne2]],5,FALSE),"")</f>
        <v>5G</v>
      </c>
      <c r="K34" t="str">
        <f>IFERROR(VLOOKUP(Logs_Reseau_Part5[[#This Row],[Cell_ID]],Registre_Maintenance_Part[[ID_Antenne]:[Colonne2]],6,FALSE),"")</f>
        <v>ZTE</v>
      </c>
    </row>
    <row r="35" spans="1:11" x14ac:dyDescent="0.3">
      <c r="A35" t="s">
        <v>1116</v>
      </c>
      <c r="B35" s="1">
        <v>45216.274305555547</v>
      </c>
      <c r="C35" s="2">
        <v>45216.274305555547</v>
      </c>
      <c r="D35" t="s">
        <v>1126</v>
      </c>
      <c r="E35">
        <v>30</v>
      </c>
      <c r="F35" t="s">
        <v>737</v>
      </c>
      <c r="G35" t="str">
        <f>IFERROR(VLOOKUP(Logs_Reseau_Part5[[#This Row],[Cell_ID]],Registre_Maintenance_Part[[ID_Antenne]:[Colonne2]],2,FALSE),"")</f>
        <v>Equateur</v>
      </c>
      <c r="H35">
        <f>IFERROR(VLOOKUP(Logs_Reseau_Part5[[#This Row],[Cell_ID]],Registre_Maintenance_Part[[ID_Antenne]:[Colonne2]],3,FALSE),"")</f>
        <v>-5.7200150000000001</v>
      </c>
      <c r="I35">
        <f>IFERROR(VLOOKUP(Logs_Reseau_Part5[[#This Row],[Cell_ID]],Registre_Maintenance_Part[[ID_Antenne]:[Colonne2]],4,FALSE),"")</f>
        <v>25.022109</v>
      </c>
      <c r="J35" t="str">
        <f>IFERROR(VLOOKUP(Logs_Reseau_Part5[[#This Row],[Cell_ID]],Registre_Maintenance_Part[[ID_Antenne]:[Colonne2]],5,FALSE),"")</f>
        <v>5G</v>
      </c>
      <c r="K35" t="str">
        <f>IFERROR(VLOOKUP(Logs_Reseau_Part5[[#This Row],[Cell_ID]],Registre_Maintenance_Part[[ID_Antenne]:[Colonne2]],6,FALSE),"")</f>
        <v>ZTE</v>
      </c>
    </row>
    <row r="36" spans="1:11" x14ac:dyDescent="0.3">
      <c r="A36" t="s">
        <v>904</v>
      </c>
      <c r="B36" s="1">
        <v>45220.206944444442</v>
      </c>
      <c r="C36" s="2">
        <v>45220.206944444442</v>
      </c>
      <c r="D36" t="s">
        <v>931</v>
      </c>
      <c r="E36">
        <v>25</v>
      </c>
      <c r="F36" t="s">
        <v>734</v>
      </c>
      <c r="G36" t="str">
        <f>IFERROR(VLOOKUP(Logs_Reseau_Part5[[#This Row],[Cell_ID]],Registre_Maintenance_Part[[ID_Antenne]:[Colonne2]],2,FALSE),"")</f>
        <v>Equateur</v>
      </c>
      <c r="H36">
        <f>IFERROR(VLOOKUP(Logs_Reseau_Part5[[#This Row],[Cell_ID]],Registre_Maintenance_Part[[ID_Antenne]:[Colonne2]],3,FALSE),"")</f>
        <v>3.3289240000000002</v>
      </c>
      <c r="I36">
        <f>IFERROR(VLOOKUP(Logs_Reseau_Part5[[#This Row],[Cell_ID]],Registre_Maintenance_Part[[ID_Antenne]:[Colonne2]],4,FALSE),"")</f>
        <v>24.412261000000001</v>
      </c>
      <c r="J36" t="str">
        <f>IFERROR(VLOOKUP(Logs_Reseau_Part5[[#This Row],[Cell_ID]],Registre_Maintenance_Part[[ID_Antenne]:[Colonne2]],5,FALSE),"")</f>
        <v>5G</v>
      </c>
      <c r="K36" t="str">
        <f>IFERROR(VLOOKUP(Logs_Reseau_Part5[[#This Row],[Cell_ID]],Registre_Maintenance_Part[[ID_Antenne]:[Colonne2]],6,FALSE),"")</f>
        <v>Nokia</v>
      </c>
    </row>
    <row r="37" spans="1:11" x14ac:dyDescent="0.3">
      <c r="A37" t="s">
        <v>1061</v>
      </c>
      <c r="B37" s="1">
        <v>45222.584722222222</v>
      </c>
      <c r="C37" s="2">
        <v>45222.584722222222</v>
      </c>
      <c r="D37" t="s">
        <v>1082</v>
      </c>
      <c r="E37">
        <v>15</v>
      </c>
      <c r="F37" t="s">
        <v>739</v>
      </c>
      <c r="G37" t="str">
        <f>IFERROR(VLOOKUP(Logs_Reseau_Part5[[#This Row],[Cell_ID]],Registre_Maintenance_Part[[ID_Antenne]:[Colonne2]],2,FALSE),"")</f>
        <v>Equateur</v>
      </c>
      <c r="H37">
        <f>IFERROR(VLOOKUP(Logs_Reseau_Part5[[#This Row],[Cell_ID]],Registre_Maintenance_Part[[ID_Antenne]:[Colonne2]],3,FALSE),"")</f>
        <v>-9.1215879999999991</v>
      </c>
      <c r="I37">
        <f>IFERROR(VLOOKUP(Logs_Reseau_Part5[[#This Row],[Cell_ID]],Registre_Maintenance_Part[[ID_Antenne]:[Colonne2]],4,FALSE),"")</f>
        <v>16.457916999999998</v>
      </c>
      <c r="J37" t="str">
        <f>IFERROR(VLOOKUP(Logs_Reseau_Part5[[#This Row],[Cell_ID]],Registre_Maintenance_Part[[ID_Antenne]:[Colonne2]],5,FALSE),"")</f>
        <v>4G</v>
      </c>
      <c r="K37" t="str">
        <f>IFERROR(VLOOKUP(Logs_Reseau_Part5[[#This Row],[Cell_ID]],Registre_Maintenance_Part[[ID_Antenne]:[Colonne2]],6,FALSE),"")</f>
        <v>Nokia</v>
      </c>
    </row>
    <row r="38" spans="1:11" x14ac:dyDescent="0.3">
      <c r="A38" t="s">
        <v>1116</v>
      </c>
      <c r="B38" s="1">
        <v>45224.775000000001</v>
      </c>
      <c r="C38" s="2">
        <v>45224.775000000001</v>
      </c>
      <c r="D38" t="s">
        <v>1126</v>
      </c>
      <c r="E38">
        <v>107</v>
      </c>
      <c r="F38" t="s">
        <v>739</v>
      </c>
      <c r="G38" t="str">
        <f>IFERROR(VLOOKUP(Logs_Reseau_Part5[[#This Row],[Cell_ID]],Registre_Maintenance_Part[[ID_Antenne]:[Colonne2]],2,FALSE),"")</f>
        <v>Equateur</v>
      </c>
      <c r="H38">
        <f>IFERROR(VLOOKUP(Logs_Reseau_Part5[[#This Row],[Cell_ID]],Registre_Maintenance_Part[[ID_Antenne]:[Colonne2]],3,FALSE),"")</f>
        <v>-5.7200150000000001</v>
      </c>
      <c r="I38">
        <f>IFERROR(VLOOKUP(Logs_Reseau_Part5[[#This Row],[Cell_ID]],Registre_Maintenance_Part[[ID_Antenne]:[Colonne2]],4,FALSE),"")</f>
        <v>25.022109</v>
      </c>
      <c r="J38" t="str">
        <f>IFERROR(VLOOKUP(Logs_Reseau_Part5[[#This Row],[Cell_ID]],Registre_Maintenance_Part[[ID_Antenne]:[Colonne2]],5,FALSE),"")</f>
        <v>5G</v>
      </c>
      <c r="K38" t="str">
        <f>IFERROR(VLOOKUP(Logs_Reseau_Part5[[#This Row],[Cell_ID]],Registre_Maintenance_Part[[ID_Antenne]:[Colonne2]],6,FALSE),"")</f>
        <v>ZTE</v>
      </c>
    </row>
    <row r="39" spans="1:11" x14ac:dyDescent="0.3">
      <c r="A39" t="s">
        <v>1167</v>
      </c>
      <c r="B39" s="1">
        <v>45226.313194444447</v>
      </c>
      <c r="C39" s="2">
        <v>45226.313194444447</v>
      </c>
      <c r="D39" t="s">
        <v>1192</v>
      </c>
      <c r="E39">
        <v>66</v>
      </c>
      <c r="F39" t="s">
        <v>739</v>
      </c>
      <c r="G39" t="str">
        <f>IFERROR(VLOOKUP(Logs_Reseau_Part5[[#This Row],[Cell_ID]],Registre_Maintenance_Part[[ID_Antenne]:[Colonne2]],2,FALSE),"")</f>
        <v>Equateur</v>
      </c>
      <c r="H39">
        <f>IFERROR(VLOOKUP(Logs_Reseau_Part5[[#This Row],[Cell_ID]],Registre_Maintenance_Part[[ID_Antenne]:[Colonne2]],3,FALSE),"")</f>
        <v>-12.839263000000001</v>
      </c>
      <c r="I39">
        <f>IFERROR(VLOOKUP(Logs_Reseau_Part5[[#This Row],[Cell_ID]],Registre_Maintenance_Part[[ID_Antenne]:[Colonne2]],4,FALSE),"")</f>
        <v>12.355677</v>
      </c>
      <c r="J39" t="str">
        <f>IFERROR(VLOOKUP(Logs_Reseau_Part5[[#This Row],[Cell_ID]],Registre_Maintenance_Part[[ID_Antenne]:[Colonne2]],5,FALSE),"")</f>
        <v>3G</v>
      </c>
      <c r="K39" t="str">
        <f>IFERROR(VLOOKUP(Logs_Reseau_Part5[[#This Row],[Cell_ID]],Registre_Maintenance_Part[[ID_Antenne]:[Colonne2]],6,FALSE),"")</f>
        <v>Huawei</v>
      </c>
    </row>
    <row r="40" spans="1:11" x14ac:dyDescent="0.3">
      <c r="A40" t="s">
        <v>904</v>
      </c>
      <c r="B40" s="1">
        <v>45226.790277777778</v>
      </c>
      <c r="C40" s="2">
        <v>45226.790277777778</v>
      </c>
      <c r="D40" t="s">
        <v>934</v>
      </c>
      <c r="E40">
        <v>68</v>
      </c>
      <c r="F40" t="s">
        <v>739</v>
      </c>
      <c r="G40" t="str">
        <f>IFERROR(VLOOKUP(Logs_Reseau_Part5[[#This Row],[Cell_ID]],Registre_Maintenance_Part[[ID_Antenne]:[Colonne2]],2,FALSE),"")</f>
        <v>Equateur</v>
      </c>
      <c r="H40">
        <f>IFERROR(VLOOKUP(Logs_Reseau_Part5[[#This Row],[Cell_ID]],Registre_Maintenance_Part[[ID_Antenne]:[Colonne2]],3,FALSE),"")</f>
        <v>-0.37665700000000002</v>
      </c>
      <c r="I40">
        <f>IFERROR(VLOOKUP(Logs_Reseau_Part5[[#This Row],[Cell_ID]],Registre_Maintenance_Part[[ID_Antenne]:[Colonne2]],4,FALSE),"")</f>
        <v>25.154807999999999</v>
      </c>
      <c r="J40" t="str">
        <f>IFERROR(VLOOKUP(Logs_Reseau_Part5[[#This Row],[Cell_ID]],Registre_Maintenance_Part[[ID_Antenne]:[Colonne2]],5,FALSE),"")</f>
        <v>3G</v>
      </c>
      <c r="K40" t="str">
        <f>IFERROR(VLOOKUP(Logs_Reseau_Part5[[#This Row],[Cell_ID]],Registre_Maintenance_Part[[ID_Antenne]:[Colonne2]],6,FALSE),"")</f>
        <v>Nokia</v>
      </c>
    </row>
    <row r="41" spans="1:11" x14ac:dyDescent="0.3">
      <c r="A41" t="s">
        <v>1263</v>
      </c>
      <c r="B41" s="1">
        <v>45230.50277777778</v>
      </c>
      <c r="C41" s="2">
        <v>45230.50277777778</v>
      </c>
      <c r="D41" t="s">
        <v>1126</v>
      </c>
      <c r="E41">
        <v>99</v>
      </c>
      <c r="F41" t="s">
        <v>734</v>
      </c>
      <c r="G41" t="str">
        <f>IFERROR(VLOOKUP(Logs_Reseau_Part5[[#This Row],[Cell_ID]],Registre_Maintenance_Part[[ID_Antenne]:[Colonne2]],2,FALSE),"")</f>
        <v>Equateur</v>
      </c>
      <c r="H41">
        <f>IFERROR(VLOOKUP(Logs_Reseau_Part5[[#This Row],[Cell_ID]],Registre_Maintenance_Part[[ID_Antenne]:[Colonne2]],3,FALSE),"")</f>
        <v>-5.7200150000000001</v>
      </c>
      <c r="I41">
        <f>IFERROR(VLOOKUP(Logs_Reseau_Part5[[#This Row],[Cell_ID]],Registre_Maintenance_Part[[ID_Antenne]:[Colonne2]],4,FALSE),"")</f>
        <v>25.022109</v>
      </c>
      <c r="J41" t="str">
        <f>IFERROR(VLOOKUP(Logs_Reseau_Part5[[#This Row],[Cell_ID]],Registre_Maintenance_Part[[ID_Antenne]:[Colonne2]],5,FALSE),"")</f>
        <v>5G</v>
      </c>
      <c r="K41" t="str">
        <f>IFERROR(VLOOKUP(Logs_Reseau_Part5[[#This Row],[Cell_ID]],Registre_Maintenance_Part[[ID_Antenne]:[Colonne2]],6,FALSE),"")</f>
        <v>ZTE</v>
      </c>
    </row>
    <row r="42" spans="1:11" x14ac:dyDescent="0.3">
      <c r="A42" t="s">
        <v>1406</v>
      </c>
      <c r="B42" s="1">
        <v>45230.839583333327</v>
      </c>
      <c r="C42" s="2">
        <v>45230.839583333327</v>
      </c>
      <c r="D42" t="s">
        <v>1122</v>
      </c>
      <c r="E42">
        <v>83</v>
      </c>
      <c r="F42" t="s">
        <v>739</v>
      </c>
      <c r="G42" t="str">
        <f>IFERROR(VLOOKUP(Logs_Reseau_Part5[[#This Row],[Cell_ID]],Registre_Maintenance_Part[[ID_Antenne]:[Colonne2]],2,FALSE),"")</f>
        <v>Equateur</v>
      </c>
      <c r="H42">
        <f>IFERROR(VLOOKUP(Logs_Reseau_Part5[[#This Row],[Cell_ID]],Registre_Maintenance_Part[[ID_Antenne]:[Colonne2]],3,FALSE),"")</f>
        <v>-0.79459900000000006</v>
      </c>
      <c r="I42">
        <f>IFERROR(VLOOKUP(Logs_Reseau_Part5[[#This Row],[Cell_ID]],Registre_Maintenance_Part[[ID_Antenne]:[Colonne2]],4,FALSE),"")</f>
        <v>26.775570999999999</v>
      </c>
      <c r="J42" t="str">
        <f>IFERROR(VLOOKUP(Logs_Reseau_Part5[[#This Row],[Cell_ID]],Registre_Maintenance_Part[[ID_Antenne]:[Colonne2]],5,FALSE),"")</f>
        <v>5G</v>
      </c>
      <c r="K42" t="str">
        <f>IFERROR(VLOOKUP(Logs_Reseau_Part5[[#This Row],[Cell_ID]],Registre_Maintenance_Part[[ID_Antenne]:[Colonne2]],6,FALSE),"")</f>
        <v>Huawei</v>
      </c>
    </row>
    <row r="43" spans="1:11" x14ac:dyDescent="0.3">
      <c r="A43" t="s">
        <v>1221</v>
      </c>
      <c r="B43" s="1">
        <v>45200.445138888892</v>
      </c>
      <c r="C43" s="2">
        <v>45200.445138888892</v>
      </c>
      <c r="D43" t="s">
        <v>1229</v>
      </c>
      <c r="E43">
        <v>112</v>
      </c>
      <c r="F43" t="s">
        <v>734</v>
      </c>
      <c r="G43" t="str">
        <f>IFERROR(VLOOKUP(Logs_Reseau_Part5[[#This Row],[Cell_ID]],Registre_Maintenance_Part[[ID_Antenne]:[Colonne2]],2,FALSE),"")</f>
        <v>Haut-Katanga</v>
      </c>
      <c r="H43">
        <f>IFERROR(VLOOKUP(Logs_Reseau_Part5[[#This Row],[Cell_ID]],Registre_Maintenance_Part[[ID_Antenne]:[Colonne2]],3,FALSE),"")</f>
        <v>-10.945031</v>
      </c>
      <c r="I43">
        <f>IFERROR(VLOOKUP(Logs_Reseau_Part5[[#This Row],[Cell_ID]],Registre_Maintenance_Part[[ID_Antenne]:[Colonne2]],4,FALSE),"")</f>
        <v>27.922274000000002</v>
      </c>
      <c r="J43" t="str">
        <f>IFERROR(VLOOKUP(Logs_Reseau_Part5[[#This Row],[Cell_ID]],Registre_Maintenance_Part[[ID_Antenne]:[Colonne2]],5,FALSE),"")</f>
        <v>4G</v>
      </c>
      <c r="K43" t="str">
        <f>IFERROR(VLOOKUP(Logs_Reseau_Part5[[#This Row],[Cell_ID]],Registre_Maintenance_Part[[ID_Antenne]:[Colonne2]],6,FALSE),"")</f>
        <v>Ericsson</v>
      </c>
    </row>
    <row r="44" spans="1:11" x14ac:dyDescent="0.3">
      <c r="A44" t="s">
        <v>1384</v>
      </c>
      <c r="B44" s="1">
        <v>45200.506249999999</v>
      </c>
      <c r="C44" s="2">
        <v>45200.506249999999</v>
      </c>
      <c r="D44" t="s">
        <v>1229</v>
      </c>
      <c r="E44">
        <v>99</v>
      </c>
      <c r="F44" t="s">
        <v>734</v>
      </c>
      <c r="G44" t="str">
        <f>IFERROR(VLOOKUP(Logs_Reseau_Part5[[#This Row],[Cell_ID]],Registre_Maintenance_Part[[ID_Antenne]:[Colonne2]],2,FALSE),"")</f>
        <v>Haut-Katanga</v>
      </c>
      <c r="H44">
        <f>IFERROR(VLOOKUP(Logs_Reseau_Part5[[#This Row],[Cell_ID]],Registre_Maintenance_Part[[ID_Antenne]:[Colonne2]],3,FALSE),"")</f>
        <v>-10.945031</v>
      </c>
      <c r="I44">
        <f>IFERROR(VLOOKUP(Logs_Reseau_Part5[[#This Row],[Cell_ID]],Registre_Maintenance_Part[[ID_Antenne]:[Colonne2]],4,FALSE),"")</f>
        <v>27.922274000000002</v>
      </c>
      <c r="J44" t="str">
        <f>IFERROR(VLOOKUP(Logs_Reseau_Part5[[#This Row],[Cell_ID]],Registre_Maintenance_Part[[ID_Antenne]:[Colonne2]],5,FALSE),"")</f>
        <v>4G</v>
      </c>
      <c r="K44" t="str">
        <f>IFERROR(VLOOKUP(Logs_Reseau_Part5[[#This Row],[Cell_ID]],Registre_Maintenance_Part[[ID_Antenne]:[Colonne2]],6,FALSE),"")</f>
        <v>Ericsson</v>
      </c>
    </row>
    <row r="45" spans="1:11" x14ac:dyDescent="0.3">
      <c r="A45" t="s">
        <v>1026</v>
      </c>
      <c r="B45" s="1">
        <v>45201.057638888888</v>
      </c>
      <c r="C45" s="2">
        <v>45201.057638888888</v>
      </c>
      <c r="D45" t="s">
        <v>1027</v>
      </c>
      <c r="E45">
        <v>103</v>
      </c>
      <c r="F45" t="s">
        <v>734</v>
      </c>
      <c r="G45" t="str">
        <f>IFERROR(VLOOKUP(Logs_Reseau_Part5[[#This Row],[Cell_ID]],Registre_Maintenance_Part[[ID_Antenne]:[Colonne2]],2,FALSE),"")</f>
        <v>Haut-Katanga</v>
      </c>
      <c r="H45">
        <f>IFERROR(VLOOKUP(Logs_Reseau_Part5[[#This Row],[Cell_ID]],Registre_Maintenance_Part[[ID_Antenne]:[Colonne2]],3,FALSE),"")</f>
        <v>-11.594525000000001</v>
      </c>
      <c r="I45">
        <f>IFERROR(VLOOKUP(Logs_Reseau_Part5[[#This Row],[Cell_ID]],Registre_Maintenance_Part[[ID_Antenne]:[Colonne2]],4,FALSE),"")</f>
        <v>29.744895</v>
      </c>
      <c r="J45" t="str">
        <f>IFERROR(VLOOKUP(Logs_Reseau_Part5[[#This Row],[Cell_ID]],Registre_Maintenance_Part[[ID_Antenne]:[Colonne2]],5,FALSE),"")</f>
        <v>3G</v>
      </c>
      <c r="K45" t="str">
        <f>IFERROR(VLOOKUP(Logs_Reseau_Part5[[#This Row],[Cell_ID]],Registre_Maintenance_Part[[ID_Antenne]:[Colonne2]],6,FALSE),"")</f>
        <v>ZTE</v>
      </c>
    </row>
    <row r="46" spans="1:11" x14ac:dyDescent="0.3">
      <c r="A46" t="s">
        <v>863</v>
      </c>
      <c r="B46" s="1">
        <v>45201.468055555553</v>
      </c>
      <c r="C46" s="2">
        <v>45201.468055555553</v>
      </c>
      <c r="D46" t="s">
        <v>878</v>
      </c>
      <c r="E46">
        <v>80</v>
      </c>
      <c r="F46" t="s">
        <v>734</v>
      </c>
      <c r="G46" t="str">
        <f>IFERROR(VLOOKUP(Logs_Reseau_Part5[[#This Row],[Cell_ID]],Registre_Maintenance_Part[[ID_Antenne]:[Colonne2]],2,FALSE),"")</f>
        <v>Haut-Katanga</v>
      </c>
      <c r="H46">
        <f>IFERROR(VLOOKUP(Logs_Reseau_Part5[[#This Row],[Cell_ID]],Registre_Maintenance_Part[[ID_Antenne]:[Colonne2]],3,FALSE),"")</f>
        <v>-3.3890790000000002</v>
      </c>
      <c r="I46">
        <f>IFERROR(VLOOKUP(Logs_Reseau_Part5[[#This Row],[Cell_ID]],Registre_Maintenance_Part[[ID_Antenne]:[Colonne2]],4,FALSE),"")</f>
        <v>18.374571</v>
      </c>
      <c r="J46" t="str">
        <f>IFERROR(VLOOKUP(Logs_Reseau_Part5[[#This Row],[Cell_ID]],Registre_Maintenance_Part[[ID_Antenne]:[Colonne2]],5,FALSE),"")</f>
        <v>5G</v>
      </c>
      <c r="K46" t="str">
        <f>IFERROR(VLOOKUP(Logs_Reseau_Part5[[#This Row],[Cell_ID]],Registre_Maintenance_Part[[ID_Antenne]:[Colonne2]],6,FALSE),"")</f>
        <v>ZTE</v>
      </c>
    </row>
    <row r="47" spans="1:11" x14ac:dyDescent="0.3">
      <c r="A47" t="s">
        <v>904</v>
      </c>
      <c r="B47" s="1">
        <v>45201.574305555558</v>
      </c>
      <c r="C47" s="2">
        <v>45201.574305555558</v>
      </c>
      <c r="D47" t="s">
        <v>755</v>
      </c>
      <c r="E47">
        <v>75</v>
      </c>
      <c r="F47" t="s">
        <v>739</v>
      </c>
      <c r="G47" t="str">
        <f>IFERROR(VLOOKUP(Logs_Reseau_Part5[[#This Row],[Cell_ID]],Registre_Maintenance_Part[[ID_Antenne]:[Colonne2]],2,FALSE),"")</f>
        <v>Haut-Katanga</v>
      </c>
      <c r="H47">
        <f>IFERROR(VLOOKUP(Logs_Reseau_Part5[[#This Row],[Cell_ID]],Registre_Maintenance_Part[[ID_Antenne]:[Colonne2]],3,FALSE),"")</f>
        <v>0.172153</v>
      </c>
      <c r="I47">
        <f>IFERROR(VLOOKUP(Logs_Reseau_Part5[[#This Row],[Cell_ID]],Registre_Maintenance_Part[[ID_Antenne]:[Colonne2]],4,FALSE),"")</f>
        <v>21.091376</v>
      </c>
      <c r="J47" t="str">
        <f>IFERROR(VLOOKUP(Logs_Reseau_Part5[[#This Row],[Cell_ID]],Registre_Maintenance_Part[[ID_Antenne]:[Colonne2]],5,FALSE),"")</f>
        <v>3G</v>
      </c>
      <c r="K47" t="str">
        <f>IFERROR(VLOOKUP(Logs_Reseau_Part5[[#This Row],[Cell_ID]],Registre_Maintenance_Part[[ID_Antenne]:[Colonne2]],6,FALSE),"")</f>
        <v>Ericsson</v>
      </c>
    </row>
    <row r="48" spans="1:11" x14ac:dyDescent="0.3">
      <c r="A48" t="s">
        <v>1384</v>
      </c>
      <c r="B48" s="1">
        <v>45203.603472222218</v>
      </c>
      <c r="C48" s="2">
        <v>45203.603472222218</v>
      </c>
      <c r="D48" t="s">
        <v>1385</v>
      </c>
      <c r="E48">
        <v>106</v>
      </c>
      <c r="F48" t="s">
        <v>737</v>
      </c>
      <c r="G48" t="str">
        <f>IFERROR(VLOOKUP(Logs_Reseau_Part5[[#This Row],[Cell_ID]],Registre_Maintenance_Part[[ID_Antenne]:[Colonne2]],2,FALSE),"")</f>
        <v>Haut-Katanga</v>
      </c>
      <c r="H48">
        <f>IFERROR(VLOOKUP(Logs_Reseau_Part5[[#This Row],[Cell_ID]],Registre_Maintenance_Part[[ID_Antenne]:[Colonne2]],3,FALSE),"")</f>
        <v>-5.1507670000000001</v>
      </c>
      <c r="I48">
        <f>IFERROR(VLOOKUP(Logs_Reseau_Part5[[#This Row],[Cell_ID]],Registre_Maintenance_Part[[ID_Antenne]:[Colonne2]],4,FALSE),"")</f>
        <v>28.075324999999999</v>
      </c>
      <c r="J48" t="str">
        <f>IFERROR(VLOOKUP(Logs_Reseau_Part5[[#This Row],[Cell_ID]],Registre_Maintenance_Part[[ID_Antenne]:[Colonne2]],5,FALSE),"")</f>
        <v>5G</v>
      </c>
      <c r="K48" t="str">
        <f>IFERROR(VLOOKUP(Logs_Reseau_Part5[[#This Row],[Cell_ID]],Registre_Maintenance_Part[[ID_Antenne]:[Colonne2]],6,FALSE),"")</f>
        <v>Huawei</v>
      </c>
    </row>
    <row r="49" spans="1:11" x14ac:dyDescent="0.3">
      <c r="A49" t="s">
        <v>980</v>
      </c>
      <c r="B49" s="1">
        <v>45203.652083333327</v>
      </c>
      <c r="C49" s="2">
        <v>45203.652083333327</v>
      </c>
      <c r="D49" t="s">
        <v>985</v>
      </c>
      <c r="E49">
        <v>65</v>
      </c>
      <c r="F49" t="s">
        <v>739</v>
      </c>
      <c r="G49" t="str">
        <f>IFERROR(VLOOKUP(Logs_Reseau_Part5[[#This Row],[Cell_ID]],Registre_Maintenance_Part[[ID_Antenne]:[Colonne2]],2,FALSE),"")</f>
        <v>Haut-Katanga</v>
      </c>
      <c r="H49">
        <f>IFERROR(VLOOKUP(Logs_Reseau_Part5[[#This Row],[Cell_ID]],Registre_Maintenance_Part[[ID_Antenne]:[Colonne2]],3,FALSE),"")</f>
        <v>2.016505</v>
      </c>
      <c r="I49">
        <f>IFERROR(VLOOKUP(Logs_Reseau_Part5[[#This Row],[Cell_ID]],Registre_Maintenance_Part[[ID_Antenne]:[Colonne2]],4,FALSE),"")</f>
        <v>14.294164</v>
      </c>
      <c r="J49" t="str">
        <f>IFERROR(VLOOKUP(Logs_Reseau_Part5[[#This Row],[Cell_ID]],Registre_Maintenance_Part[[ID_Antenne]:[Colonne2]],5,FALSE),"")</f>
        <v>5G</v>
      </c>
      <c r="K49" t="str">
        <f>IFERROR(VLOOKUP(Logs_Reseau_Part5[[#This Row],[Cell_ID]],Registre_Maintenance_Part[[ID_Antenne]:[Colonne2]],6,FALSE),"")</f>
        <v>Huawei</v>
      </c>
    </row>
    <row r="50" spans="1:11" x14ac:dyDescent="0.3">
      <c r="A50" t="s">
        <v>1167</v>
      </c>
      <c r="B50" s="1">
        <v>45205.729166666657</v>
      </c>
      <c r="C50" s="2">
        <v>45205.729166666657</v>
      </c>
      <c r="D50" t="s">
        <v>1171</v>
      </c>
      <c r="E50">
        <v>106</v>
      </c>
      <c r="F50" t="s">
        <v>739</v>
      </c>
      <c r="G50" t="str">
        <f>IFERROR(VLOOKUP(Logs_Reseau_Part5[[#This Row],[Cell_ID]],Registre_Maintenance_Part[[ID_Antenne]:[Colonne2]],2,FALSE),"")</f>
        <v>Haut-Katanga</v>
      </c>
      <c r="H50">
        <f>IFERROR(VLOOKUP(Logs_Reseau_Part5[[#This Row],[Cell_ID]],Registre_Maintenance_Part[[ID_Antenne]:[Colonne2]],3,FALSE),"")</f>
        <v>-4.4958720000000003</v>
      </c>
      <c r="I50">
        <f>IFERROR(VLOOKUP(Logs_Reseau_Part5[[#This Row],[Cell_ID]],Registre_Maintenance_Part[[ID_Antenne]:[Colonne2]],4,FALSE),"")</f>
        <v>18.514112000000001</v>
      </c>
      <c r="J50" t="str">
        <f>IFERROR(VLOOKUP(Logs_Reseau_Part5[[#This Row],[Cell_ID]],Registre_Maintenance_Part[[ID_Antenne]:[Colonne2]],5,FALSE),"")</f>
        <v>4G</v>
      </c>
      <c r="K50" t="str">
        <f>IFERROR(VLOOKUP(Logs_Reseau_Part5[[#This Row],[Cell_ID]],Registre_Maintenance_Part[[ID_Antenne]:[Colonne2]],6,FALSE),"")</f>
        <v>Nokia</v>
      </c>
    </row>
    <row r="51" spans="1:11" x14ac:dyDescent="0.3">
      <c r="A51" t="s">
        <v>1332</v>
      </c>
      <c r="B51" s="1">
        <v>45206.286805555559</v>
      </c>
      <c r="C51" s="2">
        <v>45206.286805555559</v>
      </c>
      <c r="D51" t="s">
        <v>794</v>
      </c>
      <c r="E51">
        <v>96</v>
      </c>
      <c r="F51" t="s">
        <v>737</v>
      </c>
      <c r="G51" t="str">
        <f>IFERROR(VLOOKUP(Logs_Reseau_Part5[[#This Row],[Cell_ID]],Registre_Maintenance_Part[[ID_Antenne]:[Colonne2]],2,FALSE),"")</f>
        <v>Haut-Katanga</v>
      </c>
      <c r="H51">
        <f>IFERROR(VLOOKUP(Logs_Reseau_Part5[[#This Row],[Cell_ID]],Registre_Maintenance_Part[[ID_Antenne]:[Colonne2]],3,FALSE),"")</f>
        <v>-5.5445120000000001</v>
      </c>
      <c r="I51">
        <f>IFERROR(VLOOKUP(Logs_Reseau_Part5[[#This Row],[Cell_ID]],Registre_Maintenance_Part[[ID_Antenne]:[Colonne2]],4,FALSE),"")</f>
        <v>27.547335</v>
      </c>
      <c r="J51" t="str">
        <f>IFERROR(VLOOKUP(Logs_Reseau_Part5[[#This Row],[Cell_ID]],Registre_Maintenance_Part[[ID_Antenne]:[Colonne2]],5,FALSE),"")</f>
        <v>4G</v>
      </c>
      <c r="K51" t="str">
        <f>IFERROR(VLOOKUP(Logs_Reseau_Part5[[#This Row],[Cell_ID]],Registre_Maintenance_Part[[ID_Antenne]:[Colonne2]],6,FALSE),"")</f>
        <v>Ericsson</v>
      </c>
    </row>
    <row r="52" spans="1:11" x14ac:dyDescent="0.3">
      <c r="A52" t="s">
        <v>1347</v>
      </c>
      <c r="B52" s="1">
        <v>45206.974305555559</v>
      </c>
      <c r="C52" s="2">
        <v>45206.974305555559</v>
      </c>
      <c r="D52" t="s">
        <v>1360</v>
      </c>
      <c r="E52">
        <v>53</v>
      </c>
      <c r="F52" t="s">
        <v>737</v>
      </c>
      <c r="G52" t="str">
        <f>IFERROR(VLOOKUP(Logs_Reseau_Part5[[#This Row],[Cell_ID]],Registre_Maintenance_Part[[ID_Antenne]:[Colonne2]],2,FALSE),"")</f>
        <v>Haut-Katanga</v>
      </c>
      <c r="H52">
        <f>IFERROR(VLOOKUP(Logs_Reseau_Part5[[#This Row],[Cell_ID]],Registre_Maintenance_Part[[ID_Antenne]:[Colonne2]],3,FALSE),"")</f>
        <v>-2.926736</v>
      </c>
      <c r="I52">
        <f>IFERROR(VLOOKUP(Logs_Reseau_Part5[[#This Row],[Cell_ID]],Registre_Maintenance_Part[[ID_Antenne]:[Colonne2]],4,FALSE),"")</f>
        <v>18.170461</v>
      </c>
      <c r="J52" t="str">
        <f>IFERROR(VLOOKUP(Logs_Reseau_Part5[[#This Row],[Cell_ID]],Registre_Maintenance_Part[[ID_Antenne]:[Colonne2]],5,FALSE),"")</f>
        <v>5G</v>
      </c>
      <c r="K52" t="str">
        <f>IFERROR(VLOOKUP(Logs_Reseau_Part5[[#This Row],[Cell_ID]],Registre_Maintenance_Part[[ID_Antenne]:[Colonne2]],6,FALSE),"")</f>
        <v>Ericsson</v>
      </c>
    </row>
    <row r="53" spans="1:11" x14ac:dyDescent="0.3">
      <c r="A53" t="s">
        <v>1001</v>
      </c>
      <c r="B53" s="1">
        <v>45207.526388888888</v>
      </c>
      <c r="C53" s="2">
        <v>45207.526388888888</v>
      </c>
      <c r="D53" t="s">
        <v>1025</v>
      </c>
      <c r="E53">
        <v>78</v>
      </c>
      <c r="F53" t="s">
        <v>739</v>
      </c>
      <c r="G53" t="str">
        <f>IFERROR(VLOOKUP(Logs_Reseau_Part5[[#This Row],[Cell_ID]],Registre_Maintenance_Part[[ID_Antenne]:[Colonne2]],2,FALSE),"")</f>
        <v>Haut-Katanga</v>
      </c>
      <c r="H53">
        <f>IFERROR(VLOOKUP(Logs_Reseau_Part5[[#This Row],[Cell_ID]],Registre_Maintenance_Part[[ID_Antenne]:[Colonne2]],3,FALSE),"")</f>
        <v>-9.4229749999999992</v>
      </c>
      <c r="I53">
        <f>IFERROR(VLOOKUP(Logs_Reseau_Part5[[#This Row],[Cell_ID]],Registre_Maintenance_Part[[ID_Antenne]:[Colonne2]],4,FALSE),"")</f>
        <v>29.375005999999999</v>
      </c>
      <c r="J53" t="str">
        <f>IFERROR(VLOOKUP(Logs_Reseau_Part5[[#This Row],[Cell_ID]],Registre_Maintenance_Part[[ID_Antenne]:[Colonne2]],5,FALSE),"")</f>
        <v>3G</v>
      </c>
      <c r="K53" t="str">
        <f>IFERROR(VLOOKUP(Logs_Reseau_Part5[[#This Row],[Cell_ID]],Registre_Maintenance_Part[[ID_Antenne]:[Colonne2]],6,FALSE),"")</f>
        <v>Ericsson</v>
      </c>
    </row>
    <row r="54" spans="1:11" x14ac:dyDescent="0.3">
      <c r="A54" t="s">
        <v>1347</v>
      </c>
      <c r="B54" s="1">
        <v>45207.955555555563</v>
      </c>
      <c r="C54" s="2">
        <v>45207.955555555563</v>
      </c>
      <c r="D54" t="s">
        <v>985</v>
      </c>
      <c r="E54">
        <v>73</v>
      </c>
      <c r="F54" t="s">
        <v>737</v>
      </c>
      <c r="G54" t="str">
        <f>IFERROR(VLOOKUP(Logs_Reseau_Part5[[#This Row],[Cell_ID]],Registre_Maintenance_Part[[ID_Antenne]:[Colonne2]],2,FALSE),"")</f>
        <v>Haut-Katanga</v>
      </c>
      <c r="H54">
        <f>IFERROR(VLOOKUP(Logs_Reseau_Part5[[#This Row],[Cell_ID]],Registre_Maintenance_Part[[ID_Antenne]:[Colonne2]],3,FALSE),"")</f>
        <v>2.016505</v>
      </c>
      <c r="I54">
        <f>IFERROR(VLOOKUP(Logs_Reseau_Part5[[#This Row],[Cell_ID]],Registre_Maintenance_Part[[ID_Antenne]:[Colonne2]],4,FALSE),"")</f>
        <v>14.294164</v>
      </c>
      <c r="J54" t="str">
        <f>IFERROR(VLOOKUP(Logs_Reseau_Part5[[#This Row],[Cell_ID]],Registre_Maintenance_Part[[ID_Antenne]:[Colonne2]],5,FALSE),"")</f>
        <v>5G</v>
      </c>
      <c r="K54" t="str">
        <f>IFERROR(VLOOKUP(Logs_Reseau_Part5[[#This Row],[Cell_ID]],Registre_Maintenance_Part[[ID_Antenne]:[Colonne2]],6,FALSE),"")</f>
        <v>Huawei</v>
      </c>
    </row>
    <row r="55" spans="1:11" x14ac:dyDescent="0.3">
      <c r="A55" t="s">
        <v>1332</v>
      </c>
      <c r="B55" s="1">
        <v>45209.938888888893</v>
      </c>
      <c r="C55" s="2">
        <v>45209.938888888893</v>
      </c>
      <c r="D55" t="s">
        <v>794</v>
      </c>
      <c r="E55">
        <v>37</v>
      </c>
      <c r="F55" t="s">
        <v>737</v>
      </c>
      <c r="G55" t="str">
        <f>IFERROR(VLOOKUP(Logs_Reseau_Part5[[#This Row],[Cell_ID]],Registre_Maintenance_Part[[ID_Antenne]:[Colonne2]],2,FALSE),"")</f>
        <v>Haut-Katanga</v>
      </c>
      <c r="H55">
        <f>IFERROR(VLOOKUP(Logs_Reseau_Part5[[#This Row],[Cell_ID]],Registre_Maintenance_Part[[ID_Antenne]:[Colonne2]],3,FALSE),"")</f>
        <v>-5.5445120000000001</v>
      </c>
      <c r="I55">
        <f>IFERROR(VLOOKUP(Logs_Reseau_Part5[[#This Row],[Cell_ID]],Registre_Maintenance_Part[[ID_Antenne]:[Colonne2]],4,FALSE),"")</f>
        <v>27.547335</v>
      </c>
      <c r="J55" t="str">
        <f>IFERROR(VLOOKUP(Logs_Reseau_Part5[[#This Row],[Cell_ID]],Registre_Maintenance_Part[[ID_Antenne]:[Colonne2]],5,FALSE),"")</f>
        <v>4G</v>
      </c>
      <c r="K55" t="str">
        <f>IFERROR(VLOOKUP(Logs_Reseau_Part5[[#This Row],[Cell_ID]],Registre_Maintenance_Part[[ID_Antenne]:[Colonne2]],6,FALSE),"")</f>
        <v>Ericsson</v>
      </c>
    </row>
    <row r="56" spans="1:11" x14ac:dyDescent="0.3">
      <c r="A56" t="s">
        <v>1347</v>
      </c>
      <c r="B56" s="1">
        <v>45210.835416666669</v>
      </c>
      <c r="C56" s="2">
        <v>45210.835416666669</v>
      </c>
      <c r="D56" t="s">
        <v>807</v>
      </c>
      <c r="E56">
        <v>80</v>
      </c>
      <c r="F56" t="s">
        <v>737</v>
      </c>
      <c r="G56" t="str">
        <f>IFERROR(VLOOKUP(Logs_Reseau_Part5[[#This Row],[Cell_ID]],Registre_Maintenance_Part[[ID_Antenne]:[Colonne2]],2,FALSE),"")</f>
        <v>Haut-Katanga</v>
      </c>
      <c r="H56">
        <f>IFERROR(VLOOKUP(Logs_Reseau_Part5[[#This Row],[Cell_ID]],Registre_Maintenance_Part[[ID_Antenne]:[Colonne2]],3,FALSE),"")</f>
        <v>4.4712560000000003</v>
      </c>
      <c r="I56">
        <f>IFERROR(VLOOKUP(Logs_Reseau_Part5[[#This Row],[Cell_ID]],Registre_Maintenance_Part[[ID_Antenne]:[Colonne2]],4,FALSE),"")</f>
        <v>27.107028</v>
      </c>
      <c r="J56" t="str">
        <f>IFERROR(VLOOKUP(Logs_Reseau_Part5[[#This Row],[Cell_ID]],Registre_Maintenance_Part[[ID_Antenne]:[Colonne2]],5,FALSE),"")</f>
        <v>3G</v>
      </c>
      <c r="K56" t="str">
        <f>IFERROR(VLOOKUP(Logs_Reseau_Part5[[#This Row],[Cell_ID]],Registre_Maintenance_Part[[ID_Antenne]:[Colonne2]],6,FALSE),"")</f>
        <v>Ericsson</v>
      </c>
    </row>
    <row r="57" spans="1:11" x14ac:dyDescent="0.3">
      <c r="A57" t="s">
        <v>781</v>
      </c>
      <c r="B57" s="1">
        <v>45213.645833333343</v>
      </c>
      <c r="C57" s="2">
        <v>45213.645833333343</v>
      </c>
      <c r="D57" t="s">
        <v>797</v>
      </c>
      <c r="E57">
        <v>95</v>
      </c>
      <c r="F57" t="s">
        <v>734</v>
      </c>
      <c r="G57" t="str">
        <f>IFERROR(VLOOKUP(Logs_Reseau_Part5[[#This Row],[Cell_ID]],Registre_Maintenance_Part[[ID_Antenne]:[Colonne2]],2,FALSE),"")</f>
        <v>Haut-Katanga</v>
      </c>
      <c r="H57">
        <f>IFERROR(VLOOKUP(Logs_Reseau_Part5[[#This Row],[Cell_ID]],Registre_Maintenance_Part[[ID_Antenne]:[Colonne2]],3,FALSE),"")</f>
        <v>-2.9417719999999998</v>
      </c>
      <c r="I57">
        <f>IFERROR(VLOOKUP(Logs_Reseau_Part5[[#This Row],[Cell_ID]],Registre_Maintenance_Part[[ID_Antenne]:[Colonne2]],4,FALSE),"")</f>
        <v>18.587305000000001</v>
      </c>
      <c r="J57" t="str">
        <f>IFERROR(VLOOKUP(Logs_Reseau_Part5[[#This Row],[Cell_ID]],Registre_Maintenance_Part[[ID_Antenne]:[Colonne2]],5,FALSE),"")</f>
        <v>5G</v>
      </c>
      <c r="K57" t="str">
        <f>IFERROR(VLOOKUP(Logs_Reseau_Part5[[#This Row],[Cell_ID]],Registre_Maintenance_Part[[ID_Antenne]:[Colonne2]],6,FALSE),"")</f>
        <v>Ericsson</v>
      </c>
    </row>
    <row r="58" spans="1:11" x14ac:dyDescent="0.3">
      <c r="A58" t="s">
        <v>732</v>
      </c>
      <c r="B58" s="1">
        <v>45214.713194444441</v>
      </c>
      <c r="C58" s="2">
        <v>45214.713194444441</v>
      </c>
      <c r="D58" t="s">
        <v>755</v>
      </c>
      <c r="E58">
        <v>25</v>
      </c>
      <c r="F58" t="s">
        <v>734</v>
      </c>
      <c r="G58" t="str">
        <f>IFERROR(VLOOKUP(Logs_Reseau_Part5[[#This Row],[Cell_ID]],Registre_Maintenance_Part[[ID_Antenne]:[Colonne2]],2,FALSE),"")</f>
        <v>Haut-Katanga</v>
      </c>
      <c r="H58">
        <f>IFERROR(VLOOKUP(Logs_Reseau_Part5[[#This Row],[Cell_ID]],Registre_Maintenance_Part[[ID_Antenne]:[Colonne2]],3,FALSE),"")</f>
        <v>0.172153</v>
      </c>
      <c r="I58">
        <f>IFERROR(VLOOKUP(Logs_Reseau_Part5[[#This Row],[Cell_ID]],Registre_Maintenance_Part[[ID_Antenne]:[Colonne2]],4,FALSE),"")</f>
        <v>21.091376</v>
      </c>
      <c r="J58" t="str">
        <f>IFERROR(VLOOKUP(Logs_Reseau_Part5[[#This Row],[Cell_ID]],Registre_Maintenance_Part[[ID_Antenne]:[Colonne2]],5,FALSE),"")</f>
        <v>3G</v>
      </c>
      <c r="K58" t="str">
        <f>IFERROR(VLOOKUP(Logs_Reseau_Part5[[#This Row],[Cell_ID]],Registre_Maintenance_Part[[ID_Antenne]:[Colonne2]],6,FALSE),"")</f>
        <v>Ericsson</v>
      </c>
    </row>
    <row r="59" spans="1:11" x14ac:dyDescent="0.3">
      <c r="A59" t="s">
        <v>941</v>
      </c>
      <c r="B59" s="1">
        <v>45216.583333333343</v>
      </c>
      <c r="C59" s="2">
        <v>45216.583333333343</v>
      </c>
      <c r="D59" t="s">
        <v>950</v>
      </c>
      <c r="E59">
        <v>78</v>
      </c>
      <c r="F59" t="s">
        <v>739</v>
      </c>
      <c r="G59" t="str">
        <f>IFERROR(VLOOKUP(Logs_Reseau_Part5[[#This Row],[Cell_ID]],Registre_Maintenance_Part[[ID_Antenne]:[Colonne2]],2,FALSE),"")</f>
        <v>Haut-Katanga</v>
      </c>
      <c r="H59">
        <f>IFERROR(VLOOKUP(Logs_Reseau_Part5[[#This Row],[Cell_ID]],Registre_Maintenance_Part[[ID_Antenne]:[Colonne2]],3,FALSE),"")</f>
        <v>0.16841400000000001</v>
      </c>
      <c r="I59">
        <f>IFERROR(VLOOKUP(Logs_Reseau_Part5[[#This Row],[Cell_ID]],Registre_Maintenance_Part[[ID_Antenne]:[Colonne2]],4,FALSE),"")</f>
        <v>30.029876999999999</v>
      </c>
      <c r="J59" t="str">
        <f>IFERROR(VLOOKUP(Logs_Reseau_Part5[[#This Row],[Cell_ID]],Registre_Maintenance_Part[[ID_Antenne]:[Colonne2]],5,FALSE),"")</f>
        <v>5G</v>
      </c>
      <c r="K59" t="str">
        <f>IFERROR(VLOOKUP(Logs_Reseau_Part5[[#This Row],[Cell_ID]],Registre_Maintenance_Part[[ID_Antenne]:[Colonne2]],6,FALSE),"")</f>
        <v>Huawei</v>
      </c>
    </row>
    <row r="60" spans="1:11" x14ac:dyDescent="0.3">
      <c r="A60" t="s">
        <v>825</v>
      </c>
      <c r="B60" s="1">
        <v>45220.436805555553</v>
      </c>
      <c r="C60" s="2">
        <v>45220.436805555553</v>
      </c>
      <c r="D60" t="s">
        <v>794</v>
      </c>
      <c r="E60">
        <v>64</v>
      </c>
      <c r="F60" t="s">
        <v>737</v>
      </c>
      <c r="G60" t="str">
        <f>IFERROR(VLOOKUP(Logs_Reseau_Part5[[#This Row],[Cell_ID]],Registre_Maintenance_Part[[ID_Antenne]:[Colonne2]],2,FALSE),"")</f>
        <v>Haut-Katanga</v>
      </c>
      <c r="H60">
        <f>IFERROR(VLOOKUP(Logs_Reseau_Part5[[#This Row],[Cell_ID]],Registre_Maintenance_Part[[ID_Antenne]:[Colonne2]],3,FALSE),"")</f>
        <v>-5.5445120000000001</v>
      </c>
      <c r="I60">
        <f>IFERROR(VLOOKUP(Logs_Reseau_Part5[[#This Row],[Cell_ID]],Registre_Maintenance_Part[[ID_Antenne]:[Colonne2]],4,FALSE),"")</f>
        <v>27.547335</v>
      </c>
      <c r="J60" t="str">
        <f>IFERROR(VLOOKUP(Logs_Reseau_Part5[[#This Row],[Cell_ID]],Registre_Maintenance_Part[[ID_Antenne]:[Colonne2]],5,FALSE),"")</f>
        <v>4G</v>
      </c>
      <c r="K60" t="str">
        <f>IFERROR(VLOOKUP(Logs_Reseau_Part5[[#This Row],[Cell_ID]],Registre_Maintenance_Part[[ID_Antenne]:[Colonne2]],6,FALSE),"")</f>
        <v>Ericsson</v>
      </c>
    </row>
    <row r="61" spans="1:11" x14ac:dyDescent="0.3">
      <c r="A61" t="s">
        <v>1140</v>
      </c>
      <c r="B61" s="1">
        <v>45222.748611111107</v>
      </c>
      <c r="C61" s="2">
        <v>45222.748611111107</v>
      </c>
      <c r="D61" t="s">
        <v>1151</v>
      </c>
      <c r="E61">
        <v>28</v>
      </c>
      <c r="F61" t="s">
        <v>737</v>
      </c>
      <c r="G61" t="str">
        <f>IFERROR(VLOOKUP(Logs_Reseau_Part5[[#This Row],[Cell_ID]],Registre_Maintenance_Part[[ID_Antenne]:[Colonne2]],2,FALSE),"")</f>
        <v>Haut-Katanga</v>
      </c>
      <c r="H61">
        <f>IFERROR(VLOOKUP(Logs_Reseau_Part5[[#This Row],[Cell_ID]],Registre_Maintenance_Part[[ID_Antenne]:[Colonne2]],3,FALSE),"")</f>
        <v>-11.468578000000001</v>
      </c>
      <c r="I61">
        <f>IFERROR(VLOOKUP(Logs_Reseau_Part5[[#This Row],[Cell_ID]],Registre_Maintenance_Part[[ID_Antenne]:[Colonne2]],4,FALSE),"")</f>
        <v>16.914501999999999</v>
      </c>
      <c r="J61" t="str">
        <f>IFERROR(VLOOKUP(Logs_Reseau_Part5[[#This Row],[Cell_ID]],Registre_Maintenance_Part[[ID_Antenne]:[Colonne2]],5,FALSE),"")</f>
        <v>4G</v>
      </c>
      <c r="K61" t="str">
        <f>IFERROR(VLOOKUP(Logs_Reseau_Part5[[#This Row],[Cell_ID]],Registre_Maintenance_Part[[ID_Antenne]:[Colonne2]],6,FALSE),"")</f>
        <v>Ericsson</v>
      </c>
    </row>
    <row r="62" spans="1:11" x14ac:dyDescent="0.3">
      <c r="A62" t="s">
        <v>1116</v>
      </c>
      <c r="B62" s="1">
        <v>45222.834027777782</v>
      </c>
      <c r="C62" s="2">
        <v>45222.834027777782</v>
      </c>
      <c r="D62" t="s">
        <v>797</v>
      </c>
      <c r="E62">
        <v>109</v>
      </c>
      <c r="F62" t="s">
        <v>737</v>
      </c>
      <c r="G62" t="str">
        <f>IFERROR(VLOOKUP(Logs_Reseau_Part5[[#This Row],[Cell_ID]],Registre_Maintenance_Part[[ID_Antenne]:[Colonne2]],2,FALSE),"")</f>
        <v>Haut-Katanga</v>
      </c>
      <c r="H62">
        <f>IFERROR(VLOOKUP(Logs_Reseau_Part5[[#This Row],[Cell_ID]],Registre_Maintenance_Part[[ID_Antenne]:[Colonne2]],3,FALSE),"")</f>
        <v>-2.9417719999999998</v>
      </c>
      <c r="I62">
        <f>IFERROR(VLOOKUP(Logs_Reseau_Part5[[#This Row],[Cell_ID]],Registre_Maintenance_Part[[ID_Antenne]:[Colonne2]],4,FALSE),"")</f>
        <v>18.587305000000001</v>
      </c>
      <c r="J62" t="str">
        <f>IFERROR(VLOOKUP(Logs_Reseau_Part5[[#This Row],[Cell_ID]],Registre_Maintenance_Part[[ID_Antenne]:[Colonne2]],5,FALSE),"")</f>
        <v>5G</v>
      </c>
      <c r="K62" t="str">
        <f>IFERROR(VLOOKUP(Logs_Reseau_Part5[[#This Row],[Cell_ID]],Registre_Maintenance_Part[[ID_Antenne]:[Colonne2]],6,FALSE),"")</f>
        <v>Ericsson</v>
      </c>
    </row>
    <row r="63" spans="1:11" x14ac:dyDescent="0.3">
      <c r="A63" t="s">
        <v>1263</v>
      </c>
      <c r="B63" s="1">
        <v>45223.293749999997</v>
      </c>
      <c r="C63" s="2">
        <v>45223.293749999997</v>
      </c>
      <c r="D63" t="s">
        <v>1171</v>
      </c>
      <c r="E63">
        <v>42</v>
      </c>
      <c r="F63" t="s">
        <v>739</v>
      </c>
      <c r="G63" t="str">
        <f>IFERROR(VLOOKUP(Logs_Reseau_Part5[[#This Row],[Cell_ID]],Registre_Maintenance_Part[[ID_Antenne]:[Colonne2]],2,FALSE),"")</f>
        <v>Haut-Katanga</v>
      </c>
      <c r="H63">
        <f>IFERROR(VLOOKUP(Logs_Reseau_Part5[[#This Row],[Cell_ID]],Registre_Maintenance_Part[[ID_Antenne]:[Colonne2]],3,FALSE),"")</f>
        <v>-4.4958720000000003</v>
      </c>
      <c r="I63">
        <f>IFERROR(VLOOKUP(Logs_Reseau_Part5[[#This Row],[Cell_ID]],Registre_Maintenance_Part[[ID_Antenne]:[Colonne2]],4,FALSE),"")</f>
        <v>18.514112000000001</v>
      </c>
      <c r="J63" t="str">
        <f>IFERROR(VLOOKUP(Logs_Reseau_Part5[[#This Row],[Cell_ID]],Registre_Maintenance_Part[[ID_Antenne]:[Colonne2]],5,FALSE),"")</f>
        <v>4G</v>
      </c>
      <c r="K63" t="str">
        <f>IFERROR(VLOOKUP(Logs_Reseau_Part5[[#This Row],[Cell_ID]],Registre_Maintenance_Part[[ID_Antenne]:[Colonne2]],6,FALSE),"")</f>
        <v>Nokia</v>
      </c>
    </row>
    <row r="64" spans="1:11" x14ac:dyDescent="0.3">
      <c r="A64" t="s">
        <v>781</v>
      </c>
      <c r="B64" s="1">
        <v>45223.418749999997</v>
      </c>
      <c r="C64" s="2">
        <v>45223.418749999997</v>
      </c>
      <c r="D64" t="s">
        <v>807</v>
      </c>
      <c r="E64">
        <v>89</v>
      </c>
      <c r="F64" t="s">
        <v>734</v>
      </c>
      <c r="G64" t="str">
        <f>IFERROR(VLOOKUP(Logs_Reseau_Part5[[#This Row],[Cell_ID]],Registre_Maintenance_Part[[ID_Antenne]:[Colonne2]],2,FALSE),"")</f>
        <v>Haut-Katanga</v>
      </c>
      <c r="H64">
        <f>IFERROR(VLOOKUP(Logs_Reseau_Part5[[#This Row],[Cell_ID]],Registre_Maintenance_Part[[ID_Antenne]:[Colonne2]],3,FALSE),"")</f>
        <v>4.4712560000000003</v>
      </c>
      <c r="I64">
        <f>IFERROR(VLOOKUP(Logs_Reseau_Part5[[#This Row],[Cell_ID]],Registre_Maintenance_Part[[ID_Antenne]:[Colonne2]],4,FALSE),"")</f>
        <v>27.107028</v>
      </c>
      <c r="J64" t="str">
        <f>IFERROR(VLOOKUP(Logs_Reseau_Part5[[#This Row],[Cell_ID]],Registre_Maintenance_Part[[ID_Antenne]:[Colonne2]],5,FALSE),"")</f>
        <v>3G</v>
      </c>
      <c r="K64" t="str">
        <f>IFERROR(VLOOKUP(Logs_Reseau_Part5[[#This Row],[Cell_ID]],Registre_Maintenance_Part[[ID_Antenne]:[Colonne2]],6,FALSE),"")</f>
        <v>Ericsson</v>
      </c>
    </row>
    <row r="65" spans="1:11" x14ac:dyDescent="0.3">
      <c r="A65" t="s">
        <v>1384</v>
      </c>
      <c r="B65" s="1">
        <v>45223.736111111109</v>
      </c>
      <c r="C65" s="2">
        <v>45223.736111111109</v>
      </c>
      <c r="D65" t="s">
        <v>950</v>
      </c>
      <c r="E65">
        <v>116</v>
      </c>
      <c r="F65" t="s">
        <v>737</v>
      </c>
      <c r="G65" t="str">
        <f>IFERROR(VLOOKUP(Logs_Reseau_Part5[[#This Row],[Cell_ID]],Registre_Maintenance_Part[[ID_Antenne]:[Colonne2]],2,FALSE),"")</f>
        <v>Haut-Katanga</v>
      </c>
      <c r="H65">
        <f>IFERROR(VLOOKUP(Logs_Reseau_Part5[[#This Row],[Cell_ID]],Registre_Maintenance_Part[[ID_Antenne]:[Colonne2]],3,FALSE),"")</f>
        <v>0.16841400000000001</v>
      </c>
      <c r="I65">
        <f>IFERROR(VLOOKUP(Logs_Reseau_Part5[[#This Row],[Cell_ID]],Registre_Maintenance_Part[[ID_Antenne]:[Colonne2]],4,FALSE),"")</f>
        <v>30.029876999999999</v>
      </c>
      <c r="J65" t="str">
        <f>IFERROR(VLOOKUP(Logs_Reseau_Part5[[#This Row],[Cell_ID]],Registre_Maintenance_Part[[ID_Antenne]:[Colonne2]],5,FALSE),"")</f>
        <v>5G</v>
      </c>
      <c r="K65" t="str">
        <f>IFERROR(VLOOKUP(Logs_Reseau_Part5[[#This Row],[Cell_ID]],Registre_Maintenance_Part[[ID_Antenne]:[Colonne2]],6,FALSE),"")</f>
        <v>Huawei</v>
      </c>
    </row>
    <row r="66" spans="1:11" x14ac:dyDescent="0.3">
      <c r="A66" t="s">
        <v>1332</v>
      </c>
      <c r="B66" s="1">
        <v>45224.428472222222</v>
      </c>
      <c r="C66" s="2">
        <v>45224.428472222222</v>
      </c>
      <c r="D66" t="s">
        <v>755</v>
      </c>
      <c r="E66">
        <v>65</v>
      </c>
      <c r="F66" t="s">
        <v>737</v>
      </c>
      <c r="G66" t="str">
        <f>IFERROR(VLOOKUP(Logs_Reseau_Part5[[#This Row],[Cell_ID]],Registre_Maintenance_Part[[ID_Antenne]:[Colonne2]],2,FALSE),"")</f>
        <v>Haut-Katanga</v>
      </c>
      <c r="H66">
        <f>IFERROR(VLOOKUP(Logs_Reseau_Part5[[#This Row],[Cell_ID]],Registre_Maintenance_Part[[ID_Antenne]:[Colonne2]],3,FALSE),"")</f>
        <v>0.172153</v>
      </c>
      <c r="I66">
        <f>IFERROR(VLOOKUP(Logs_Reseau_Part5[[#This Row],[Cell_ID]],Registre_Maintenance_Part[[ID_Antenne]:[Colonne2]],4,FALSE),"")</f>
        <v>21.091376</v>
      </c>
      <c r="J66" t="str">
        <f>IFERROR(VLOOKUP(Logs_Reseau_Part5[[#This Row],[Cell_ID]],Registre_Maintenance_Part[[ID_Antenne]:[Colonne2]],5,FALSE),"")</f>
        <v>3G</v>
      </c>
      <c r="K66" t="str">
        <f>IFERROR(VLOOKUP(Logs_Reseau_Part5[[#This Row],[Cell_ID]],Registre_Maintenance_Part[[ID_Antenne]:[Colonne2]],6,FALSE),"")</f>
        <v>Ericsson</v>
      </c>
    </row>
    <row r="67" spans="1:11" x14ac:dyDescent="0.3">
      <c r="A67" t="s">
        <v>781</v>
      </c>
      <c r="B67" s="1">
        <v>45225.712500000001</v>
      </c>
      <c r="C67" s="2">
        <v>45225.712500000001</v>
      </c>
      <c r="D67" t="s">
        <v>794</v>
      </c>
      <c r="E67">
        <v>25</v>
      </c>
      <c r="F67" t="s">
        <v>734</v>
      </c>
      <c r="G67" t="str">
        <f>IFERROR(VLOOKUP(Logs_Reseau_Part5[[#This Row],[Cell_ID]],Registre_Maintenance_Part[[ID_Antenne]:[Colonne2]],2,FALSE),"")</f>
        <v>Haut-Katanga</v>
      </c>
      <c r="H67">
        <f>IFERROR(VLOOKUP(Logs_Reseau_Part5[[#This Row],[Cell_ID]],Registre_Maintenance_Part[[ID_Antenne]:[Colonne2]],3,FALSE),"")</f>
        <v>-5.5445120000000001</v>
      </c>
      <c r="I67">
        <f>IFERROR(VLOOKUP(Logs_Reseau_Part5[[#This Row],[Cell_ID]],Registre_Maintenance_Part[[ID_Antenne]:[Colonne2]],4,FALSE),"")</f>
        <v>27.547335</v>
      </c>
      <c r="J67" t="str">
        <f>IFERROR(VLOOKUP(Logs_Reseau_Part5[[#This Row],[Cell_ID]],Registre_Maintenance_Part[[ID_Antenne]:[Colonne2]],5,FALSE),"")</f>
        <v>4G</v>
      </c>
      <c r="K67" t="str">
        <f>IFERROR(VLOOKUP(Logs_Reseau_Part5[[#This Row],[Cell_ID]],Registre_Maintenance_Part[[ID_Antenne]:[Colonne2]],6,FALSE),"")</f>
        <v>Ericsson</v>
      </c>
    </row>
    <row r="68" spans="1:11" x14ac:dyDescent="0.3">
      <c r="A68" t="s">
        <v>1310</v>
      </c>
      <c r="B68" s="1">
        <v>45226.659722222219</v>
      </c>
      <c r="C68" s="2">
        <v>45226.659722222219</v>
      </c>
      <c r="D68" t="s">
        <v>1027</v>
      </c>
      <c r="E68">
        <v>65</v>
      </c>
      <c r="F68" t="s">
        <v>737</v>
      </c>
      <c r="G68" t="str">
        <f>IFERROR(VLOOKUP(Logs_Reseau_Part5[[#This Row],[Cell_ID]],Registre_Maintenance_Part[[ID_Antenne]:[Colonne2]],2,FALSE),"")</f>
        <v>Haut-Katanga</v>
      </c>
      <c r="H68">
        <f>IFERROR(VLOOKUP(Logs_Reseau_Part5[[#This Row],[Cell_ID]],Registre_Maintenance_Part[[ID_Antenne]:[Colonne2]],3,FALSE),"")</f>
        <v>-11.594525000000001</v>
      </c>
      <c r="I68">
        <f>IFERROR(VLOOKUP(Logs_Reseau_Part5[[#This Row],[Cell_ID]],Registre_Maintenance_Part[[ID_Antenne]:[Colonne2]],4,FALSE),"")</f>
        <v>29.744895</v>
      </c>
      <c r="J68" t="str">
        <f>IFERROR(VLOOKUP(Logs_Reseau_Part5[[#This Row],[Cell_ID]],Registre_Maintenance_Part[[ID_Antenne]:[Colonne2]],5,FALSE),"")</f>
        <v>3G</v>
      </c>
      <c r="K68" t="str">
        <f>IFERROR(VLOOKUP(Logs_Reseau_Part5[[#This Row],[Cell_ID]],Registre_Maintenance_Part[[ID_Antenne]:[Colonne2]],6,FALSE),"")</f>
        <v>ZTE</v>
      </c>
    </row>
    <row r="69" spans="1:11" x14ac:dyDescent="0.3">
      <c r="A69" t="s">
        <v>1310</v>
      </c>
      <c r="B69" s="1">
        <v>45230.12777777778</v>
      </c>
      <c r="C69" s="2">
        <v>45230.12777777778</v>
      </c>
      <c r="D69" t="s">
        <v>1229</v>
      </c>
      <c r="E69">
        <v>87</v>
      </c>
      <c r="F69" t="s">
        <v>739</v>
      </c>
      <c r="G69" t="str">
        <f>IFERROR(VLOOKUP(Logs_Reseau_Part5[[#This Row],[Cell_ID]],Registre_Maintenance_Part[[ID_Antenne]:[Colonne2]],2,FALSE),"")</f>
        <v>Haut-Katanga</v>
      </c>
      <c r="H69">
        <f>IFERROR(VLOOKUP(Logs_Reseau_Part5[[#This Row],[Cell_ID]],Registre_Maintenance_Part[[ID_Antenne]:[Colonne2]],3,FALSE),"")</f>
        <v>-10.945031</v>
      </c>
      <c r="I69">
        <f>IFERROR(VLOOKUP(Logs_Reseau_Part5[[#This Row],[Cell_ID]],Registre_Maintenance_Part[[ID_Antenne]:[Colonne2]],4,FALSE),"")</f>
        <v>27.922274000000002</v>
      </c>
      <c r="J69" t="str">
        <f>IFERROR(VLOOKUP(Logs_Reseau_Part5[[#This Row],[Cell_ID]],Registre_Maintenance_Part[[ID_Antenne]:[Colonne2]],5,FALSE),"")</f>
        <v>4G</v>
      </c>
      <c r="K69" t="str">
        <f>IFERROR(VLOOKUP(Logs_Reseau_Part5[[#This Row],[Cell_ID]],Registre_Maintenance_Part[[ID_Antenne]:[Colonne2]],6,FALSE),"")</f>
        <v>Ericsson</v>
      </c>
    </row>
    <row r="70" spans="1:11" x14ac:dyDescent="0.3">
      <c r="A70" t="s">
        <v>1310</v>
      </c>
      <c r="B70" s="1">
        <v>45200.342361111107</v>
      </c>
      <c r="C70" s="2">
        <v>45200.342361111107</v>
      </c>
      <c r="D70" t="s">
        <v>1016</v>
      </c>
      <c r="E70">
        <v>86</v>
      </c>
      <c r="F70" t="s">
        <v>737</v>
      </c>
      <c r="G70" t="str">
        <f>IFERROR(VLOOKUP(Logs_Reseau_Part5[[#This Row],[Cell_ID]],Registre_Maintenance_Part[[ID_Antenne]:[Colonne2]],2,FALSE),"")</f>
        <v>Haut-Lomami</v>
      </c>
      <c r="H70">
        <f>IFERROR(VLOOKUP(Logs_Reseau_Part5[[#This Row],[Cell_ID]],Registre_Maintenance_Part[[ID_Antenne]:[Colonne2]],3,FALSE),"")</f>
        <v>2.628638</v>
      </c>
      <c r="I70">
        <f>IFERROR(VLOOKUP(Logs_Reseau_Part5[[#This Row],[Cell_ID]],Registre_Maintenance_Part[[ID_Antenne]:[Colonne2]],4,FALSE),"")</f>
        <v>28.420582</v>
      </c>
      <c r="J70" t="str">
        <f>IFERROR(VLOOKUP(Logs_Reseau_Part5[[#This Row],[Cell_ID]],Registre_Maintenance_Part[[ID_Antenne]:[Colonne2]],5,FALSE),"")</f>
        <v>4G</v>
      </c>
      <c r="K70" t="str">
        <f>IFERROR(VLOOKUP(Logs_Reseau_Part5[[#This Row],[Cell_ID]],Registre_Maintenance_Part[[ID_Antenne]:[Colonne2]],6,FALSE),"")</f>
        <v>Huawei</v>
      </c>
    </row>
    <row r="71" spans="1:11" x14ac:dyDescent="0.3">
      <c r="A71" t="s">
        <v>904</v>
      </c>
      <c r="B71" s="1">
        <v>45202.21875</v>
      </c>
      <c r="C71" s="2">
        <v>45202.21875</v>
      </c>
      <c r="D71" t="s">
        <v>922</v>
      </c>
      <c r="E71">
        <v>86</v>
      </c>
      <c r="F71" t="s">
        <v>739</v>
      </c>
      <c r="G71" t="str">
        <f>IFERROR(VLOOKUP(Logs_Reseau_Part5[[#This Row],[Cell_ID]],Registre_Maintenance_Part[[ID_Antenne]:[Colonne2]],2,FALSE),"")</f>
        <v>Haut-Lomami</v>
      </c>
      <c r="H71">
        <f>IFERROR(VLOOKUP(Logs_Reseau_Part5[[#This Row],[Cell_ID]],Registre_Maintenance_Part[[ID_Antenne]:[Colonne2]],3,FALSE),"")</f>
        <v>-12.112682</v>
      </c>
      <c r="I71">
        <f>IFERROR(VLOOKUP(Logs_Reseau_Part5[[#This Row],[Cell_ID]],Registre_Maintenance_Part[[ID_Antenne]:[Colonne2]],4,FALSE),"")</f>
        <v>19.972052000000001</v>
      </c>
      <c r="J71" t="str">
        <f>IFERROR(VLOOKUP(Logs_Reseau_Part5[[#This Row],[Cell_ID]],Registre_Maintenance_Part[[ID_Antenne]:[Colonne2]],5,FALSE),"")</f>
        <v>4G</v>
      </c>
      <c r="K71" t="str">
        <f>IFERROR(VLOOKUP(Logs_Reseau_Part5[[#This Row],[Cell_ID]],Registre_Maintenance_Part[[ID_Antenne]:[Colonne2]],6,FALSE),"")</f>
        <v>Huawei</v>
      </c>
    </row>
    <row r="72" spans="1:11" x14ac:dyDescent="0.3">
      <c r="A72" t="s">
        <v>1001</v>
      </c>
      <c r="B72" s="1">
        <v>45205.47152777778</v>
      </c>
      <c r="C72" s="2">
        <v>45205.47152777778</v>
      </c>
      <c r="D72" t="s">
        <v>1016</v>
      </c>
      <c r="E72">
        <v>50</v>
      </c>
      <c r="F72" t="s">
        <v>737</v>
      </c>
      <c r="G72" t="str">
        <f>IFERROR(VLOOKUP(Logs_Reseau_Part5[[#This Row],[Cell_ID]],Registre_Maintenance_Part[[ID_Antenne]:[Colonne2]],2,FALSE),"")</f>
        <v>Haut-Lomami</v>
      </c>
      <c r="H72">
        <f>IFERROR(VLOOKUP(Logs_Reseau_Part5[[#This Row],[Cell_ID]],Registre_Maintenance_Part[[ID_Antenne]:[Colonne2]],3,FALSE),"")</f>
        <v>2.628638</v>
      </c>
      <c r="I72">
        <f>IFERROR(VLOOKUP(Logs_Reseau_Part5[[#This Row],[Cell_ID]],Registre_Maintenance_Part[[ID_Antenne]:[Colonne2]],4,FALSE),"")</f>
        <v>28.420582</v>
      </c>
      <c r="J72" t="str">
        <f>IFERROR(VLOOKUP(Logs_Reseau_Part5[[#This Row],[Cell_ID]],Registre_Maintenance_Part[[ID_Antenne]:[Colonne2]],5,FALSE),"")</f>
        <v>4G</v>
      </c>
      <c r="K72" t="str">
        <f>IFERROR(VLOOKUP(Logs_Reseau_Part5[[#This Row],[Cell_ID]],Registre_Maintenance_Part[[ID_Antenne]:[Colonne2]],6,FALSE),"")</f>
        <v>Huawei</v>
      </c>
    </row>
    <row r="73" spans="1:11" x14ac:dyDescent="0.3">
      <c r="A73" t="s">
        <v>1026</v>
      </c>
      <c r="B73" s="1">
        <v>45206.443055555559</v>
      </c>
      <c r="C73" s="2">
        <v>45206.443055555559</v>
      </c>
      <c r="D73" t="s">
        <v>1034</v>
      </c>
      <c r="E73">
        <v>48</v>
      </c>
      <c r="F73" t="s">
        <v>739</v>
      </c>
      <c r="G73" t="str">
        <f>IFERROR(VLOOKUP(Logs_Reseau_Part5[[#This Row],[Cell_ID]],Registre_Maintenance_Part[[ID_Antenne]:[Colonne2]],2,FALSE),"")</f>
        <v>Haut-Lomami</v>
      </c>
      <c r="H73">
        <f>IFERROR(VLOOKUP(Logs_Reseau_Part5[[#This Row],[Cell_ID]],Registre_Maintenance_Part[[ID_Antenne]:[Colonne2]],3,FALSE),"")</f>
        <v>0.16327700000000001</v>
      </c>
      <c r="I73">
        <f>IFERROR(VLOOKUP(Logs_Reseau_Part5[[#This Row],[Cell_ID]],Registre_Maintenance_Part[[ID_Antenne]:[Colonne2]],4,FALSE),"")</f>
        <v>14.871577</v>
      </c>
      <c r="J73" t="str">
        <f>IFERROR(VLOOKUP(Logs_Reseau_Part5[[#This Row],[Cell_ID]],Registre_Maintenance_Part[[ID_Antenne]:[Colonne2]],5,FALSE),"")</f>
        <v>4G</v>
      </c>
      <c r="K73" t="str">
        <f>IFERROR(VLOOKUP(Logs_Reseau_Part5[[#This Row],[Cell_ID]],Registre_Maintenance_Part[[ID_Antenne]:[Colonne2]],6,FALSE),"")</f>
        <v>Huawei</v>
      </c>
    </row>
    <row r="74" spans="1:11" x14ac:dyDescent="0.3">
      <c r="A74" t="s">
        <v>1088</v>
      </c>
      <c r="B74" s="1">
        <v>45206.857638888891</v>
      </c>
      <c r="C74" s="2">
        <v>45206.857638888891</v>
      </c>
      <c r="D74" t="s">
        <v>925</v>
      </c>
      <c r="E74">
        <v>45</v>
      </c>
      <c r="F74" t="s">
        <v>739</v>
      </c>
      <c r="G74" t="str">
        <f>IFERROR(VLOOKUP(Logs_Reseau_Part5[[#This Row],[Cell_ID]],Registre_Maintenance_Part[[ID_Antenne]:[Colonne2]],2,FALSE),"")</f>
        <v>Haut-Lomami</v>
      </c>
      <c r="H74">
        <f>IFERROR(VLOOKUP(Logs_Reseau_Part5[[#This Row],[Cell_ID]],Registre_Maintenance_Part[[ID_Antenne]:[Colonne2]],3,FALSE),"")</f>
        <v>1.210869</v>
      </c>
      <c r="I74">
        <f>IFERROR(VLOOKUP(Logs_Reseau_Part5[[#This Row],[Cell_ID]],Registre_Maintenance_Part[[ID_Antenne]:[Colonne2]],4,FALSE),"")</f>
        <v>25.598741</v>
      </c>
      <c r="J74" t="str">
        <f>IFERROR(VLOOKUP(Logs_Reseau_Part5[[#This Row],[Cell_ID]],Registre_Maintenance_Part[[ID_Antenne]:[Colonne2]],5,FALSE),"")</f>
        <v>4G</v>
      </c>
      <c r="K74" t="str">
        <f>IFERROR(VLOOKUP(Logs_Reseau_Part5[[#This Row],[Cell_ID]],Registre_Maintenance_Part[[ID_Antenne]:[Colonne2]],6,FALSE),"")</f>
        <v>Ericsson</v>
      </c>
    </row>
    <row r="75" spans="1:11" x14ac:dyDescent="0.3">
      <c r="A75" t="s">
        <v>941</v>
      </c>
      <c r="B75" s="1">
        <v>45208.443749999999</v>
      </c>
      <c r="C75" s="2">
        <v>45208.443749999999</v>
      </c>
      <c r="D75" t="s">
        <v>954</v>
      </c>
      <c r="E75">
        <v>7</v>
      </c>
      <c r="F75" t="s">
        <v>739</v>
      </c>
      <c r="G75" t="str">
        <f>IFERROR(VLOOKUP(Logs_Reseau_Part5[[#This Row],[Cell_ID]],Registre_Maintenance_Part[[ID_Antenne]:[Colonne2]],2,FALSE),"")</f>
        <v>Haut-Lomami</v>
      </c>
      <c r="H75">
        <f>IFERROR(VLOOKUP(Logs_Reseau_Part5[[#This Row],[Cell_ID]],Registre_Maintenance_Part[[ID_Antenne]:[Colonne2]],3,FALSE),"")</f>
        <v>-6.3324319999999998</v>
      </c>
      <c r="I75">
        <f>IFERROR(VLOOKUP(Logs_Reseau_Part5[[#This Row],[Cell_ID]],Registre_Maintenance_Part[[ID_Antenne]:[Colonne2]],4,FALSE),"")</f>
        <v>24.887858000000001</v>
      </c>
      <c r="J75" t="str">
        <f>IFERROR(VLOOKUP(Logs_Reseau_Part5[[#This Row],[Cell_ID]],Registre_Maintenance_Part[[ID_Antenne]:[Colonne2]],5,FALSE),"")</f>
        <v>4G</v>
      </c>
      <c r="K75" t="str">
        <f>IFERROR(VLOOKUP(Logs_Reseau_Part5[[#This Row],[Cell_ID]],Registre_Maintenance_Part[[ID_Antenne]:[Colonne2]],6,FALSE),"")</f>
        <v>ZTE</v>
      </c>
    </row>
    <row r="76" spans="1:11" x14ac:dyDescent="0.3">
      <c r="A76" t="s">
        <v>1001</v>
      </c>
      <c r="B76" s="1">
        <v>45210.458333333343</v>
      </c>
      <c r="C76" s="2">
        <v>45210.458333333343</v>
      </c>
      <c r="D76" t="s">
        <v>922</v>
      </c>
      <c r="E76">
        <v>95</v>
      </c>
      <c r="F76" t="s">
        <v>737</v>
      </c>
      <c r="G76" t="str">
        <f>IFERROR(VLOOKUP(Logs_Reseau_Part5[[#This Row],[Cell_ID]],Registre_Maintenance_Part[[ID_Antenne]:[Colonne2]],2,FALSE),"")</f>
        <v>Haut-Lomami</v>
      </c>
      <c r="H76">
        <f>IFERROR(VLOOKUP(Logs_Reseau_Part5[[#This Row],[Cell_ID]],Registre_Maintenance_Part[[ID_Antenne]:[Colonne2]],3,FALSE),"")</f>
        <v>-12.112682</v>
      </c>
      <c r="I76">
        <f>IFERROR(VLOOKUP(Logs_Reseau_Part5[[#This Row],[Cell_ID]],Registre_Maintenance_Part[[ID_Antenne]:[Colonne2]],4,FALSE),"")</f>
        <v>19.972052000000001</v>
      </c>
      <c r="J76" t="str">
        <f>IFERROR(VLOOKUP(Logs_Reseau_Part5[[#This Row],[Cell_ID]],Registre_Maintenance_Part[[ID_Antenne]:[Colonne2]],5,FALSE),"")</f>
        <v>4G</v>
      </c>
      <c r="K76" t="str">
        <f>IFERROR(VLOOKUP(Logs_Reseau_Part5[[#This Row],[Cell_ID]],Registre_Maintenance_Part[[ID_Antenne]:[Colonne2]],6,FALSE),"")</f>
        <v>Huawei</v>
      </c>
    </row>
    <row r="77" spans="1:11" x14ac:dyDescent="0.3">
      <c r="A77" t="s">
        <v>1088</v>
      </c>
      <c r="B77" s="1">
        <v>45210.926388888889</v>
      </c>
      <c r="C77" s="2">
        <v>45210.926388888889</v>
      </c>
      <c r="D77" t="s">
        <v>925</v>
      </c>
      <c r="E77">
        <v>45</v>
      </c>
      <c r="F77" t="s">
        <v>737</v>
      </c>
      <c r="G77" t="str">
        <f>IFERROR(VLOOKUP(Logs_Reseau_Part5[[#This Row],[Cell_ID]],Registre_Maintenance_Part[[ID_Antenne]:[Colonne2]],2,FALSE),"")</f>
        <v>Haut-Lomami</v>
      </c>
      <c r="H77">
        <f>IFERROR(VLOOKUP(Logs_Reseau_Part5[[#This Row],[Cell_ID]],Registre_Maintenance_Part[[ID_Antenne]:[Colonne2]],3,FALSE),"")</f>
        <v>1.210869</v>
      </c>
      <c r="I77">
        <f>IFERROR(VLOOKUP(Logs_Reseau_Part5[[#This Row],[Cell_ID]],Registre_Maintenance_Part[[ID_Antenne]:[Colonne2]],4,FALSE),"")</f>
        <v>25.598741</v>
      </c>
      <c r="J77" t="str">
        <f>IFERROR(VLOOKUP(Logs_Reseau_Part5[[#This Row],[Cell_ID]],Registre_Maintenance_Part[[ID_Antenne]:[Colonne2]],5,FALSE),"")</f>
        <v>4G</v>
      </c>
      <c r="K77" t="str">
        <f>IFERROR(VLOOKUP(Logs_Reseau_Part5[[#This Row],[Cell_ID]],Registre_Maintenance_Part[[ID_Antenne]:[Colonne2]],6,FALSE),"")</f>
        <v>Ericsson</v>
      </c>
    </row>
    <row r="78" spans="1:11" x14ac:dyDescent="0.3">
      <c r="A78" t="s">
        <v>1310</v>
      </c>
      <c r="B78" s="1">
        <v>45213.210416666669</v>
      </c>
      <c r="C78" s="2">
        <v>45213.210416666669</v>
      </c>
      <c r="D78" t="s">
        <v>1327</v>
      </c>
      <c r="E78">
        <v>28</v>
      </c>
      <c r="F78" t="s">
        <v>739</v>
      </c>
      <c r="G78" t="str">
        <f>IFERROR(VLOOKUP(Logs_Reseau_Part5[[#This Row],[Cell_ID]],Registre_Maintenance_Part[[ID_Antenne]:[Colonne2]],2,FALSE),"")</f>
        <v>Haut-Lomami</v>
      </c>
      <c r="H78">
        <f>IFERROR(VLOOKUP(Logs_Reseau_Part5[[#This Row],[Cell_ID]],Registre_Maintenance_Part[[ID_Antenne]:[Colonne2]],3,FALSE),"")</f>
        <v>-3.1608390000000002</v>
      </c>
      <c r="I78">
        <f>IFERROR(VLOOKUP(Logs_Reseau_Part5[[#This Row],[Cell_ID]],Registre_Maintenance_Part[[ID_Antenne]:[Colonne2]],4,FALSE),"")</f>
        <v>13.244503999999999</v>
      </c>
      <c r="J78" t="str">
        <f>IFERROR(VLOOKUP(Logs_Reseau_Part5[[#This Row],[Cell_ID]],Registre_Maintenance_Part[[ID_Antenne]:[Colonne2]],5,FALSE),"")</f>
        <v>3G</v>
      </c>
      <c r="K78" t="str">
        <f>IFERROR(VLOOKUP(Logs_Reseau_Part5[[#This Row],[Cell_ID]],Registre_Maintenance_Part[[ID_Antenne]:[Colonne2]],6,FALSE),"")</f>
        <v>Huawei</v>
      </c>
    </row>
    <row r="79" spans="1:11" x14ac:dyDescent="0.3">
      <c r="A79" t="s">
        <v>904</v>
      </c>
      <c r="B79" s="1">
        <v>45214.943055555559</v>
      </c>
      <c r="C79" s="2">
        <v>45214.943055555559</v>
      </c>
      <c r="D79" t="s">
        <v>925</v>
      </c>
      <c r="E79">
        <v>16</v>
      </c>
      <c r="F79" t="s">
        <v>734</v>
      </c>
      <c r="G79" t="str">
        <f>IFERROR(VLOOKUP(Logs_Reseau_Part5[[#This Row],[Cell_ID]],Registre_Maintenance_Part[[ID_Antenne]:[Colonne2]],2,FALSE),"")</f>
        <v>Haut-Lomami</v>
      </c>
      <c r="H79">
        <f>IFERROR(VLOOKUP(Logs_Reseau_Part5[[#This Row],[Cell_ID]],Registre_Maintenance_Part[[ID_Antenne]:[Colonne2]],3,FALSE),"")</f>
        <v>1.210869</v>
      </c>
      <c r="I79">
        <f>IFERROR(VLOOKUP(Logs_Reseau_Part5[[#This Row],[Cell_ID]],Registre_Maintenance_Part[[ID_Antenne]:[Colonne2]],4,FALSE),"")</f>
        <v>25.598741</v>
      </c>
      <c r="J79" t="str">
        <f>IFERROR(VLOOKUP(Logs_Reseau_Part5[[#This Row],[Cell_ID]],Registre_Maintenance_Part[[ID_Antenne]:[Colonne2]],5,FALSE),"")</f>
        <v>4G</v>
      </c>
      <c r="K79" t="str">
        <f>IFERROR(VLOOKUP(Logs_Reseau_Part5[[#This Row],[Cell_ID]],Registre_Maintenance_Part[[ID_Antenne]:[Colonne2]],6,FALSE),"")</f>
        <v>Ericsson</v>
      </c>
    </row>
    <row r="80" spans="1:11" x14ac:dyDescent="0.3">
      <c r="A80" t="s">
        <v>1116</v>
      </c>
      <c r="B80" s="1">
        <v>45217.384722222218</v>
      </c>
      <c r="C80" s="2">
        <v>45217.384722222218</v>
      </c>
      <c r="D80" t="s">
        <v>1136</v>
      </c>
      <c r="E80">
        <v>99</v>
      </c>
      <c r="F80" t="s">
        <v>737</v>
      </c>
      <c r="G80" t="str">
        <f>IFERROR(VLOOKUP(Logs_Reseau_Part5[[#This Row],[Cell_ID]],Registre_Maintenance_Part[[ID_Antenne]:[Colonne2]],2,FALSE),"")</f>
        <v>Haut-Lomami</v>
      </c>
      <c r="H80">
        <f>IFERROR(VLOOKUP(Logs_Reseau_Part5[[#This Row],[Cell_ID]],Registre_Maintenance_Part[[ID_Antenne]:[Colonne2]],3,FALSE),"")</f>
        <v>-4.8157019999999999</v>
      </c>
      <c r="I80">
        <f>IFERROR(VLOOKUP(Logs_Reseau_Part5[[#This Row],[Cell_ID]],Registre_Maintenance_Part[[ID_Antenne]:[Colonne2]],4,FALSE),"")</f>
        <v>27.679798000000002</v>
      </c>
      <c r="J80" t="str">
        <f>IFERROR(VLOOKUP(Logs_Reseau_Part5[[#This Row],[Cell_ID]],Registre_Maintenance_Part[[ID_Antenne]:[Colonne2]],5,FALSE),"")</f>
        <v>3G</v>
      </c>
      <c r="K80" t="str">
        <f>IFERROR(VLOOKUP(Logs_Reseau_Part5[[#This Row],[Cell_ID]],Registre_Maintenance_Part[[ID_Antenne]:[Colonne2]],6,FALSE),"")</f>
        <v>Ericsson</v>
      </c>
    </row>
    <row r="81" spans="1:11" x14ac:dyDescent="0.3">
      <c r="A81" t="s">
        <v>1363</v>
      </c>
      <c r="B81" s="1">
        <v>45220.222916666673</v>
      </c>
      <c r="C81" s="2">
        <v>45220.222916666673</v>
      </c>
      <c r="D81" t="s">
        <v>1273</v>
      </c>
      <c r="E81">
        <v>65</v>
      </c>
      <c r="F81" t="s">
        <v>739</v>
      </c>
      <c r="G81" t="str">
        <f>IFERROR(VLOOKUP(Logs_Reseau_Part5[[#This Row],[Cell_ID]],Registre_Maintenance_Part[[ID_Antenne]:[Colonne2]],2,FALSE),"")</f>
        <v>Haut-Lomami</v>
      </c>
      <c r="H81">
        <f>IFERROR(VLOOKUP(Logs_Reseau_Part5[[#This Row],[Cell_ID]],Registre_Maintenance_Part[[ID_Antenne]:[Colonne2]],3,FALSE),"")</f>
        <v>-1.3938550000000001</v>
      </c>
      <c r="I81">
        <f>IFERROR(VLOOKUP(Logs_Reseau_Part5[[#This Row],[Cell_ID]],Registre_Maintenance_Part[[ID_Antenne]:[Colonne2]],4,FALSE),"")</f>
        <v>15.097554000000001</v>
      </c>
      <c r="J81" t="str">
        <f>IFERROR(VLOOKUP(Logs_Reseau_Part5[[#This Row],[Cell_ID]],Registre_Maintenance_Part[[ID_Antenne]:[Colonne2]],5,FALSE),"")</f>
        <v>4G</v>
      </c>
      <c r="K81" t="str">
        <f>IFERROR(VLOOKUP(Logs_Reseau_Part5[[#This Row],[Cell_ID]],Registre_Maintenance_Part[[ID_Antenne]:[Colonne2]],6,FALSE),"")</f>
        <v>Huawei</v>
      </c>
    </row>
    <row r="82" spans="1:11" x14ac:dyDescent="0.3">
      <c r="A82" t="s">
        <v>1263</v>
      </c>
      <c r="B82" s="1">
        <v>45222.777777777781</v>
      </c>
      <c r="C82" s="2">
        <v>45222.777777777781</v>
      </c>
      <c r="D82" t="s">
        <v>1273</v>
      </c>
      <c r="E82">
        <v>102</v>
      </c>
      <c r="F82" t="s">
        <v>739</v>
      </c>
      <c r="G82" t="str">
        <f>IFERROR(VLOOKUP(Logs_Reseau_Part5[[#This Row],[Cell_ID]],Registre_Maintenance_Part[[ID_Antenne]:[Colonne2]],2,FALSE),"")</f>
        <v>Haut-Lomami</v>
      </c>
      <c r="H82">
        <f>IFERROR(VLOOKUP(Logs_Reseau_Part5[[#This Row],[Cell_ID]],Registre_Maintenance_Part[[ID_Antenne]:[Colonne2]],3,FALSE),"")</f>
        <v>-1.3938550000000001</v>
      </c>
      <c r="I82">
        <f>IFERROR(VLOOKUP(Logs_Reseau_Part5[[#This Row],[Cell_ID]],Registre_Maintenance_Part[[ID_Antenne]:[Colonne2]],4,FALSE),"")</f>
        <v>15.097554000000001</v>
      </c>
      <c r="J82" t="str">
        <f>IFERROR(VLOOKUP(Logs_Reseau_Part5[[#This Row],[Cell_ID]],Registre_Maintenance_Part[[ID_Antenne]:[Colonne2]],5,FALSE),"")</f>
        <v>4G</v>
      </c>
      <c r="K82" t="str">
        <f>IFERROR(VLOOKUP(Logs_Reseau_Part5[[#This Row],[Cell_ID]],Registre_Maintenance_Part[[ID_Antenne]:[Colonne2]],6,FALSE),"")</f>
        <v>Huawei</v>
      </c>
    </row>
    <row r="83" spans="1:11" x14ac:dyDescent="0.3">
      <c r="A83" t="s">
        <v>1363</v>
      </c>
      <c r="B83" s="1">
        <v>45222.943749999999</v>
      </c>
      <c r="C83" s="2">
        <v>45222.943749999999</v>
      </c>
      <c r="D83" t="s">
        <v>1380</v>
      </c>
      <c r="E83">
        <v>114</v>
      </c>
      <c r="F83" t="s">
        <v>734</v>
      </c>
      <c r="G83" t="str">
        <f>IFERROR(VLOOKUP(Logs_Reseau_Part5[[#This Row],[Cell_ID]],Registre_Maintenance_Part[[ID_Antenne]:[Colonne2]],2,FALSE),"")</f>
        <v>Haut-Lomami</v>
      </c>
      <c r="H83">
        <f>IFERROR(VLOOKUP(Logs_Reseau_Part5[[#This Row],[Cell_ID]],Registre_Maintenance_Part[[ID_Antenne]:[Colonne2]],3,FALSE),"")</f>
        <v>-9.6407190000000007</v>
      </c>
      <c r="I83">
        <f>IFERROR(VLOOKUP(Logs_Reseau_Part5[[#This Row],[Cell_ID]],Registre_Maintenance_Part[[ID_Antenne]:[Colonne2]],4,FALSE),"")</f>
        <v>21.336704999999998</v>
      </c>
      <c r="J83" t="str">
        <f>IFERROR(VLOOKUP(Logs_Reseau_Part5[[#This Row],[Cell_ID]],Registre_Maintenance_Part[[ID_Antenne]:[Colonne2]],5,FALSE),"")</f>
        <v>4G</v>
      </c>
      <c r="K83" t="str">
        <f>IFERROR(VLOOKUP(Logs_Reseau_Part5[[#This Row],[Cell_ID]],Registre_Maintenance_Part[[ID_Antenne]:[Colonne2]],6,FALSE),"")</f>
        <v>ZTE</v>
      </c>
    </row>
    <row r="84" spans="1:11" x14ac:dyDescent="0.3">
      <c r="A84" t="s">
        <v>1061</v>
      </c>
      <c r="B84" s="1">
        <v>45225.288888888892</v>
      </c>
      <c r="C84" s="2">
        <v>45225.288888888892</v>
      </c>
      <c r="D84" t="s">
        <v>1034</v>
      </c>
      <c r="E84">
        <v>89</v>
      </c>
      <c r="F84" t="s">
        <v>734</v>
      </c>
      <c r="G84" t="str">
        <f>IFERROR(VLOOKUP(Logs_Reseau_Part5[[#This Row],[Cell_ID]],Registre_Maintenance_Part[[ID_Antenne]:[Colonne2]],2,FALSE),"")</f>
        <v>Haut-Lomami</v>
      </c>
      <c r="H84">
        <f>IFERROR(VLOOKUP(Logs_Reseau_Part5[[#This Row],[Cell_ID]],Registre_Maintenance_Part[[ID_Antenne]:[Colonne2]],3,FALSE),"")</f>
        <v>0.16327700000000001</v>
      </c>
      <c r="I84">
        <f>IFERROR(VLOOKUP(Logs_Reseau_Part5[[#This Row],[Cell_ID]],Registre_Maintenance_Part[[ID_Antenne]:[Colonne2]],4,FALSE),"")</f>
        <v>14.871577</v>
      </c>
      <c r="J84" t="str">
        <f>IFERROR(VLOOKUP(Logs_Reseau_Part5[[#This Row],[Cell_ID]],Registre_Maintenance_Part[[ID_Antenne]:[Colonne2]],5,FALSE),"")</f>
        <v>4G</v>
      </c>
      <c r="K84" t="str">
        <f>IFERROR(VLOOKUP(Logs_Reseau_Part5[[#This Row],[Cell_ID]],Registre_Maintenance_Part[[ID_Antenne]:[Colonne2]],6,FALSE),"")</f>
        <v>Huawei</v>
      </c>
    </row>
    <row r="85" spans="1:11" x14ac:dyDescent="0.3">
      <c r="A85" t="s">
        <v>1406</v>
      </c>
      <c r="B85" s="1">
        <v>45225.888194444437</v>
      </c>
      <c r="C85" s="2">
        <v>45225.888194444437</v>
      </c>
      <c r="D85" t="s">
        <v>1413</v>
      </c>
      <c r="E85">
        <v>87</v>
      </c>
      <c r="F85" t="s">
        <v>739</v>
      </c>
      <c r="G85" t="str">
        <f>IFERROR(VLOOKUP(Logs_Reseau_Part5[[#This Row],[Cell_ID]],Registre_Maintenance_Part[[ID_Antenne]:[Colonne2]],2,FALSE),"")</f>
        <v>Haut-Lomami</v>
      </c>
      <c r="H85">
        <f>IFERROR(VLOOKUP(Logs_Reseau_Part5[[#This Row],[Cell_ID]],Registre_Maintenance_Part[[ID_Antenne]:[Colonne2]],3,FALSE),"")</f>
        <v>-5.8145569999999998</v>
      </c>
      <c r="I85">
        <f>IFERROR(VLOOKUP(Logs_Reseau_Part5[[#This Row],[Cell_ID]],Registre_Maintenance_Part[[ID_Antenne]:[Colonne2]],4,FALSE),"")</f>
        <v>21.942052</v>
      </c>
      <c r="J85" t="str">
        <f>IFERROR(VLOOKUP(Logs_Reseau_Part5[[#This Row],[Cell_ID]],Registre_Maintenance_Part[[ID_Antenne]:[Colonne2]],5,FALSE),"")</f>
        <v>5G</v>
      </c>
      <c r="K85" t="str">
        <f>IFERROR(VLOOKUP(Logs_Reseau_Part5[[#This Row],[Cell_ID]],Registre_Maintenance_Part[[ID_Antenne]:[Colonne2]],6,FALSE),"")</f>
        <v>Huawei</v>
      </c>
    </row>
    <row r="86" spans="1:11" x14ac:dyDescent="0.3">
      <c r="A86" t="s">
        <v>1332</v>
      </c>
      <c r="B86" s="1">
        <v>45227.297222222223</v>
      </c>
      <c r="C86" s="2">
        <v>45227.297222222223</v>
      </c>
      <c r="D86" t="s">
        <v>1339</v>
      </c>
      <c r="E86">
        <v>92</v>
      </c>
      <c r="F86" t="s">
        <v>739</v>
      </c>
      <c r="G86" t="str">
        <f>IFERROR(VLOOKUP(Logs_Reseau_Part5[[#This Row],[Cell_ID]],Registre_Maintenance_Part[[ID_Antenne]:[Colonne2]],2,FALSE),"")</f>
        <v>Haut-Lomami</v>
      </c>
      <c r="H86">
        <f>IFERROR(VLOOKUP(Logs_Reseau_Part5[[#This Row],[Cell_ID]],Registre_Maintenance_Part[[ID_Antenne]:[Colonne2]],3,FALSE),"")</f>
        <v>-5.5559329999999996</v>
      </c>
      <c r="I86">
        <f>IFERROR(VLOOKUP(Logs_Reseau_Part5[[#This Row],[Cell_ID]],Registre_Maintenance_Part[[ID_Antenne]:[Colonne2]],4,FALSE),"")</f>
        <v>13.508692999999999</v>
      </c>
      <c r="J86" t="str">
        <f>IFERROR(VLOOKUP(Logs_Reseau_Part5[[#This Row],[Cell_ID]],Registre_Maintenance_Part[[ID_Antenne]:[Colonne2]],5,FALSE),"")</f>
        <v>3G</v>
      </c>
      <c r="K86" t="str">
        <f>IFERROR(VLOOKUP(Logs_Reseau_Part5[[#This Row],[Cell_ID]],Registre_Maintenance_Part[[ID_Antenne]:[Colonne2]],6,FALSE),"")</f>
        <v>Nokia</v>
      </c>
    </row>
    <row r="87" spans="1:11" x14ac:dyDescent="0.3">
      <c r="A87" t="s">
        <v>1140</v>
      </c>
      <c r="B87" s="1">
        <v>45202.529166666667</v>
      </c>
      <c r="C87" s="2">
        <v>45202.529166666667</v>
      </c>
      <c r="D87" t="s">
        <v>1141</v>
      </c>
      <c r="E87">
        <v>109</v>
      </c>
      <c r="F87" t="s">
        <v>737</v>
      </c>
      <c r="G87" t="str">
        <f>IFERROR(VLOOKUP(Logs_Reseau_Part5[[#This Row],[Cell_ID]],Registre_Maintenance_Part[[ID_Antenne]:[Colonne2]],2,FALSE),"")</f>
        <v>Haut-Uele</v>
      </c>
      <c r="H87">
        <f>IFERROR(VLOOKUP(Logs_Reseau_Part5[[#This Row],[Cell_ID]],Registre_Maintenance_Part[[ID_Antenne]:[Colonne2]],3,FALSE),"")</f>
        <v>-7.1483749999999997</v>
      </c>
      <c r="I87">
        <f>IFERROR(VLOOKUP(Logs_Reseau_Part5[[#This Row],[Cell_ID]],Registre_Maintenance_Part[[ID_Antenne]:[Colonne2]],4,FALSE),"")</f>
        <v>26.014271000000001</v>
      </c>
      <c r="J87" t="str">
        <f>IFERROR(VLOOKUP(Logs_Reseau_Part5[[#This Row],[Cell_ID]],Registre_Maintenance_Part[[ID_Antenne]:[Colonne2]],5,FALSE),"")</f>
        <v>5G</v>
      </c>
      <c r="K87" t="str">
        <f>IFERROR(VLOOKUP(Logs_Reseau_Part5[[#This Row],[Cell_ID]],Registre_Maintenance_Part[[ID_Antenne]:[Colonne2]],6,FALSE),"")</f>
        <v>Huawei</v>
      </c>
    </row>
    <row r="88" spans="1:11" x14ac:dyDescent="0.3">
      <c r="A88" t="s">
        <v>1195</v>
      </c>
      <c r="B88" s="1">
        <v>45202.804166666669</v>
      </c>
      <c r="C88" s="2">
        <v>45202.804166666669</v>
      </c>
      <c r="D88" t="s">
        <v>1204</v>
      </c>
      <c r="E88">
        <v>115</v>
      </c>
      <c r="F88" t="s">
        <v>737</v>
      </c>
      <c r="G88" t="str">
        <f>IFERROR(VLOOKUP(Logs_Reseau_Part5[[#This Row],[Cell_ID]],Registre_Maintenance_Part[[ID_Antenne]:[Colonne2]],2,FALSE),"")</f>
        <v>Haut-Uele</v>
      </c>
      <c r="H88">
        <f>IFERROR(VLOOKUP(Logs_Reseau_Part5[[#This Row],[Cell_ID]],Registre_Maintenance_Part[[ID_Antenne]:[Colonne2]],3,FALSE),"")</f>
        <v>1.2391989999999999</v>
      </c>
      <c r="I88">
        <f>IFERROR(VLOOKUP(Logs_Reseau_Part5[[#This Row],[Cell_ID]],Registre_Maintenance_Part[[ID_Antenne]:[Colonne2]],4,FALSE),"")</f>
        <v>15.386718999999999</v>
      </c>
      <c r="J88" t="str">
        <f>IFERROR(VLOOKUP(Logs_Reseau_Part5[[#This Row],[Cell_ID]],Registre_Maintenance_Part[[ID_Antenne]:[Colonne2]],5,FALSE),"")</f>
        <v>5G</v>
      </c>
      <c r="K88" t="str">
        <f>IFERROR(VLOOKUP(Logs_Reseau_Part5[[#This Row],[Cell_ID]],Registre_Maintenance_Part[[ID_Antenne]:[Colonne2]],6,FALSE),"")</f>
        <v>ZTE</v>
      </c>
    </row>
    <row r="89" spans="1:11" x14ac:dyDescent="0.3">
      <c r="A89" t="s">
        <v>1001</v>
      </c>
      <c r="B89" s="1">
        <v>45204.986111111109</v>
      </c>
      <c r="C89" s="2">
        <v>45204.986111111109</v>
      </c>
      <c r="D89" t="s">
        <v>1014</v>
      </c>
      <c r="E89">
        <v>76</v>
      </c>
      <c r="F89" t="s">
        <v>737</v>
      </c>
      <c r="G89" t="str">
        <f>IFERROR(VLOOKUP(Logs_Reseau_Part5[[#This Row],[Cell_ID]],Registre_Maintenance_Part[[ID_Antenne]:[Colonne2]],2,FALSE),"")</f>
        <v>Haut-Uele</v>
      </c>
      <c r="H89">
        <f>IFERROR(VLOOKUP(Logs_Reseau_Part5[[#This Row],[Cell_ID]],Registre_Maintenance_Part[[ID_Antenne]:[Colonne2]],3,FALSE),"")</f>
        <v>-4.869434</v>
      </c>
      <c r="I89">
        <f>IFERROR(VLOOKUP(Logs_Reseau_Part5[[#This Row],[Cell_ID]],Registre_Maintenance_Part[[ID_Antenne]:[Colonne2]],4,FALSE),"")</f>
        <v>22.326522000000001</v>
      </c>
      <c r="J89" t="str">
        <f>IFERROR(VLOOKUP(Logs_Reseau_Part5[[#This Row],[Cell_ID]],Registre_Maintenance_Part[[ID_Antenne]:[Colonne2]],5,FALSE),"")</f>
        <v>5G</v>
      </c>
      <c r="K89" t="str">
        <f>IFERROR(VLOOKUP(Logs_Reseau_Part5[[#This Row],[Cell_ID]],Registre_Maintenance_Part[[ID_Antenne]:[Colonne2]],6,FALSE),"")</f>
        <v>Ericsson</v>
      </c>
    </row>
    <row r="90" spans="1:11" x14ac:dyDescent="0.3">
      <c r="A90" t="s">
        <v>1026</v>
      </c>
      <c r="B90" s="1">
        <v>45205.474305555559</v>
      </c>
      <c r="C90" s="2">
        <v>45205.474305555559</v>
      </c>
      <c r="D90" t="s">
        <v>1039</v>
      </c>
      <c r="E90">
        <v>25</v>
      </c>
      <c r="F90" t="s">
        <v>734</v>
      </c>
      <c r="G90" t="str">
        <f>IFERROR(VLOOKUP(Logs_Reseau_Part5[[#This Row],[Cell_ID]],Registre_Maintenance_Part[[ID_Antenne]:[Colonne2]],2,FALSE),"")</f>
        <v>Haut-Uele</v>
      </c>
      <c r="H90">
        <f>IFERROR(VLOOKUP(Logs_Reseau_Part5[[#This Row],[Cell_ID]],Registre_Maintenance_Part[[ID_Antenne]:[Colonne2]],3,FALSE),"")</f>
        <v>-1.013558</v>
      </c>
      <c r="I90">
        <f>IFERROR(VLOOKUP(Logs_Reseau_Part5[[#This Row],[Cell_ID]],Registre_Maintenance_Part[[ID_Antenne]:[Colonne2]],4,FALSE),"")</f>
        <v>17.346937</v>
      </c>
      <c r="J90" t="str">
        <f>IFERROR(VLOOKUP(Logs_Reseau_Part5[[#This Row],[Cell_ID]],Registre_Maintenance_Part[[ID_Antenne]:[Colonne2]],5,FALSE),"")</f>
        <v>5G</v>
      </c>
      <c r="K90" t="str">
        <f>IFERROR(VLOOKUP(Logs_Reseau_Part5[[#This Row],[Cell_ID]],Registre_Maintenance_Part[[ID_Antenne]:[Colonne2]],6,FALSE),"")</f>
        <v>Huawei</v>
      </c>
    </row>
    <row r="91" spans="1:11" x14ac:dyDescent="0.3">
      <c r="A91" t="s">
        <v>1310</v>
      </c>
      <c r="B91" s="1">
        <v>45205.830555555563</v>
      </c>
      <c r="C91" s="2">
        <v>45205.830555555563</v>
      </c>
      <c r="D91" t="s">
        <v>1326</v>
      </c>
      <c r="E91">
        <v>52</v>
      </c>
      <c r="F91" t="s">
        <v>734</v>
      </c>
      <c r="G91" t="str">
        <f>IFERROR(VLOOKUP(Logs_Reseau_Part5[[#This Row],[Cell_ID]],Registre_Maintenance_Part[[ID_Antenne]:[Colonne2]],2,FALSE),"")</f>
        <v>Haut-Uele</v>
      </c>
      <c r="H91">
        <f>IFERROR(VLOOKUP(Logs_Reseau_Part5[[#This Row],[Cell_ID]],Registre_Maintenance_Part[[ID_Antenne]:[Colonne2]],3,FALSE),"")</f>
        <v>-2.2199559999999998</v>
      </c>
      <c r="I91">
        <f>IFERROR(VLOOKUP(Logs_Reseau_Part5[[#This Row],[Cell_ID]],Registre_Maintenance_Part[[ID_Antenne]:[Colonne2]],4,FALSE),"")</f>
        <v>22.614449</v>
      </c>
      <c r="J91" t="str">
        <f>IFERROR(VLOOKUP(Logs_Reseau_Part5[[#This Row],[Cell_ID]],Registre_Maintenance_Part[[ID_Antenne]:[Colonne2]],5,FALSE),"")</f>
        <v>3G</v>
      </c>
      <c r="K91" t="str">
        <f>IFERROR(VLOOKUP(Logs_Reseau_Part5[[#This Row],[Cell_ID]],Registre_Maintenance_Part[[ID_Antenne]:[Colonne2]],6,FALSE),"")</f>
        <v>Nokia</v>
      </c>
    </row>
    <row r="92" spans="1:11" x14ac:dyDescent="0.3">
      <c r="A92" t="s">
        <v>1116</v>
      </c>
      <c r="B92" s="1">
        <v>45206.563888888893</v>
      </c>
      <c r="C92" s="2">
        <v>45206.563888888893</v>
      </c>
      <c r="D92" t="s">
        <v>1130</v>
      </c>
      <c r="E92">
        <v>37</v>
      </c>
      <c r="F92" t="s">
        <v>734</v>
      </c>
      <c r="G92" t="str">
        <f>IFERROR(VLOOKUP(Logs_Reseau_Part5[[#This Row],[Cell_ID]],Registre_Maintenance_Part[[ID_Antenne]:[Colonne2]],2,FALSE),"")</f>
        <v>Haut-Uele</v>
      </c>
      <c r="H92">
        <f>IFERROR(VLOOKUP(Logs_Reseau_Part5[[#This Row],[Cell_ID]],Registre_Maintenance_Part[[ID_Antenne]:[Colonne2]],3,FALSE),"")</f>
        <v>0.20866199999999999</v>
      </c>
      <c r="I92">
        <f>IFERROR(VLOOKUP(Logs_Reseau_Part5[[#This Row],[Cell_ID]],Registre_Maintenance_Part[[ID_Antenne]:[Colonne2]],4,FALSE),"")</f>
        <v>18.556439000000001</v>
      </c>
      <c r="J92" t="str">
        <f>IFERROR(VLOOKUP(Logs_Reseau_Part5[[#This Row],[Cell_ID]],Registre_Maintenance_Part[[ID_Antenne]:[Colonne2]],5,FALSE),"")</f>
        <v>4G</v>
      </c>
      <c r="K92" t="str">
        <f>IFERROR(VLOOKUP(Logs_Reseau_Part5[[#This Row],[Cell_ID]],Registre_Maintenance_Part[[ID_Antenne]:[Colonne2]],6,FALSE),"")</f>
        <v>Nokia</v>
      </c>
    </row>
    <row r="93" spans="1:11" x14ac:dyDescent="0.3">
      <c r="A93" t="s">
        <v>1363</v>
      </c>
      <c r="B93" s="1">
        <v>45210.689583333333</v>
      </c>
      <c r="C93" s="2">
        <v>45210.689583333333</v>
      </c>
      <c r="D93" t="s">
        <v>1014</v>
      </c>
      <c r="E93">
        <v>16</v>
      </c>
      <c r="F93" t="s">
        <v>734</v>
      </c>
      <c r="G93" t="str">
        <f>IFERROR(VLOOKUP(Logs_Reseau_Part5[[#This Row],[Cell_ID]],Registre_Maintenance_Part[[ID_Antenne]:[Colonne2]],2,FALSE),"")</f>
        <v>Haut-Uele</v>
      </c>
      <c r="H93">
        <f>IFERROR(VLOOKUP(Logs_Reseau_Part5[[#This Row],[Cell_ID]],Registre_Maintenance_Part[[ID_Antenne]:[Colonne2]],3,FALSE),"")</f>
        <v>-4.869434</v>
      </c>
      <c r="I93">
        <f>IFERROR(VLOOKUP(Logs_Reseau_Part5[[#This Row],[Cell_ID]],Registre_Maintenance_Part[[ID_Antenne]:[Colonne2]],4,FALSE),"")</f>
        <v>22.326522000000001</v>
      </c>
      <c r="J93" t="str">
        <f>IFERROR(VLOOKUP(Logs_Reseau_Part5[[#This Row],[Cell_ID]],Registre_Maintenance_Part[[ID_Antenne]:[Colonne2]],5,FALSE),"")</f>
        <v>5G</v>
      </c>
      <c r="K93" t="str">
        <f>IFERROR(VLOOKUP(Logs_Reseau_Part5[[#This Row],[Cell_ID]],Registre_Maintenance_Part[[ID_Antenne]:[Colonne2]],6,FALSE),"")</f>
        <v>Ericsson</v>
      </c>
    </row>
    <row r="94" spans="1:11" x14ac:dyDescent="0.3">
      <c r="A94" t="s">
        <v>1061</v>
      </c>
      <c r="B94" s="1">
        <v>45211.722916666673</v>
      </c>
      <c r="C94" s="2">
        <v>45211.722916666673</v>
      </c>
      <c r="D94" t="s">
        <v>1077</v>
      </c>
      <c r="E94">
        <v>28</v>
      </c>
      <c r="F94" t="s">
        <v>734</v>
      </c>
      <c r="G94" t="str">
        <f>IFERROR(VLOOKUP(Logs_Reseau_Part5[[#This Row],[Cell_ID]],Registre_Maintenance_Part[[ID_Antenne]:[Colonne2]],2,FALSE),"")</f>
        <v>Haut-Uele</v>
      </c>
      <c r="H94">
        <f>IFERROR(VLOOKUP(Logs_Reseau_Part5[[#This Row],[Cell_ID]],Registre_Maintenance_Part[[ID_Antenne]:[Colonne2]],3,FALSE),"")</f>
        <v>-6.9624990000000002</v>
      </c>
      <c r="I94">
        <f>IFERROR(VLOOKUP(Logs_Reseau_Part5[[#This Row],[Cell_ID]],Registre_Maintenance_Part[[ID_Antenne]:[Colonne2]],4,FALSE),"")</f>
        <v>20.759834999999999</v>
      </c>
      <c r="J94" t="str">
        <f>IFERROR(VLOOKUP(Logs_Reseau_Part5[[#This Row],[Cell_ID]],Registre_Maintenance_Part[[ID_Antenne]:[Colonne2]],5,FALSE),"")</f>
        <v>4G</v>
      </c>
      <c r="K94" t="str">
        <f>IFERROR(VLOOKUP(Logs_Reseau_Part5[[#This Row],[Cell_ID]],Registre_Maintenance_Part[[ID_Antenne]:[Colonne2]],6,FALSE),"")</f>
        <v>Huawei</v>
      </c>
    </row>
    <row r="95" spans="1:11" x14ac:dyDescent="0.3">
      <c r="A95" t="s">
        <v>1363</v>
      </c>
      <c r="B95" s="1">
        <v>45211.888888888891</v>
      </c>
      <c r="C95" s="2">
        <v>45211.888888888891</v>
      </c>
      <c r="D95" t="s">
        <v>1141</v>
      </c>
      <c r="E95">
        <v>87</v>
      </c>
      <c r="F95" t="s">
        <v>737</v>
      </c>
      <c r="G95" t="str">
        <f>IFERROR(VLOOKUP(Logs_Reseau_Part5[[#This Row],[Cell_ID]],Registre_Maintenance_Part[[ID_Antenne]:[Colonne2]],2,FALSE),"")</f>
        <v>Haut-Uele</v>
      </c>
      <c r="H95">
        <f>IFERROR(VLOOKUP(Logs_Reseau_Part5[[#This Row],[Cell_ID]],Registre_Maintenance_Part[[ID_Antenne]:[Colonne2]],3,FALSE),"")</f>
        <v>-7.1483749999999997</v>
      </c>
      <c r="I95">
        <f>IFERROR(VLOOKUP(Logs_Reseau_Part5[[#This Row],[Cell_ID]],Registre_Maintenance_Part[[ID_Antenne]:[Colonne2]],4,FALSE),"")</f>
        <v>26.014271000000001</v>
      </c>
      <c r="J95" t="str">
        <f>IFERROR(VLOOKUP(Logs_Reseau_Part5[[#This Row],[Cell_ID]],Registre_Maintenance_Part[[ID_Antenne]:[Colonne2]],5,FALSE),"")</f>
        <v>5G</v>
      </c>
      <c r="K95" t="str">
        <f>IFERROR(VLOOKUP(Logs_Reseau_Part5[[#This Row],[Cell_ID]],Registre_Maintenance_Part[[ID_Antenne]:[Colonne2]],6,FALSE),"")</f>
        <v>Huawei</v>
      </c>
    </row>
    <row r="96" spans="1:11" x14ac:dyDescent="0.3">
      <c r="A96" t="s">
        <v>980</v>
      </c>
      <c r="B96" s="1">
        <v>45212.599305555559</v>
      </c>
      <c r="C96" s="2">
        <v>45212.599305555559</v>
      </c>
      <c r="D96" t="s">
        <v>883</v>
      </c>
      <c r="E96">
        <v>58</v>
      </c>
      <c r="F96" t="s">
        <v>737</v>
      </c>
      <c r="G96" t="str">
        <f>IFERROR(VLOOKUP(Logs_Reseau_Part5[[#This Row],[Cell_ID]],Registre_Maintenance_Part[[ID_Antenne]:[Colonne2]],2,FALSE),"")</f>
        <v>Haut-Uele</v>
      </c>
      <c r="H96">
        <f>IFERROR(VLOOKUP(Logs_Reseau_Part5[[#This Row],[Cell_ID]],Registre_Maintenance_Part[[ID_Antenne]:[Colonne2]],3,FALSE),"")</f>
        <v>-1.8045979999999999</v>
      </c>
      <c r="I96">
        <f>IFERROR(VLOOKUP(Logs_Reseau_Part5[[#This Row],[Cell_ID]],Registre_Maintenance_Part[[ID_Antenne]:[Colonne2]],4,FALSE),"")</f>
        <v>12.511096999999999</v>
      </c>
      <c r="J96" t="str">
        <f>IFERROR(VLOOKUP(Logs_Reseau_Part5[[#This Row],[Cell_ID]],Registre_Maintenance_Part[[ID_Antenne]:[Colonne2]],5,FALSE),"")</f>
        <v>3G</v>
      </c>
      <c r="K96" t="str">
        <f>IFERROR(VLOOKUP(Logs_Reseau_Part5[[#This Row],[Cell_ID]],Registre_Maintenance_Part[[ID_Antenne]:[Colonne2]],6,FALSE),"")</f>
        <v>Huawei</v>
      </c>
    </row>
    <row r="97" spans="1:11" x14ac:dyDescent="0.3">
      <c r="A97" t="s">
        <v>1290</v>
      </c>
      <c r="B97" s="1">
        <v>45217.627083333333</v>
      </c>
      <c r="C97" s="2">
        <v>45217.627083333333</v>
      </c>
      <c r="D97" t="s">
        <v>883</v>
      </c>
      <c r="E97">
        <v>33</v>
      </c>
      <c r="F97" t="s">
        <v>734</v>
      </c>
      <c r="G97" t="str">
        <f>IFERROR(VLOOKUP(Logs_Reseau_Part5[[#This Row],[Cell_ID]],Registre_Maintenance_Part[[ID_Antenne]:[Colonne2]],2,FALSE),"")</f>
        <v>Haut-Uele</v>
      </c>
      <c r="H97">
        <f>IFERROR(VLOOKUP(Logs_Reseau_Part5[[#This Row],[Cell_ID]],Registre_Maintenance_Part[[ID_Antenne]:[Colonne2]],3,FALSE),"")</f>
        <v>-1.8045979999999999</v>
      </c>
      <c r="I97">
        <f>IFERROR(VLOOKUP(Logs_Reseau_Part5[[#This Row],[Cell_ID]],Registre_Maintenance_Part[[ID_Antenne]:[Colonne2]],4,FALSE),"")</f>
        <v>12.511096999999999</v>
      </c>
      <c r="J97" t="str">
        <f>IFERROR(VLOOKUP(Logs_Reseau_Part5[[#This Row],[Cell_ID]],Registre_Maintenance_Part[[ID_Antenne]:[Colonne2]],5,FALSE),"")</f>
        <v>3G</v>
      </c>
      <c r="K97" t="str">
        <f>IFERROR(VLOOKUP(Logs_Reseau_Part5[[#This Row],[Cell_ID]],Registre_Maintenance_Part[[ID_Antenne]:[Colonne2]],6,FALSE),"")</f>
        <v>Huawei</v>
      </c>
    </row>
    <row r="98" spans="1:11" x14ac:dyDescent="0.3">
      <c r="A98" t="s">
        <v>1243</v>
      </c>
      <c r="B98" s="1">
        <v>45217.755555555559</v>
      </c>
      <c r="C98" s="2">
        <v>45217.755555555559</v>
      </c>
      <c r="D98" t="s">
        <v>1249</v>
      </c>
      <c r="E98">
        <v>100</v>
      </c>
      <c r="F98" t="s">
        <v>734</v>
      </c>
      <c r="G98" t="str">
        <f>IFERROR(VLOOKUP(Logs_Reseau_Part5[[#This Row],[Cell_ID]],Registre_Maintenance_Part[[ID_Antenne]:[Colonne2]],2,FALSE),"")</f>
        <v>Haut-Uele</v>
      </c>
      <c r="H98">
        <f>IFERROR(VLOOKUP(Logs_Reseau_Part5[[#This Row],[Cell_ID]],Registre_Maintenance_Part[[ID_Antenne]:[Colonne2]],3,FALSE),"")</f>
        <v>-3.003879</v>
      </c>
      <c r="I98">
        <f>IFERROR(VLOOKUP(Logs_Reseau_Part5[[#This Row],[Cell_ID]],Registre_Maintenance_Part[[ID_Antenne]:[Colonne2]],4,FALSE),"")</f>
        <v>23.633893</v>
      </c>
      <c r="J98" t="str">
        <f>IFERROR(VLOOKUP(Logs_Reseau_Part5[[#This Row],[Cell_ID]],Registre_Maintenance_Part[[ID_Antenne]:[Colonne2]],5,FALSE),"")</f>
        <v>5G</v>
      </c>
      <c r="K98" t="str">
        <f>IFERROR(VLOOKUP(Logs_Reseau_Part5[[#This Row],[Cell_ID]],Registre_Maintenance_Part[[ID_Antenne]:[Colonne2]],6,FALSE),"")</f>
        <v>Ericsson</v>
      </c>
    </row>
    <row r="99" spans="1:11" x14ac:dyDescent="0.3">
      <c r="A99" t="s">
        <v>863</v>
      </c>
      <c r="B99" s="1">
        <v>45218.270138888889</v>
      </c>
      <c r="C99" s="2">
        <v>45218.270138888889</v>
      </c>
      <c r="D99" t="s">
        <v>883</v>
      </c>
      <c r="E99">
        <v>40</v>
      </c>
      <c r="F99" t="s">
        <v>737</v>
      </c>
      <c r="G99" t="str">
        <f>IFERROR(VLOOKUP(Logs_Reseau_Part5[[#This Row],[Cell_ID]],Registre_Maintenance_Part[[ID_Antenne]:[Colonne2]],2,FALSE),"")</f>
        <v>Haut-Uele</v>
      </c>
      <c r="H99">
        <f>IFERROR(VLOOKUP(Logs_Reseau_Part5[[#This Row],[Cell_ID]],Registre_Maintenance_Part[[ID_Antenne]:[Colonne2]],3,FALSE),"")</f>
        <v>-1.8045979999999999</v>
      </c>
      <c r="I99">
        <f>IFERROR(VLOOKUP(Logs_Reseau_Part5[[#This Row],[Cell_ID]],Registre_Maintenance_Part[[ID_Antenne]:[Colonne2]],4,FALSE),"")</f>
        <v>12.511096999999999</v>
      </c>
      <c r="J99" t="str">
        <f>IFERROR(VLOOKUP(Logs_Reseau_Part5[[#This Row],[Cell_ID]],Registre_Maintenance_Part[[ID_Antenne]:[Colonne2]],5,FALSE),"")</f>
        <v>3G</v>
      </c>
      <c r="K99" t="str">
        <f>IFERROR(VLOOKUP(Logs_Reseau_Part5[[#This Row],[Cell_ID]],Registre_Maintenance_Part[[ID_Antenne]:[Colonne2]],6,FALSE),"")</f>
        <v>Huawei</v>
      </c>
    </row>
    <row r="100" spans="1:11" x14ac:dyDescent="0.3">
      <c r="A100" t="s">
        <v>1221</v>
      </c>
      <c r="B100" s="1">
        <v>45219.527083333327</v>
      </c>
      <c r="C100" s="2">
        <v>45219.527083333327</v>
      </c>
      <c r="D100" t="s">
        <v>1141</v>
      </c>
      <c r="E100">
        <v>95</v>
      </c>
      <c r="F100" t="s">
        <v>734</v>
      </c>
      <c r="G100" t="str">
        <f>IFERROR(VLOOKUP(Logs_Reseau_Part5[[#This Row],[Cell_ID]],Registre_Maintenance_Part[[ID_Antenne]:[Colonne2]],2,FALSE),"")</f>
        <v>Haut-Uele</v>
      </c>
      <c r="H100">
        <f>IFERROR(VLOOKUP(Logs_Reseau_Part5[[#This Row],[Cell_ID]],Registre_Maintenance_Part[[ID_Antenne]:[Colonne2]],3,FALSE),"")</f>
        <v>-7.1483749999999997</v>
      </c>
      <c r="I100">
        <f>IFERROR(VLOOKUP(Logs_Reseau_Part5[[#This Row],[Cell_ID]],Registre_Maintenance_Part[[ID_Antenne]:[Colonne2]],4,FALSE),"")</f>
        <v>26.014271000000001</v>
      </c>
      <c r="J100" t="str">
        <f>IFERROR(VLOOKUP(Logs_Reseau_Part5[[#This Row],[Cell_ID]],Registre_Maintenance_Part[[ID_Antenne]:[Colonne2]],5,FALSE),"")</f>
        <v>5G</v>
      </c>
      <c r="K100" t="str">
        <f>IFERROR(VLOOKUP(Logs_Reseau_Part5[[#This Row],[Cell_ID]],Registre_Maintenance_Part[[ID_Antenne]:[Colonne2]],6,FALSE),"")</f>
        <v>Huawei</v>
      </c>
    </row>
    <row r="101" spans="1:11" x14ac:dyDescent="0.3">
      <c r="A101" t="s">
        <v>1221</v>
      </c>
      <c r="B101" s="1">
        <v>45221.647916666669</v>
      </c>
      <c r="C101" s="2">
        <v>45221.647916666669</v>
      </c>
      <c r="D101" t="s">
        <v>1238</v>
      </c>
      <c r="E101">
        <v>67</v>
      </c>
      <c r="F101" t="s">
        <v>734</v>
      </c>
      <c r="G101" t="str">
        <f>IFERROR(VLOOKUP(Logs_Reseau_Part5[[#This Row],[Cell_ID]],Registre_Maintenance_Part[[ID_Antenne]:[Colonne2]],2,FALSE),"")</f>
        <v>Haut-Uele</v>
      </c>
      <c r="H101">
        <f>IFERROR(VLOOKUP(Logs_Reseau_Part5[[#This Row],[Cell_ID]],Registre_Maintenance_Part[[ID_Antenne]:[Colonne2]],3,FALSE),"")</f>
        <v>-11.924048000000001</v>
      </c>
      <c r="I101">
        <f>IFERROR(VLOOKUP(Logs_Reseau_Part5[[#This Row],[Cell_ID]],Registre_Maintenance_Part[[ID_Antenne]:[Colonne2]],4,FALSE),"")</f>
        <v>24.177174999999998</v>
      </c>
      <c r="J101" t="str">
        <f>IFERROR(VLOOKUP(Logs_Reseau_Part5[[#This Row],[Cell_ID]],Registre_Maintenance_Part[[ID_Antenne]:[Colonne2]],5,FALSE),"")</f>
        <v>3G</v>
      </c>
      <c r="K101" t="str">
        <f>IFERROR(VLOOKUP(Logs_Reseau_Part5[[#This Row],[Cell_ID]],Registre_Maintenance_Part[[ID_Antenne]:[Colonne2]],6,FALSE),"")</f>
        <v>Nokia</v>
      </c>
    </row>
    <row r="102" spans="1:11" x14ac:dyDescent="0.3">
      <c r="A102" t="s">
        <v>1290</v>
      </c>
      <c r="B102" s="1">
        <v>45222.479166666657</v>
      </c>
      <c r="C102" s="2">
        <v>45222.479166666657</v>
      </c>
      <c r="D102" t="s">
        <v>1307</v>
      </c>
      <c r="E102">
        <v>112</v>
      </c>
      <c r="F102" t="s">
        <v>737</v>
      </c>
      <c r="G102" t="str">
        <f>IFERROR(VLOOKUP(Logs_Reseau_Part5[[#This Row],[Cell_ID]],Registre_Maintenance_Part[[ID_Antenne]:[Colonne2]],2,FALSE),"")</f>
        <v>Haut-Uele</v>
      </c>
      <c r="H102">
        <f>IFERROR(VLOOKUP(Logs_Reseau_Part5[[#This Row],[Cell_ID]],Registre_Maintenance_Part[[ID_Antenne]:[Colonne2]],3,FALSE),"")</f>
        <v>-8.8118569999999998</v>
      </c>
      <c r="I102">
        <f>IFERROR(VLOOKUP(Logs_Reseau_Part5[[#This Row],[Cell_ID]],Registre_Maintenance_Part[[ID_Antenne]:[Colonne2]],4,FALSE),"")</f>
        <v>14.465711000000001</v>
      </c>
      <c r="J102" t="str">
        <f>IFERROR(VLOOKUP(Logs_Reseau_Part5[[#This Row],[Cell_ID]],Registre_Maintenance_Part[[ID_Antenne]:[Colonne2]],5,FALSE),"")</f>
        <v>5G</v>
      </c>
      <c r="K102" t="str">
        <f>IFERROR(VLOOKUP(Logs_Reseau_Part5[[#This Row],[Cell_ID]],Registre_Maintenance_Part[[ID_Antenne]:[Colonne2]],6,FALSE),"")</f>
        <v>Nokia</v>
      </c>
    </row>
    <row r="103" spans="1:11" x14ac:dyDescent="0.3">
      <c r="A103" t="s">
        <v>1406</v>
      </c>
      <c r="B103" s="1">
        <v>45223.794444444437</v>
      </c>
      <c r="C103" s="2">
        <v>45223.794444444437</v>
      </c>
      <c r="D103" t="s">
        <v>1409</v>
      </c>
      <c r="E103">
        <v>97</v>
      </c>
      <c r="F103" t="s">
        <v>734</v>
      </c>
      <c r="G103" t="str">
        <f>IFERROR(VLOOKUP(Logs_Reseau_Part5[[#This Row],[Cell_ID]],Registre_Maintenance_Part[[ID_Antenne]:[Colonne2]],2,FALSE),"")</f>
        <v>Haut-Uele</v>
      </c>
      <c r="H103">
        <f>IFERROR(VLOOKUP(Logs_Reseau_Part5[[#This Row],[Cell_ID]],Registre_Maintenance_Part[[ID_Antenne]:[Colonne2]],3,FALSE),"")</f>
        <v>1.0134879999999999</v>
      </c>
      <c r="I103">
        <f>IFERROR(VLOOKUP(Logs_Reseau_Part5[[#This Row],[Cell_ID]],Registre_Maintenance_Part[[ID_Antenne]:[Colonne2]],4,FALSE),"")</f>
        <v>20.363515</v>
      </c>
      <c r="J103" t="str">
        <f>IFERROR(VLOOKUP(Logs_Reseau_Part5[[#This Row],[Cell_ID]],Registre_Maintenance_Part[[ID_Antenne]:[Colonne2]],5,FALSE),"")</f>
        <v>4G</v>
      </c>
      <c r="K103" t="str">
        <f>IFERROR(VLOOKUP(Logs_Reseau_Part5[[#This Row],[Cell_ID]],Registre_Maintenance_Part[[ID_Antenne]:[Colonne2]],6,FALSE),"")</f>
        <v>Nokia</v>
      </c>
    </row>
    <row r="104" spans="1:11" x14ac:dyDescent="0.3">
      <c r="A104" t="s">
        <v>863</v>
      </c>
      <c r="B104" s="1">
        <v>45228.511805555558</v>
      </c>
      <c r="C104" s="2">
        <v>45228.511805555558</v>
      </c>
      <c r="D104" t="s">
        <v>875</v>
      </c>
      <c r="E104">
        <v>64</v>
      </c>
      <c r="F104" t="s">
        <v>737</v>
      </c>
      <c r="G104" t="str">
        <f>IFERROR(VLOOKUP(Logs_Reseau_Part5[[#This Row],[Cell_ID]],Registre_Maintenance_Part[[ID_Antenne]:[Colonne2]],2,FALSE),"")</f>
        <v>Haut-Uele</v>
      </c>
      <c r="H104">
        <f>IFERROR(VLOOKUP(Logs_Reseau_Part5[[#This Row],[Cell_ID]],Registre_Maintenance_Part[[ID_Antenne]:[Colonne2]],3,FALSE),"")</f>
        <v>-4.4351269999999996</v>
      </c>
      <c r="I104">
        <f>IFERROR(VLOOKUP(Logs_Reseau_Part5[[#This Row],[Cell_ID]],Registre_Maintenance_Part[[ID_Antenne]:[Colonne2]],4,FALSE),"")</f>
        <v>24.825467</v>
      </c>
      <c r="J104" t="str">
        <f>IFERROR(VLOOKUP(Logs_Reseau_Part5[[#This Row],[Cell_ID]],Registre_Maintenance_Part[[ID_Antenne]:[Colonne2]],5,FALSE),"")</f>
        <v>4G</v>
      </c>
      <c r="K104" t="str">
        <f>IFERROR(VLOOKUP(Logs_Reseau_Part5[[#This Row],[Cell_ID]],Registre_Maintenance_Part[[ID_Antenne]:[Colonne2]],6,FALSE),"")</f>
        <v>Huawei</v>
      </c>
    </row>
    <row r="105" spans="1:11" x14ac:dyDescent="0.3">
      <c r="A105" t="s">
        <v>1384</v>
      </c>
      <c r="B105" s="1">
        <v>45228.57708333333</v>
      </c>
      <c r="C105" s="2">
        <v>45228.57708333333</v>
      </c>
      <c r="D105" t="s">
        <v>883</v>
      </c>
      <c r="E105">
        <v>80</v>
      </c>
      <c r="F105" t="s">
        <v>739</v>
      </c>
      <c r="G105" t="str">
        <f>IFERROR(VLOOKUP(Logs_Reseau_Part5[[#This Row],[Cell_ID]],Registre_Maintenance_Part[[ID_Antenne]:[Colonne2]],2,FALSE),"")</f>
        <v>Haut-Uele</v>
      </c>
      <c r="H105">
        <f>IFERROR(VLOOKUP(Logs_Reseau_Part5[[#This Row],[Cell_ID]],Registre_Maintenance_Part[[ID_Antenne]:[Colonne2]],3,FALSE),"")</f>
        <v>-1.8045979999999999</v>
      </c>
      <c r="I105">
        <f>IFERROR(VLOOKUP(Logs_Reseau_Part5[[#This Row],[Cell_ID]],Registre_Maintenance_Part[[ID_Antenne]:[Colonne2]],4,FALSE),"")</f>
        <v>12.511096999999999</v>
      </c>
      <c r="J105" t="str">
        <f>IFERROR(VLOOKUP(Logs_Reseau_Part5[[#This Row],[Cell_ID]],Registre_Maintenance_Part[[ID_Antenne]:[Colonne2]],5,FALSE),"")</f>
        <v>3G</v>
      </c>
      <c r="K105" t="str">
        <f>IFERROR(VLOOKUP(Logs_Reseau_Part5[[#This Row],[Cell_ID]],Registre_Maintenance_Part[[ID_Antenne]:[Colonne2]],6,FALSE),"")</f>
        <v>Huawei</v>
      </c>
    </row>
    <row r="106" spans="1:11" x14ac:dyDescent="0.3">
      <c r="A106" t="s">
        <v>1167</v>
      </c>
      <c r="B106" s="1">
        <v>45229.620833333327</v>
      </c>
      <c r="C106" s="2">
        <v>45229.620833333327</v>
      </c>
      <c r="D106" t="s">
        <v>1176</v>
      </c>
      <c r="E106">
        <v>74</v>
      </c>
      <c r="F106" t="s">
        <v>739</v>
      </c>
      <c r="G106" t="str">
        <f>IFERROR(VLOOKUP(Logs_Reseau_Part5[[#This Row],[Cell_ID]],Registre_Maintenance_Part[[ID_Antenne]:[Colonne2]],2,FALSE),"")</f>
        <v>Haut-Uele</v>
      </c>
      <c r="H106">
        <f>IFERROR(VLOOKUP(Logs_Reseau_Part5[[#This Row],[Cell_ID]],Registre_Maintenance_Part[[ID_Antenne]:[Colonne2]],3,FALSE),"")</f>
        <v>-12.488033</v>
      </c>
      <c r="I106">
        <f>IFERROR(VLOOKUP(Logs_Reseau_Part5[[#This Row],[Cell_ID]],Registre_Maintenance_Part[[ID_Antenne]:[Colonne2]],4,FALSE),"")</f>
        <v>16.139648000000001</v>
      </c>
      <c r="J106" t="str">
        <f>IFERROR(VLOOKUP(Logs_Reseau_Part5[[#This Row],[Cell_ID]],Registre_Maintenance_Part[[ID_Antenne]:[Colonne2]],5,FALSE),"")</f>
        <v>4G</v>
      </c>
      <c r="K106" t="str">
        <f>IFERROR(VLOOKUP(Logs_Reseau_Part5[[#This Row],[Cell_ID]],Registre_Maintenance_Part[[ID_Antenne]:[Colonne2]],6,FALSE),"")</f>
        <v>Huawei</v>
      </c>
    </row>
    <row r="107" spans="1:11" x14ac:dyDescent="0.3">
      <c r="A107" t="s">
        <v>1195</v>
      </c>
      <c r="B107" s="1">
        <v>45230.323611111111</v>
      </c>
      <c r="C107" s="2">
        <v>45230.323611111111</v>
      </c>
      <c r="D107" t="s">
        <v>875</v>
      </c>
      <c r="E107">
        <v>105</v>
      </c>
      <c r="F107" t="s">
        <v>734</v>
      </c>
      <c r="G107" t="str">
        <f>IFERROR(VLOOKUP(Logs_Reseau_Part5[[#This Row],[Cell_ID]],Registre_Maintenance_Part[[ID_Antenne]:[Colonne2]],2,FALSE),"")</f>
        <v>Haut-Uele</v>
      </c>
      <c r="H107">
        <f>IFERROR(VLOOKUP(Logs_Reseau_Part5[[#This Row],[Cell_ID]],Registre_Maintenance_Part[[ID_Antenne]:[Colonne2]],3,FALSE),"")</f>
        <v>-4.4351269999999996</v>
      </c>
      <c r="I107">
        <f>IFERROR(VLOOKUP(Logs_Reseau_Part5[[#This Row],[Cell_ID]],Registre_Maintenance_Part[[ID_Antenne]:[Colonne2]],4,FALSE),"")</f>
        <v>24.825467</v>
      </c>
      <c r="J107" t="str">
        <f>IFERROR(VLOOKUP(Logs_Reseau_Part5[[#This Row],[Cell_ID]],Registre_Maintenance_Part[[ID_Antenne]:[Colonne2]],5,FALSE),"")</f>
        <v>4G</v>
      </c>
      <c r="K107" t="str">
        <f>IFERROR(VLOOKUP(Logs_Reseau_Part5[[#This Row],[Cell_ID]],Registre_Maintenance_Part[[ID_Antenne]:[Colonne2]],6,FALSE),"")</f>
        <v>Huawei</v>
      </c>
    </row>
    <row r="108" spans="1:11" x14ac:dyDescent="0.3">
      <c r="A108" t="s">
        <v>1384</v>
      </c>
      <c r="B108" s="1">
        <v>45200.67083333333</v>
      </c>
      <c r="C108" s="2">
        <v>45200.67083333333</v>
      </c>
      <c r="D108" t="s">
        <v>1397</v>
      </c>
      <c r="E108">
        <v>74</v>
      </c>
      <c r="F108" t="s">
        <v>739</v>
      </c>
      <c r="G108" t="str">
        <f>IFERROR(VLOOKUP(Logs_Reseau_Part5[[#This Row],[Cell_ID]],Registre_Maintenance_Part[[ID_Antenne]:[Colonne2]],2,FALSE),"")</f>
        <v>Ituri</v>
      </c>
      <c r="H108">
        <f>IFERROR(VLOOKUP(Logs_Reseau_Part5[[#This Row],[Cell_ID]],Registre_Maintenance_Part[[ID_Antenne]:[Colonne2]],3,FALSE),"")</f>
        <v>-4.6426759999999998</v>
      </c>
      <c r="I108">
        <f>IFERROR(VLOOKUP(Logs_Reseau_Part5[[#This Row],[Cell_ID]],Registre_Maintenance_Part[[ID_Antenne]:[Colonne2]],4,FALSE),"")</f>
        <v>22.124254000000001</v>
      </c>
      <c r="J108" t="str">
        <f>IFERROR(VLOOKUP(Logs_Reseau_Part5[[#This Row],[Cell_ID]],Registre_Maintenance_Part[[ID_Antenne]:[Colonne2]],5,FALSE),"")</f>
        <v>4G</v>
      </c>
      <c r="K108" t="str">
        <f>IFERROR(VLOOKUP(Logs_Reseau_Part5[[#This Row],[Cell_ID]],Registre_Maintenance_Part[[ID_Antenne]:[Colonne2]],6,FALSE),"")</f>
        <v>ZTE</v>
      </c>
    </row>
    <row r="109" spans="1:11" x14ac:dyDescent="0.3">
      <c r="A109" t="s">
        <v>1332</v>
      </c>
      <c r="B109" s="1">
        <v>45201.245833333327</v>
      </c>
      <c r="C109" s="2">
        <v>45201.245833333327</v>
      </c>
      <c r="D109" t="s">
        <v>1070</v>
      </c>
      <c r="E109">
        <v>91</v>
      </c>
      <c r="F109" t="s">
        <v>737</v>
      </c>
      <c r="G109" t="str">
        <f>IFERROR(VLOOKUP(Logs_Reseau_Part5[[#This Row],[Cell_ID]],Registre_Maintenance_Part[[ID_Antenne]:[Colonne2]],2,FALSE),"")</f>
        <v>Ituri</v>
      </c>
      <c r="H109">
        <f>IFERROR(VLOOKUP(Logs_Reseau_Part5[[#This Row],[Cell_ID]],Registre_Maintenance_Part[[ID_Antenne]:[Colonne2]],3,FALSE),"")</f>
        <v>-0.34051900000000002</v>
      </c>
      <c r="I109">
        <f>IFERROR(VLOOKUP(Logs_Reseau_Part5[[#This Row],[Cell_ID]],Registre_Maintenance_Part[[ID_Antenne]:[Colonne2]],4,FALSE),"")</f>
        <v>17.079799000000001</v>
      </c>
      <c r="J109" t="str">
        <f>IFERROR(VLOOKUP(Logs_Reseau_Part5[[#This Row],[Cell_ID]],Registre_Maintenance_Part[[ID_Antenne]:[Colonne2]],5,FALSE),"")</f>
        <v>5G</v>
      </c>
      <c r="K109" t="str">
        <f>IFERROR(VLOOKUP(Logs_Reseau_Part5[[#This Row],[Cell_ID]],Registre_Maintenance_Part[[ID_Antenne]:[Colonne2]],6,FALSE),"")</f>
        <v>Ericsson</v>
      </c>
    </row>
    <row r="110" spans="1:11" x14ac:dyDescent="0.3">
      <c r="A110" t="s">
        <v>1001</v>
      </c>
      <c r="B110" s="1">
        <v>45207.57916666667</v>
      </c>
      <c r="C110" s="2">
        <v>45207.57916666667</v>
      </c>
      <c r="D110" t="s">
        <v>1007</v>
      </c>
      <c r="E110">
        <v>68</v>
      </c>
      <c r="F110" t="s">
        <v>734</v>
      </c>
      <c r="G110" t="str">
        <f>IFERROR(VLOOKUP(Logs_Reseau_Part5[[#This Row],[Cell_ID]],Registre_Maintenance_Part[[ID_Antenne]:[Colonne2]],2,FALSE),"")</f>
        <v>Ituri</v>
      </c>
      <c r="H110">
        <f>IFERROR(VLOOKUP(Logs_Reseau_Part5[[#This Row],[Cell_ID]],Registre_Maintenance_Part[[ID_Antenne]:[Colonne2]],3,FALSE),"")</f>
        <v>-3.7720639999999999</v>
      </c>
      <c r="I110">
        <f>IFERROR(VLOOKUP(Logs_Reseau_Part5[[#This Row],[Cell_ID]],Registre_Maintenance_Part[[ID_Antenne]:[Colonne2]],4,FALSE),"")</f>
        <v>16.006277999999998</v>
      </c>
      <c r="J110" t="str">
        <f>IFERROR(VLOOKUP(Logs_Reseau_Part5[[#This Row],[Cell_ID]],Registre_Maintenance_Part[[ID_Antenne]:[Colonne2]],5,FALSE),"")</f>
        <v>5G</v>
      </c>
      <c r="K110" t="str">
        <f>IFERROR(VLOOKUP(Logs_Reseau_Part5[[#This Row],[Cell_ID]],Registre_Maintenance_Part[[ID_Antenne]:[Colonne2]],6,FALSE),"")</f>
        <v>ZTE</v>
      </c>
    </row>
    <row r="111" spans="1:11" x14ac:dyDescent="0.3">
      <c r="A111" t="s">
        <v>1195</v>
      </c>
      <c r="B111" s="1">
        <v>45209.558333333327</v>
      </c>
      <c r="C111" s="2">
        <v>45209.558333333327</v>
      </c>
      <c r="D111" t="s">
        <v>1215</v>
      </c>
      <c r="E111">
        <v>66</v>
      </c>
      <c r="F111" t="s">
        <v>737</v>
      </c>
      <c r="G111" t="str">
        <f>IFERROR(VLOOKUP(Logs_Reseau_Part5[[#This Row],[Cell_ID]],Registre_Maintenance_Part[[ID_Antenne]:[Colonne2]],2,FALSE),"")</f>
        <v>Ituri</v>
      </c>
      <c r="H111">
        <f>IFERROR(VLOOKUP(Logs_Reseau_Part5[[#This Row],[Cell_ID]],Registre_Maintenance_Part[[ID_Antenne]:[Colonne2]],3,FALSE),"")</f>
        <v>-12.595355</v>
      </c>
      <c r="I111">
        <f>IFERROR(VLOOKUP(Logs_Reseau_Part5[[#This Row],[Cell_ID]],Registre_Maintenance_Part[[ID_Antenne]:[Colonne2]],4,FALSE),"")</f>
        <v>17.897442000000002</v>
      </c>
      <c r="J111" t="str">
        <f>IFERROR(VLOOKUP(Logs_Reseau_Part5[[#This Row],[Cell_ID]],Registre_Maintenance_Part[[ID_Antenne]:[Colonne2]],5,FALSE),"")</f>
        <v>4G</v>
      </c>
      <c r="K111" t="str">
        <f>IFERROR(VLOOKUP(Logs_Reseau_Part5[[#This Row],[Cell_ID]],Registre_Maintenance_Part[[ID_Antenne]:[Colonne2]],6,FALSE),"")</f>
        <v>Huawei</v>
      </c>
    </row>
    <row r="112" spans="1:11" x14ac:dyDescent="0.3">
      <c r="A112" t="s">
        <v>1195</v>
      </c>
      <c r="B112" s="1">
        <v>45211.337500000001</v>
      </c>
      <c r="C112" s="2">
        <v>45211.337500000001</v>
      </c>
      <c r="D112" t="s">
        <v>1209</v>
      </c>
      <c r="E112">
        <v>88</v>
      </c>
      <c r="F112" t="s">
        <v>737</v>
      </c>
      <c r="G112" t="str">
        <f>IFERROR(VLOOKUP(Logs_Reseau_Part5[[#This Row],[Cell_ID]],Registre_Maintenance_Part[[ID_Antenne]:[Colonne2]],2,FALSE),"")</f>
        <v>Ituri</v>
      </c>
      <c r="H112">
        <f>IFERROR(VLOOKUP(Logs_Reseau_Part5[[#This Row],[Cell_ID]],Registre_Maintenance_Part[[ID_Antenne]:[Colonne2]],3,FALSE),"")</f>
        <v>-12.364127999999999</v>
      </c>
      <c r="I112">
        <f>IFERROR(VLOOKUP(Logs_Reseau_Part5[[#This Row],[Cell_ID]],Registre_Maintenance_Part[[ID_Antenne]:[Colonne2]],4,FALSE),"")</f>
        <v>19.576150999999999</v>
      </c>
      <c r="J112" t="str">
        <f>IFERROR(VLOOKUP(Logs_Reseau_Part5[[#This Row],[Cell_ID]],Registre_Maintenance_Part[[ID_Antenne]:[Colonne2]],5,FALSE),"")</f>
        <v>3G</v>
      </c>
      <c r="K112" t="str">
        <f>IFERROR(VLOOKUP(Logs_Reseau_Part5[[#This Row],[Cell_ID]],Registre_Maintenance_Part[[ID_Antenne]:[Colonne2]],6,FALSE),"")</f>
        <v>Nokia</v>
      </c>
    </row>
    <row r="113" spans="1:11" x14ac:dyDescent="0.3">
      <c r="A113" t="s">
        <v>1061</v>
      </c>
      <c r="B113" s="1">
        <v>45216.709027777782</v>
      </c>
      <c r="C113" s="2">
        <v>45216.709027777782</v>
      </c>
      <c r="D113" t="s">
        <v>1070</v>
      </c>
      <c r="E113">
        <v>39</v>
      </c>
      <c r="F113" t="s">
        <v>734</v>
      </c>
      <c r="G113" t="str">
        <f>IFERROR(VLOOKUP(Logs_Reseau_Part5[[#This Row],[Cell_ID]],Registre_Maintenance_Part[[ID_Antenne]:[Colonne2]],2,FALSE),"")</f>
        <v>Ituri</v>
      </c>
      <c r="H113">
        <f>IFERROR(VLOOKUP(Logs_Reseau_Part5[[#This Row],[Cell_ID]],Registre_Maintenance_Part[[ID_Antenne]:[Colonne2]],3,FALSE),"")</f>
        <v>-0.34051900000000002</v>
      </c>
      <c r="I113">
        <f>IFERROR(VLOOKUP(Logs_Reseau_Part5[[#This Row],[Cell_ID]],Registre_Maintenance_Part[[ID_Antenne]:[Colonne2]],4,FALSE),"")</f>
        <v>17.079799000000001</v>
      </c>
      <c r="J113" t="str">
        <f>IFERROR(VLOOKUP(Logs_Reseau_Part5[[#This Row],[Cell_ID]],Registre_Maintenance_Part[[ID_Antenne]:[Colonne2]],5,FALSE),"")</f>
        <v>5G</v>
      </c>
      <c r="K113" t="str">
        <f>IFERROR(VLOOKUP(Logs_Reseau_Part5[[#This Row],[Cell_ID]],Registre_Maintenance_Part[[ID_Antenne]:[Colonne2]],6,FALSE),"")</f>
        <v>Ericsson</v>
      </c>
    </row>
    <row r="114" spans="1:11" x14ac:dyDescent="0.3">
      <c r="A114" t="s">
        <v>1061</v>
      </c>
      <c r="B114" s="1">
        <v>45216.760416666657</v>
      </c>
      <c r="C114" s="2">
        <v>45216.760416666657</v>
      </c>
      <c r="D114" t="s">
        <v>1065</v>
      </c>
      <c r="E114">
        <v>48</v>
      </c>
      <c r="F114" t="s">
        <v>734</v>
      </c>
      <c r="G114" t="str">
        <f>IFERROR(VLOOKUP(Logs_Reseau_Part5[[#This Row],[Cell_ID]],Registre_Maintenance_Part[[ID_Antenne]:[Colonne2]],2,FALSE),"")</f>
        <v>Ituri</v>
      </c>
      <c r="H114">
        <f>IFERROR(VLOOKUP(Logs_Reseau_Part5[[#This Row],[Cell_ID]],Registre_Maintenance_Part[[ID_Antenne]:[Colonne2]],3,FALSE),"")</f>
        <v>-11.002602</v>
      </c>
      <c r="I114">
        <f>IFERROR(VLOOKUP(Logs_Reseau_Part5[[#This Row],[Cell_ID]],Registre_Maintenance_Part[[ID_Antenne]:[Colonne2]],4,FALSE),"")</f>
        <v>23.918247999999998</v>
      </c>
      <c r="J114" t="str">
        <f>IFERROR(VLOOKUP(Logs_Reseau_Part5[[#This Row],[Cell_ID]],Registre_Maintenance_Part[[ID_Antenne]:[Colonne2]],5,FALSE),"")</f>
        <v>5G</v>
      </c>
      <c r="K114" t="str">
        <f>IFERROR(VLOOKUP(Logs_Reseau_Part5[[#This Row],[Cell_ID]],Registre_Maintenance_Part[[ID_Antenne]:[Colonne2]],6,FALSE),"")</f>
        <v>ZTE</v>
      </c>
    </row>
    <row r="115" spans="1:11" x14ac:dyDescent="0.3">
      <c r="A115" t="s">
        <v>1061</v>
      </c>
      <c r="B115" s="1">
        <v>45218.991666666669</v>
      </c>
      <c r="C115" s="2">
        <v>45218.991666666669</v>
      </c>
      <c r="D115" t="s">
        <v>1007</v>
      </c>
      <c r="E115">
        <v>82</v>
      </c>
      <c r="F115" t="s">
        <v>734</v>
      </c>
      <c r="G115" t="str">
        <f>IFERROR(VLOOKUP(Logs_Reseau_Part5[[#This Row],[Cell_ID]],Registre_Maintenance_Part[[ID_Antenne]:[Colonne2]],2,FALSE),"")</f>
        <v>Ituri</v>
      </c>
      <c r="H115">
        <f>IFERROR(VLOOKUP(Logs_Reseau_Part5[[#This Row],[Cell_ID]],Registre_Maintenance_Part[[ID_Antenne]:[Colonne2]],3,FALSE),"")</f>
        <v>-3.7720639999999999</v>
      </c>
      <c r="I115">
        <f>IFERROR(VLOOKUP(Logs_Reseau_Part5[[#This Row],[Cell_ID]],Registre_Maintenance_Part[[ID_Antenne]:[Colonne2]],4,FALSE),"")</f>
        <v>16.006277999999998</v>
      </c>
      <c r="J115" t="str">
        <f>IFERROR(VLOOKUP(Logs_Reseau_Part5[[#This Row],[Cell_ID]],Registre_Maintenance_Part[[ID_Antenne]:[Colonne2]],5,FALSE),"")</f>
        <v>5G</v>
      </c>
      <c r="K115" t="str">
        <f>IFERROR(VLOOKUP(Logs_Reseau_Part5[[#This Row],[Cell_ID]],Registre_Maintenance_Part[[ID_Antenne]:[Colonne2]],6,FALSE),"")</f>
        <v>ZTE</v>
      </c>
    </row>
    <row r="116" spans="1:11" x14ac:dyDescent="0.3">
      <c r="A116" t="s">
        <v>1026</v>
      </c>
      <c r="B116" s="1">
        <v>45220.11041666667</v>
      </c>
      <c r="C116" s="2">
        <v>45220.11041666667</v>
      </c>
      <c r="D116" t="s">
        <v>1029</v>
      </c>
      <c r="E116">
        <v>111</v>
      </c>
      <c r="F116" t="s">
        <v>739</v>
      </c>
      <c r="G116" t="str">
        <f>IFERROR(VLOOKUP(Logs_Reseau_Part5[[#This Row],[Cell_ID]],Registre_Maintenance_Part[[ID_Antenne]:[Colonne2]],2,FALSE),"")</f>
        <v>Ituri</v>
      </c>
      <c r="H116">
        <f>IFERROR(VLOOKUP(Logs_Reseau_Part5[[#This Row],[Cell_ID]],Registre_Maintenance_Part[[ID_Antenne]:[Colonne2]],3,FALSE),"")</f>
        <v>-4.1250960000000001</v>
      </c>
      <c r="I116">
        <f>IFERROR(VLOOKUP(Logs_Reseau_Part5[[#This Row],[Cell_ID]],Registre_Maintenance_Part[[ID_Antenne]:[Colonne2]],4,FALSE),"")</f>
        <v>27.799897999999999</v>
      </c>
      <c r="J116" t="str">
        <f>IFERROR(VLOOKUP(Logs_Reseau_Part5[[#This Row],[Cell_ID]],Registre_Maintenance_Part[[ID_Antenne]:[Colonne2]],5,FALSE),"")</f>
        <v>3G</v>
      </c>
      <c r="K116" t="str">
        <f>IFERROR(VLOOKUP(Logs_Reseau_Part5[[#This Row],[Cell_ID]],Registre_Maintenance_Part[[ID_Antenne]:[Colonne2]],6,FALSE),"")</f>
        <v>Nokia</v>
      </c>
    </row>
    <row r="117" spans="1:11" x14ac:dyDescent="0.3">
      <c r="A117" t="s">
        <v>1026</v>
      </c>
      <c r="B117" s="1">
        <v>45227.915277777778</v>
      </c>
      <c r="C117" s="2">
        <v>45227.915277777778</v>
      </c>
      <c r="D117" t="s">
        <v>1007</v>
      </c>
      <c r="E117">
        <v>26</v>
      </c>
      <c r="F117" t="s">
        <v>737</v>
      </c>
      <c r="G117" t="str">
        <f>IFERROR(VLOOKUP(Logs_Reseau_Part5[[#This Row],[Cell_ID]],Registre_Maintenance_Part[[ID_Antenne]:[Colonne2]],2,FALSE),"")</f>
        <v>Ituri</v>
      </c>
      <c r="H117">
        <f>IFERROR(VLOOKUP(Logs_Reseau_Part5[[#This Row],[Cell_ID]],Registre_Maintenance_Part[[ID_Antenne]:[Colonne2]],3,FALSE),"")</f>
        <v>-3.7720639999999999</v>
      </c>
      <c r="I117">
        <f>IFERROR(VLOOKUP(Logs_Reseau_Part5[[#This Row],[Cell_ID]],Registre_Maintenance_Part[[ID_Antenne]:[Colonne2]],4,FALSE),"")</f>
        <v>16.006277999999998</v>
      </c>
      <c r="J117" t="str">
        <f>IFERROR(VLOOKUP(Logs_Reseau_Part5[[#This Row],[Cell_ID]],Registre_Maintenance_Part[[ID_Antenne]:[Colonne2]],5,FALSE),"")</f>
        <v>5G</v>
      </c>
      <c r="K117" t="str">
        <f>IFERROR(VLOOKUP(Logs_Reseau_Part5[[#This Row],[Cell_ID]],Registre_Maintenance_Part[[ID_Antenne]:[Colonne2]],6,FALSE),"")</f>
        <v>ZTE</v>
      </c>
    </row>
    <row r="118" spans="1:11" x14ac:dyDescent="0.3">
      <c r="A118" t="s">
        <v>1347</v>
      </c>
      <c r="B118" s="1">
        <v>45228.880555555559</v>
      </c>
      <c r="C118" s="2">
        <v>45228.880555555559</v>
      </c>
      <c r="D118" t="s">
        <v>1029</v>
      </c>
      <c r="E118">
        <v>112</v>
      </c>
      <c r="F118" t="s">
        <v>739</v>
      </c>
      <c r="G118" t="str">
        <f>IFERROR(VLOOKUP(Logs_Reseau_Part5[[#This Row],[Cell_ID]],Registre_Maintenance_Part[[ID_Antenne]:[Colonne2]],2,FALSE),"")</f>
        <v>Ituri</v>
      </c>
      <c r="H118">
        <f>IFERROR(VLOOKUP(Logs_Reseau_Part5[[#This Row],[Cell_ID]],Registre_Maintenance_Part[[ID_Antenne]:[Colonne2]],3,FALSE),"")</f>
        <v>-4.1250960000000001</v>
      </c>
      <c r="I118">
        <f>IFERROR(VLOOKUP(Logs_Reseau_Part5[[#This Row],[Cell_ID]],Registre_Maintenance_Part[[ID_Antenne]:[Colonne2]],4,FALSE),"")</f>
        <v>27.799897999999999</v>
      </c>
      <c r="J118" t="str">
        <f>IFERROR(VLOOKUP(Logs_Reseau_Part5[[#This Row],[Cell_ID]],Registre_Maintenance_Part[[ID_Antenne]:[Colonne2]],5,FALSE),"")</f>
        <v>3G</v>
      </c>
      <c r="K118" t="str">
        <f>IFERROR(VLOOKUP(Logs_Reseau_Part5[[#This Row],[Cell_ID]],Registre_Maintenance_Part[[ID_Antenne]:[Colonne2]],6,FALSE),"")</f>
        <v>Nokia</v>
      </c>
    </row>
    <row r="119" spans="1:11" x14ac:dyDescent="0.3">
      <c r="A119" t="s">
        <v>1026</v>
      </c>
      <c r="B119" s="1">
        <v>45230.997916666667</v>
      </c>
      <c r="C119" s="2">
        <v>45230.997916666667</v>
      </c>
      <c r="D119" t="s">
        <v>1031</v>
      </c>
      <c r="E119">
        <v>72</v>
      </c>
      <c r="F119" t="s">
        <v>739</v>
      </c>
      <c r="G119" t="str">
        <f>IFERROR(VLOOKUP(Logs_Reseau_Part5[[#This Row],[Cell_ID]],Registre_Maintenance_Part[[ID_Antenne]:[Colonne2]],2,FALSE),"")</f>
        <v>Ituri</v>
      </c>
      <c r="H119">
        <f>IFERROR(VLOOKUP(Logs_Reseau_Part5[[#This Row],[Cell_ID]],Registre_Maintenance_Part[[ID_Antenne]:[Colonne2]],3,FALSE),"")</f>
        <v>-1.9120569999999999</v>
      </c>
      <c r="I119">
        <f>IFERROR(VLOOKUP(Logs_Reseau_Part5[[#This Row],[Cell_ID]],Registre_Maintenance_Part[[ID_Antenne]:[Colonne2]],4,FALSE),"")</f>
        <v>15.236072999999999</v>
      </c>
      <c r="J119" t="str">
        <f>IFERROR(VLOOKUP(Logs_Reseau_Part5[[#This Row],[Cell_ID]],Registre_Maintenance_Part[[ID_Antenne]:[Colonne2]],5,FALSE),"")</f>
        <v>5G</v>
      </c>
      <c r="K119" t="str">
        <f>IFERROR(VLOOKUP(Logs_Reseau_Part5[[#This Row],[Cell_ID]],Registre_Maintenance_Part[[ID_Antenne]:[Colonne2]],6,FALSE),"")</f>
        <v>Huawei</v>
      </c>
    </row>
    <row r="120" spans="1:11" x14ac:dyDescent="0.3">
      <c r="A120" t="s">
        <v>1290</v>
      </c>
      <c r="B120" s="1">
        <v>45200.078472222223</v>
      </c>
      <c r="C120" s="2">
        <v>45200.078472222223</v>
      </c>
      <c r="D120" t="s">
        <v>972</v>
      </c>
      <c r="E120">
        <v>40</v>
      </c>
      <c r="F120" t="s">
        <v>734</v>
      </c>
      <c r="G120" t="str">
        <f>IFERROR(VLOOKUP(Logs_Reseau_Part5[[#This Row],[Cell_ID]],Registre_Maintenance_Part[[ID_Antenne]:[Colonne2]],2,FALSE),"")</f>
        <v>Kasai</v>
      </c>
      <c r="H120">
        <f>IFERROR(VLOOKUP(Logs_Reseau_Part5[[#This Row],[Cell_ID]],Registre_Maintenance_Part[[ID_Antenne]:[Colonne2]],3,FALSE),"")</f>
        <v>-10.165072</v>
      </c>
      <c r="I120">
        <f>IFERROR(VLOOKUP(Logs_Reseau_Part5[[#This Row],[Cell_ID]],Registre_Maintenance_Part[[ID_Antenne]:[Colonne2]],4,FALSE),"")</f>
        <v>29.428024000000001</v>
      </c>
      <c r="J120" t="str">
        <f>IFERROR(VLOOKUP(Logs_Reseau_Part5[[#This Row],[Cell_ID]],Registre_Maintenance_Part[[ID_Antenne]:[Colonne2]],5,FALSE),"")</f>
        <v>5G</v>
      </c>
      <c r="K120" t="str">
        <f>IFERROR(VLOOKUP(Logs_Reseau_Part5[[#This Row],[Cell_ID]],Registre_Maintenance_Part[[ID_Antenne]:[Colonne2]],6,FALSE),"")</f>
        <v>Huawei</v>
      </c>
    </row>
    <row r="121" spans="1:11" x14ac:dyDescent="0.3">
      <c r="A121" t="s">
        <v>904</v>
      </c>
      <c r="B121" s="1">
        <v>45205.052777777782</v>
      </c>
      <c r="C121" s="2">
        <v>45205.052777777782</v>
      </c>
      <c r="D121" t="s">
        <v>767</v>
      </c>
      <c r="E121">
        <v>102</v>
      </c>
      <c r="F121" t="s">
        <v>737</v>
      </c>
      <c r="G121" t="str">
        <f>IFERROR(VLOOKUP(Logs_Reseau_Part5[[#This Row],[Cell_ID]],Registre_Maintenance_Part[[ID_Antenne]:[Colonne2]],2,FALSE),"")</f>
        <v>Kasai</v>
      </c>
      <c r="H121">
        <f>IFERROR(VLOOKUP(Logs_Reseau_Part5[[#This Row],[Cell_ID]],Registre_Maintenance_Part[[ID_Antenne]:[Colonne2]],3,FALSE),"")</f>
        <v>-4.9789079999999997</v>
      </c>
      <c r="I121">
        <f>IFERROR(VLOOKUP(Logs_Reseau_Part5[[#This Row],[Cell_ID]],Registre_Maintenance_Part[[ID_Antenne]:[Colonne2]],4,FALSE),"")</f>
        <v>28.506295000000001</v>
      </c>
      <c r="J121" t="str">
        <f>IFERROR(VLOOKUP(Logs_Reseau_Part5[[#This Row],[Cell_ID]],Registre_Maintenance_Part[[ID_Antenne]:[Colonne2]],5,FALSE),"")</f>
        <v>4G</v>
      </c>
      <c r="K121" t="str">
        <f>IFERROR(VLOOKUP(Logs_Reseau_Part5[[#This Row],[Cell_ID]],Registre_Maintenance_Part[[ID_Antenne]:[Colonne2]],6,FALSE),"")</f>
        <v>Huawei</v>
      </c>
    </row>
    <row r="122" spans="1:11" x14ac:dyDescent="0.3">
      <c r="A122" t="s">
        <v>1061</v>
      </c>
      <c r="B122" s="1">
        <v>45205.169444444437</v>
      </c>
      <c r="C122" s="2">
        <v>45205.169444444437</v>
      </c>
      <c r="D122" t="s">
        <v>1081</v>
      </c>
      <c r="E122">
        <v>18</v>
      </c>
      <c r="F122" t="s">
        <v>737</v>
      </c>
      <c r="G122" t="str">
        <f>IFERROR(VLOOKUP(Logs_Reseau_Part5[[#This Row],[Cell_ID]],Registre_Maintenance_Part[[ID_Antenne]:[Colonne2]],2,FALSE),"")</f>
        <v>Kasai</v>
      </c>
      <c r="H122">
        <f>IFERROR(VLOOKUP(Logs_Reseau_Part5[[#This Row],[Cell_ID]],Registre_Maintenance_Part[[ID_Antenne]:[Colonne2]],3,FALSE),"")</f>
        <v>4.8689660000000003</v>
      </c>
      <c r="I122">
        <f>IFERROR(VLOOKUP(Logs_Reseau_Part5[[#This Row],[Cell_ID]],Registre_Maintenance_Part[[ID_Antenne]:[Colonne2]],4,FALSE),"")</f>
        <v>25.112373000000002</v>
      </c>
      <c r="J122" t="str">
        <f>IFERROR(VLOOKUP(Logs_Reseau_Part5[[#This Row],[Cell_ID]],Registre_Maintenance_Part[[ID_Antenne]:[Colonne2]],5,FALSE),"")</f>
        <v>3G</v>
      </c>
      <c r="K122" t="str">
        <f>IFERROR(VLOOKUP(Logs_Reseau_Part5[[#This Row],[Cell_ID]],Registre_Maintenance_Part[[ID_Antenne]:[Colonne2]],6,FALSE),"")</f>
        <v>Huawei</v>
      </c>
    </row>
    <row r="123" spans="1:11" x14ac:dyDescent="0.3">
      <c r="A123" t="s">
        <v>904</v>
      </c>
      <c r="B123" s="1">
        <v>45208.169444444437</v>
      </c>
      <c r="C123" s="2">
        <v>45208.169444444437</v>
      </c>
      <c r="D123" t="s">
        <v>932</v>
      </c>
      <c r="E123">
        <v>47</v>
      </c>
      <c r="F123" t="s">
        <v>734</v>
      </c>
      <c r="G123" t="str">
        <f>IFERROR(VLOOKUP(Logs_Reseau_Part5[[#This Row],[Cell_ID]],Registre_Maintenance_Part[[ID_Antenne]:[Colonne2]],2,FALSE),"")</f>
        <v>Kasai</v>
      </c>
      <c r="H123">
        <f>IFERROR(VLOOKUP(Logs_Reseau_Part5[[#This Row],[Cell_ID]],Registre_Maintenance_Part[[ID_Antenne]:[Colonne2]],3,FALSE),"")</f>
        <v>-4.351254</v>
      </c>
      <c r="I123">
        <f>IFERROR(VLOOKUP(Logs_Reseau_Part5[[#This Row],[Cell_ID]],Registre_Maintenance_Part[[ID_Antenne]:[Colonne2]],4,FALSE),"")</f>
        <v>30.097408999999999</v>
      </c>
      <c r="J123" t="str">
        <f>IFERROR(VLOOKUP(Logs_Reseau_Part5[[#This Row],[Cell_ID]],Registre_Maintenance_Part[[ID_Antenne]:[Colonne2]],5,FALSE),"")</f>
        <v>5G</v>
      </c>
      <c r="K123" t="str">
        <f>IFERROR(VLOOKUP(Logs_Reseau_Part5[[#This Row],[Cell_ID]],Registre_Maintenance_Part[[ID_Antenne]:[Colonne2]],6,FALSE),"")</f>
        <v>Nokia</v>
      </c>
    </row>
    <row r="124" spans="1:11" x14ac:dyDescent="0.3">
      <c r="A124" t="s">
        <v>1263</v>
      </c>
      <c r="B124" s="1">
        <v>45209.907638888893</v>
      </c>
      <c r="C124" s="2">
        <v>45209.907638888893</v>
      </c>
      <c r="D124" t="s">
        <v>1266</v>
      </c>
      <c r="E124">
        <v>99</v>
      </c>
      <c r="F124" t="s">
        <v>739</v>
      </c>
      <c r="G124" t="str">
        <f>IFERROR(VLOOKUP(Logs_Reseau_Part5[[#This Row],[Cell_ID]],Registre_Maintenance_Part[[ID_Antenne]:[Colonne2]],2,FALSE),"")</f>
        <v>Kasai</v>
      </c>
      <c r="H124">
        <f>IFERROR(VLOOKUP(Logs_Reseau_Part5[[#This Row],[Cell_ID]],Registre_Maintenance_Part[[ID_Antenne]:[Colonne2]],3,FALSE),"")</f>
        <v>-7.6757720000000003</v>
      </c>
      <c r="I124">
        <f>IFERROR(VLOOKUP(Logs_Reseau_Part5[[#This Row],[Cell_ID]],Registre_Maintenance_Part[[ID_Antenne]:[Colonne2]],4,FALSE),"")</f>
        <v>30.222971000000001</v>
      </c>
      <c r="J124" t="str">
        <f>IFERROR(VLOOKUP(Logs_Reseau_Part5[[#This Row],[Cell_ID]],Registre_Maintenance_Part[[ID_Antenne]:[Colonne2]],5,FALSE),"")</f>
        <v>5G</v>
      </c>
      <c r="K124" t="str">
        <f>IFERROR(VLOOKUP(Logs_Reseau_Part5[[#This Row],[Cell_ID]],Registre_Maintenance_Part[[ID_Antenne]:[Colonne2]],6,FALSE),"")</f>
        <v>Ericsson</v>
      </c>
    </row>
    <row r="125" spans="1:11" x14ac:dyDescent="0.3">
      <c r="A125" t="s">
        <v>1116</v>
      </c>
      <c r="B125" s="1">
        <v>45210.895833333343</v>
      </c>
      <c r="C125" s="2">
        <v>45210.895833333343</v>
      </c>
      <c r="D125" t="s">
        <v>932</v>
      </c>
      <c r="E125">
        <v>110</v>
      </c>
      <c r="F125" t="s">
        <v>739</v>
      </c>
      <c r="G125" t="str">
        <f>IFERROR(VLOOKUP(Logs_Reseau_Part5[[#This Row],[Cell_ID]],Registre_Maintenance_Part[[ID_Antenne]:[Colonne2]],2,FALSE),"")</f>
        <v>Kasai</v>
      </c>
      <c r="H125">
        <f>IFERROR(VLOOKUP(Logs_Reseau_Part5[[#This Row],[Cell_ID]],Registre_Maintenance_Part[[ID_Antenne]:[Colonne2]],3,FALSE),"")</f>
        <v>-4.351254</v>
      </c>
      <c r="I125">
        <f>IFERROR(VLOOKUP(Logs_Reseau_Part5[[#This Row],[Cell_ID]],Registre_Maintenance_Part[[ID_Antenne]:[Colonne2]],4,FALSE),"")</f>
        <v>30.097408999999999</v>
      </c>
      <c r="J125" t="str">
        <f>IFERROR(VLOOKUP(Logs_Reseau_Part5[[#This Row],[Cell_ID]],Registre_Maintenance_Part[[ID_Antenne]:[Colonne2]],5,FALSE),"")</f>
        <v>5G</v>
      </c>
      <c r="K125" t="str">
        <f>IFERROR(VLOOKUP(Logs_Reseau_Part5[[#This Row],[Cell_ID]],Registre_Maintenance_Part[[ID_Antenne]:[Colonne2]],6,FALSE),"")</f>
        <v>Nokia</v>
      </c>
    </row>
    <row r="126" spans="1:11" x14ac:dyDescent="0.3">
      <c r="A126" t="s">
        <v>1332</v>
      </c>
      <c r="B126" s="1">
        <v>45215.776388888888</v>
      </c>
      <c r="C126" s="2">
        <v>45215.776388888888</v>
      </c>
      <c r="D126" t="s">
        <v>1333</v>
      </c>
      <c r="E126">
        <v>87</v>
      </c>
      <c r="F126" t="s">
        <v>739</v>
      </c>
      <c r="G126" t="str">
        <f>IFERROR(VLOOKUP(Logs_Reseau_Part5[[#This Row],[Cell_ID]],Registre_Maintenance_Part[[ID_Antenne]:[Colonne2]],2,FALSE),"")</f>
        <v>Kasai</v>
      </c>
      <c r="H126">
        <f>IFERROR(VLOOKUP(Logs_Reseau_Part5[[#This Row],[Cell_ID]],Registre_Maintenance_Part[[ID_Antenne]:[Colonne2]],3,FALSE),"")</f>
        <v>2.5665840000000002</v>
      </c>
      <c r="I126">
        <f>IFERROR(VLOOKUP(Logs_Reseau_Part5[[#This Row],[Cell_ID]],Registre_Maintenance_Part[[ID_Antenne]:[Colonne2]],4,FALSE),"")</f>
        <v>15.764796</v>
      </c>
      <c r="J126" t="str">
        <f>IFERROR(VLOOKUP(Logs_Reseau_Part5[[#This Row],[Cell_ID]],Registre_Maintenance_Part[[ID_Antenne]:[Colonne2]],5,FALSE),"")</f>
        <v>3G</v>
      </c>
      <c r="K126" t="str">
        <f>IFERROR(VLOOKUP(Logs_Reseau_Part5[[#This Row],[Cell_ID]],Registre_Maintenance_Part[[ID_Antenne]:[Colonne2]],6,FALSE),"")</f>
        <v>ZTE</v>
      </c>
    </row>
    <row r="127" spans="1:11" x14ac:dyDescent="0.3">
      <c r="A127" t="s">
        <v>1221</v>
      </c>
      <c r="B127" s="1">
        <v>45216.232638888891</v>
      </c>
      <c r="C127" s="2">
        <v>45216.232638888891</v>
      </c>
      <c r="D127" t="s">
        <v>1231</v>
      </c>
      <c r="E127">
        <v>11</v>
      </c>
      <c r="F127" t="s">
        <v>739</v>
      </c>
      <c r="G127" t="str">
        <f>IFERROR(VLOOKUP(Logs_Reseau_Part5[[#This Row],[Cell_ID]],Registre_Maintenance_Part[[ID_Antenne]:[Colonne2]],2,FALSE),"")</f>
        <v>Kasai</v>
      </c>
      <c r="H127">
        <f>IFERROR(VLOOKUP(Logs_Reseau_Part5[[#This Row],[Cell_ID]],Registre_Maintenance_Part[[ID_Antenne]:[Colonne2]],3,FALSE),"")</f>
        <v>-3.8119990000000001</v>
      </c>
      <c r="I127">
        <f>IFERROR(VLOOKUP(Logs_Reseau_Part5[[#This Row],[Cell_ID]],Registre_Maintenance_Part[[ID_Antenne]:[Colonne2]],4,FALSE),"")</f>
        <v>20.420048000000001</v>
      </c>
      <c r="J127" t="str">
        <f>IFERROR(VLOOKUP(Logs_Reseau_Part5[[#This Row],[Cell_ID]],Registre_Maintenance_Part[[ID_Antenne]:[Colonne2]],5,FALSE),"")</f>
        <v>3G</v>
      </c>
      <c r="K127" t="str">
        <f>IFERROR(VLOOKUP(Logs_Reseau_Part5[[#This Row],[Cell_ID]],Registre_Maintenance_Part[[ID_Antenne]:[Colonne2]],6,FALSE),"")</f>
        <v>ZTE</v>
      </c>
    </row>
    <row r="128" spans="1:11" x14ac:dyDescent="0.3">
      <c r="A128" t="s">
        <v>732</v>
      </c>
      <c r="B128" s="1">
        <v>45217.96875</v>
      </c>
      <c r="C128" s="2">
        <v>45217.96875</v>
      </c>
      <c r="D128" t="s">
        <v>769</v>
      </c>
      <c r="E128">
        <v>97</v>
      </c>
      <c r="F128" t="s">
        <v>737</v>
      </c>
      <c r="G128" t="str">
        <f>IFERROR(VLOOKUP(Logs_Reseau_Part5[[#This Row],[Cell_ID]],Registre_Maintenance_Part[[ID_Antenne]:[Colonne2]],2,FALSE),"")</f>
        <v>Kasai</v>
      </c>
      <c r="H128">
        <f>IFERROR(VLOOKUP(Logs_Reseau_Part5[[#This Row],[Cell_ID]],Registre_Maintenance_Part[[ID_Antenne]:[Colonne2]],3,FALSE),"")</f>
        <v>-10.059846</v>
      </c>
      <c r="I128">
        <f>IFERROR(VLOOKUP(Logs_Reseau_Part5[[#This Row],[Cell_ID]],Registre_Maintenance_Part[[ID_Antenne]:[Colonne2]],4,FALSE),"")</f>
        <v>14.375757999999999</v>
      </c>
      <c r="J128" t="str">
        <f>IFERROR(VLOOKUP(Logs_Reseau_Part5[[#This Row],[Cell_ID]],Registre_Maintenance_Part[[ID_Antenne]:[Colonne2]],5,FALSE),"")</f>
        <v>4G</v>
      </c>
      <c r="K128" t="str">
        <f>IFERROR(VLOOKUP(Logs_Reseau_Part5[[#This Row],[Cell_ID]],Registre_Maintenance_Part[[ID_Antenne]:[Colonne2]],6,FALSE),"")</f>
        <v>Huawei</v>
      </c>
    </row>
    <row r="129" spans="1:11" x14ac:dyDescent="0.3">
      <c r="A129" t="s">
        <v>941</v>
      </c>
      <c r="B129" s="1">
        <v>45221.313194444447</v>
      </c>
      <c r="C129" s="2">
        <v>45221.313194444447</v>
      </c>
      <c r="D129" t="s">
        <v>972</v>
      </c>
      <c r="E129">
        <v>34</v>
      </c>
      <c r="F129" t="s">
        <v>737</v>
      </c>
      <c r="G129" t="str">
        <f>IFERROR(VLOOKUP(Logs_Reseau_Part5[[#This Row],[Cell_ID]],Registre_Maintenance_Part[[ID_Antenne]:[Colonne2]],2,FALSE),"")</f>
        <v>Kasai</v>
      </c>
      <c r="H129">
        <f>IFERROR(VLOOKUP(Logs_Reseau_Part5[[#This Row],[Cell_ID]],Registre_Maintenance_Part[[ID_Antenne]:[Colonne2]],3,FALSE),"")</f>
        <v>-10.165072</v>
      </c>
      <c r="I129">
        <f>IFERROR(VLOOKUP(Logs_Reseau_Part5[[#This Row],[Cell_ID]],Registre_Maintenance_Part[[ID_Antenne]:[Colonne2]],4,FALSE),"")</f>
        <v>29.428024000000001</v>
      </c>
      <c r="J129" t="str">
        <f>IFERROR(VLOOKUP(Logs_Reseau_Part5[[#This Row],[Cell_ID]],Registre_Maintenance_Part[[ID_Antenne]:[Colonne2]],5,FALSE),"")</f>
        <v>5G</v>
      </c>
      <c r="K129" t="str">
        <f>IFERROR(VLOOKUP(Logs_Reseau_Part5[[#This Row],[Cell_ID]],Registre_Maintenance_Part[[ID_Antenne]:[Colonne2]],6,FALSE),"")</f>
        <v>Huawei</v>
      </c>
    </row>
    <row r="130" spans="1:11" x14ac:dyDescent="0.3">
      <c r="A130" t="s">
        <v>732</v>
      </c>
      <c r="B130" s="1">
        <v>45221.836111111108</v>
      </c>
      <c r="C130" s="2">
        <v>45221.836111111108</v>
      </c>
      <c r="D130" t="s">
        <v>767</v>
      </c>
      <c r="E130">
        <v>6</v>
      </c>
      <c r="F130" t="s">
        <v>739</v>
      </c>
      <c r="G130" t="str">
        <f>IFERROR(VLOOKUP(Logs_Reseau_Part5[[#This Row],[Cell_ID]],Registre_Maintenance_Part[[ID_Antenne]:[Colonne2]],2,FALSE),"")</f>
        <v>Kasai</v>
      </c>
      <c r="H130">
        <f>IFERROR(VLOOKUP(Logs_Reseau_Part5[[#This Row],[Cell_ID]],Registre_Maintenance_Part[[ID_Antenne]:[Colonne2]],3,FALSE),"")</f>
        <v>-4.9789079999999997</v>
      </c>
      <c r="I130">
        <f>IFERROR(VLOOKUP(Logs_Reseau_Part5[[#This Row],[Cell_ID]],Registre_Maintenance_Part[[ID_Antenne]:[Colonne2]],4,FALSE),"")</f>
        <v>28.506295000000001</v>
      </c>
      <c r="J130" t="str">
        <f>IFERROR(VLOOKUP(Logs_Reseau_Part5[[#This Row],[Cell_ID]],Registre_Maintenance_Part[[ID_Antenne]:[Colonne2]],5,FALSE),"")</f>
        <v>4G</v>
      </c>
      <c r="K130" t="str">
        <f>IFERROR(VLOOKUP(Logs_Reseau_Part5[[#This Row],[Cell_ID]],Registre_Maintenance_Part[[ID_Antenne]:[Colonne2]],6,FALSE),"")</f>
        <v>Huawei</v>
      </c>
    </row>
    <row r="131" spans="1:11" x14ac:dyDescent="0.3">
      <c r="A131" t="s">
        <v>941</v>
      </c>
      <c r="B131" s="1">
        <v>45225.622916666667</v>
      </c>
      <c r="C131" s="2">
        <v>45225.622916666667</v>
      </c>
      <c r="D131" t="s">
        <v>972</v>
      </c>
      <c r="E131">
        <v>86</v>
      </c>
      <c r="F131" t="s">
        <v>734</v>
      </c>
      <c r="G131" t="str">
        <f>IFERROR(VLOOKUP(Logs_Reseau_Part5[[#This Row],[Cell_ID]],Registre_Maintenance_Part[[ID_Antenne]:[Colonne2]],2,FALSE),"")</f>
        <v>Kasai</v>
      </c>
      <c r="H131">
        <f>IFERROR(VLOOKUP(Logs_Reseau_Part5[[#This Row],[Cell_ID]],Registre_Maintenance_Part[[ID_Antenne]:[Colonne2]],3,FALSE),"")</f>
        <v>-10.165072</v>
      </c>
      <c r="I131">
        <f>IFERROR(VLOOKUP(Logs_Reseau_Part5[[#This Row],[Cell_ID]],Registre_Maintenance_Part[[ID_Antenne]:[Colonne2]],4,FALSE),"")</f>
        <v>29.428024000000001</v>
      </c>
      <c r="J131" t="str">
        <f>IFERROR(VLOOKUP(Logs_Reseau_Part5[[#This Row],[Cell_ID]],Registre_Maintenance_Part[[ID_Antenne]:[Colonne2]],5,FALSE),"")</f>
        <v>5G</v>
      </c>
      <c r="K131" t="str">
        <f>IFERROR(VLOOKUP(Logs_Reseau_Part5[[#This Row],[Cell_ID]],Registre_Maintenance_Part[[ID_Antenne]:[Colonne2]],6,FALSE),"")</f>
        <v>Huawei</v>
      </c>
    </row>
    <row r="132" spans="1:11" x14ac:dyDescent="0.3">
      <c r="A132" t="s">
        <v>732</v>
      </c>
      <c r="B132" s="1">
        <v>45202.259722222218</v>
      </c>
      <c r="C132" s="2">
        <v>45202.259722222218</v>
      </c>
      <c r="D132" t="s">
        <v>742</v>
      </c>
      <c r="E132">
        <v>79</v>
      </c>
      <c r="F132" t="s">
        <v>734</v>
      </c>
      <c r="G132" t="str">
        <f>IFERROR(VLOOKUP(Logs_Reseau_Part5[[#This Row],[Cell_ID]],Registre_Maintenance_Part[[ID_Antenne]:[Colonne2]],2,FALSE),"")</f>
        <v>Kasai-Central</v>
      </c>
      <c r="H132">
        <f>IFERROR(VLOOKUP(Logs_Reseau_Part5[[#This Row],[Cell_ID]],Registre_Maintenance_Part[[ID_Antenne]:[Colonne2]],3,FALSE),"")</f>
        <v>-1.648264</v>
      </c>
      <c r="I132">
        <f>IFERROR(VLOOKUP(Logs_Reseau_Part5[[#This Row],[Cell_ID]],Registre_Maintenance_Part[[ID_Antenne]:[Colonne2]],4,FALSE),"")</f>
        <v>28.866143999999998</v>
      </c>
      <c r="J132" t="str">
        <f>IFERROR(VLOOKUP(Logs_Reseau_Part5[[#This Row],[Cell_ID]],Registre_Maintenance_Part[[ID_Antenne]:[Colonne2]],5,FALSE),"")</f>
        <v>5G</v>
      </c>
      <c r="K132" t="str">
        <f>IFERROR(VLOOKUP(Logs_Reseau_Part5[[#This Row],[Cell_ID]],Registre_Maintenance_Part[[ID_Antenne]:[Colonne2]],6,FALSE),"")</f>
        <v>Ericsson</v>
      </c>
    </row>
    <row r="133" spans="1:11" x14ac:dyDescent="0.3">
      <c r="A133" t="s">
        <v>1310</v>
      </c>
      <c r="B133" s="1">
        <v>45202.747916666667</v>
      </c>
      <c r="C133" s="2">
        <v>45202.747916666667</v>
      </c>
      <c r="D133" t="s">
        <v>880</v>
      </c>
      <c r="E133">
        <v>28</v>
      </c>
      <c r="F133" t="s">
        <v>737</v>
      </c>
      <c r="G133" t="str">
        <f>IFERROR(VLOOKUP(Logs_Reseau_Part5[[#This Row],[Cell_ID]],Registre_Maintenance_Part[[ID_Antenne]:[Colonne2]],2,FALSE),"")</f>
        <v>Kasai-Central</v>
      </c>
      <c r="H133">
        <f>IFERROR(VLOOKUP(Logs_Reseau_Part5[[#This Row],[Cell_ID]],Registre_Maintenance_Part[[ID_Antenne]:[Colonne2]],3,FALSE),"")</f>
        <v>-3.111418</v>
      </c>
      <c r="I133">
        <f>IFERROR(VLOOKUP(Logs_Reseau_Part5[[#This Row],[Cell_ID]],Registre_Maintenance_Part[[ID_Antenne]:[Colonne2]],4,FALSE),"")</f>
        <v>14.144854</v>
      </c>
      <c r="J133" t="str">
        <f>IFERROR(VLOOKUP(Logs_Reseau_Part5[[#This Row],[Cell_ID]],Registre_Maintenance_Part[[ID_Antenne]:[Colonne2]],5,FALSE),"")</f>
        <v>4G</v>
      </c>
      <c r="K133" t="str">
        <f>IFERROR(VLOOKUP(Logs_Reseau_Part5[[#This Row],[Cell_ID]],Registre_Maintenance_Part[[ID_Antenne]:[Colonne2]],6,FALSE),"")</f>
        <v>ZTE</v>
      </c>
    </row>
    <row r="134" spans="1:11" x14ac:dyDescent="0.3">
      <c r="A134" t="s">
        <v>1116</v>
      </c>
      <c r="B134" s="1">
        <v>45203.250694444447</v>
      </c>
      <c r="C134" s="2">
        <v>45203.250694444447</v>
      </c>
      <c r="D134" t="s">
        <v>865</v>
      </c>
      <c r="E134">
        <v>49</v>
      </c>
      <c r="F134" t="s">
        <v>737</v>
      </c>
      <c r="G134" t="str">
        <f>IFERROR(VLOOKUP(Logs_Reseau_Part5[[#This Row],[Cell_ID]],Registre_Maintenance_Part[[ID_Antenne]:[Colonne2]],2,FALSE),"")</f>
        <v>Kasai-Central</v>
      </c>
      <c r="H134">
        <f>IFERROR(VLOOKUP(Logs_Reseau_Part5[[#This Row],[Cell_ID]],Registre_Maintenance_Part[[ID_Antenne]:[Colonne2]],3,FALSE),"")</f>
        <v>-10.414493</v>
      </c>
      <c r="I134">
        <f>IFERROR(VLOOKUP(Logs_Reseau_Part5[[#This Row],[Cell_ID]],Registre_Maintenance_Part[[ID_Antenne]:[Colonne2]],4,FALSE),"")</f>
        <v>12.333356999999999</v>
      </c>
      <c r="J134" t="str">
        <f>IFERROR(VLOOKUP(Logs_Reseau_Part5[[#This Row],[Cell_ID]],Registre_Maintenance_Part[[ID_Antenne]:[Colonne2]],5,FALSE),"")</f>
        <v>3G</v>
      </c>
      <c r="K134" t="str">
        <f>IFERROR(VLOOKUP(Logs_Reseau_Part5[[#This Row],[Cell_ID]],Registre_Maintenance_Part[[ID_Antenne]:[Colonne2]],6,FALSE),"")</f>
        <v>Ericsson</v>
      </c>
    </row>
    <row r="135" spans="1:11" x14ac:dyDescent="0.3">
      <c r="A135" t="s">
        <v>1116</v>
      </c>
      <c r="B135" s="1">
        <v>45204.572222222218</v>
      </c>
      <c r="C135" s="2">
        <v>45204.572222222218</v>
      </c>
      <c r="D135" t="s">
        <v>880</v>
      </c>
      <c r="E135">
        <v>88</v>
      </c>
      <c r="F135" t="s">
        <v>739</v>
      </c>
      <c r="G135" t="str">
        <f>IFERROR(VLOOKUP(Logs_Reseau_Part5[[#This Row],[Cell_ID]],Registre_Maintenance_Part[[ID_Antenne]:[Colonne2]],2,FALSE),"")</f>
        <v>Kasai-Central</v>
      </c>
      <c r="H135">
        <f>IFERROR(VLOOKUP(Logs_Reseau_Part5[[#This Row],[Cell_ID]],Registre_Maintenance_Part[[ID_Antenne]:[Colonne2]],3,FALSE),"")</f>
        <v>-3.111418</v>
      </c>
      <c r="I135">
        <f>IFERROR(VLOOKUP(Logs_Reseau_Part5[[#This Row],[Cell_ID]],Registre_Maintenance_Part[[ID_Antenne]:[Colonne2]],4,FALSE),"")</f>
        <v>14.144854</v>
      </c>
      <c r="J135" t="str">
        <f>IFERROR(VLOOKUP(Logs_Reseau_Part5[[#This Row],[Cell_ID]],Registre_Maintenance_Part[[ID_Antenne]:[Colonne2]],5,FALSE),"")</f>
        <v>4G</v>
      </c>
      <c r="K135" t="str">
        <f>IFERROR(VLOOKUP(Logs_Reseau_Part5[[#This Row],[Cell_ID]],Registre_Maintenance_Part[[ID_Antenne]:[Colonne2]],6,FALSE),"")</f>
        <v>ZTE</v>
      </c>
    </row>
    <row r="136" spans="1:11" x14ac:dyDescent="0.3">
      <c r="A136" t="s">
        <v>1221</v>
      </c>
      <c r="B136" s="1">
        <v>45204.76666666667</v>
      </c>
      <c r="C136" s="2">
        <v>45204.76666666667</v>
      </c>
      <c r="D136" t="s">
        <v>1242</v>
      </c>
      <c r="E136">
        <v>9</v>
      </c>
      <c r="F136" t="s">
        <v>739</v>
      </c>
      <c r="G136" t="str">
        <f>IFERROR(VLOOKUP(Logs_Reseau_Part5[[#This Row],[Cell_ID]],Registre_Maintenance_Part[[ID_Antenne]:[Colonne2]],2,FALSE),"")</f>
        <v>Kasai-Central</v>
      </c>
      <c r="H136">
        <f>IFERROR(VLOOKUP(Logs_Reseau_Part5[[#This Row],[Cell_ID]],Registre_Maintenance_Part[[ID_Antenne]:[Colonne2]],3,FALSE),"")</f>
        <v>-12.560556999999999</v>
      </c>
      <c r="I136">
        <f>IFERROR(VLOOKUP(Logs_Reseau_Part5[[#This Row],[Cell_ID]],Registre_Maintenance_Part[[ID_Antenne]:[Colonne2]],4,FALSE),"")</f>
        <v>13.204014000000001</v>
      </c>
      <c r="J136" t="str">
        <f>IFERROR(VLOOKUP(Logs_Reseau_Part5[[#This Row],[Cell_ID]],Registre_Maintenance_Part[[ID_Antenne]:[Colonne2]],5,FALSE),"")</f>
        <v>4G</v>
      </c>
      <c r="K136" t="str">
        <f>IFERROR(VLOOKUP(Logs_Reseau_Part5[[#This Row],[Cell_ID]],Registre_Maintenance_Part[[ID_Antenne]:[Colonne2]],6,FALSE),"")</f>
        <v>Ericsson</v>
      </c>
    </row>
    <row r="137" spans="1:11" x14ac:dyDescent="0.3">
      <c r="A137" t="s">
        <v>863</v>
      </c>
      <c r="B137" s="1">
        <v>45204.81527777778</v>
      </c>
      <c r="C137" s="2">
        <v>45204.81527777778</v>
      </c>
      <c r="D137" t="s">
        <v>865</v>
      </c>
      <c r="E137">
        <v>71</v>
      </c>
      <c r="F137" t="s">
        <v>739</v>
      </c>
      <c r="G137" t="str">
        <f>IFERROR(VLOOKUP(Logs_Reseau_Part5[[#This Row],[Cell_ID]],Registre_Maintenance_Part[[ID_Antenne]:[Colonne2]],2,FALSE),"")</f>
        <v>Kasai-Central</v>
      </c>
      <c r="H137">
        <f>IFERROR(VLOOKUP(Logs_Reseau_Part5[[#This Row],[Cell_ID]],Registre_Maintenance_Part[[ID_Antenne]:[Colonne2]],3,FALSE),"")</f>
        <v>-10.414493</v>
      </c>
      <c r="I137">
        <f>IFERROR(VLOOKUP(Logs_Reseau_Part5[[#This Row],[Cell_ID]],Registre_Maintenance_Part[[ID_Antenne]:[Colonne2]],4,FALSE),"")</f>
        <v>12.333356999999999</v>
      </c>
      <c r="J137" t="str">
        <f>IFERROR(VLOOKUP(Logs_Reseau_Part5[[#This Row],[Cell_ID]],Registre_Maintenance_Part[[ID_Antenne]:[Colonne2]],5,FALSE),"")</f>
        <v>3G</v>
      </c>
      <c r="K137" t="str">
        <f>IFERROR(VLOOKUP(Logs_Reseau_Part5[[#This Row],[Cell_ID]],Registre_Maintenance_Part[[ID_Antenne]:[Colonne2]],6,FALSE),"")</f>
        <v>Ericsson</v>
      </c>
    </row>
    <row r="138" spans="1:11" x14ac:dyDescent="0.3">
      <c r="A138" t="s">
        <v>863</v>
      </c>
      <c r="B138" s="1">
        <v>45206.027083333327</v>
      </c>
      <c r="C138" s="2">
        <v>45206.027083333327</v>
      </c>
      <c r="D138" t="s">
        <v>880</v>
      </c>
      <c r="E138">
        <v>36</v>
      </c>
      <c r="F138" t="s">
        <v>739</v>
      </c>
      <c r="G138" t="str">
        <f>IFERROR(VLOOKUP(Logs_Reseau_Part5[[#This Row],[Cell_ID]],Registre_Maintenance_Part[[ID_Antenne]:[Colonne2]],2,FALSE),"")</f>
        <v>Kasai-Central</v>
      </c>
      <c r="H138">
        <f>IFERROR(VLOOKUP(Logs_Reseau_Part5[[#This Row],[Cell_ID]],Registre_Maintenance_Part[[ID_Antenne]:[Colonne2]],3,FALSE),"")</f>
        <v>-3.111418</v>
      </c>
      <c r="I138">
        <f>IFERROR(VLOOKUP(Logs_Reseau_Part5[[#This Row],[Cell_ID]],Registre_Maintenance_Part[[ID_Antenne]:[Colonne2]],4,FALSE),"")</f>
        <v>14.144854</v>
      </c>
      <c r="J138" t="str">
        <f>IFERROR(VLOOKUP(Logs_Reseau_Part5[[#This Row],[Cell_ID]],Registre_Maintenance_Part[[ID_Antenne]:[Colonne2]],5,FALSE),"")</f>
        <v>4G</v>
      </c>
      <c r="K138" t="str">
        <f>IFERROR(VLOOKUP(Logs_Reseau_Part5[[#This Row],[Cell_ID]],Registre_Maintenance_Part[[ID_Antenne]:[Colonne2]],6,FALSE),"")</f>
        <v>ZTE</v>
      </c>
    </row>
    <row r="139" spans="1:11" x14ac:dyDescent="0.3">
      <c r="A139" t="s">
        <v>1140</v>
      </c>
      <c r="B139" s="1">
        <v>45207.011111111111</v>
      </c>
      <c r="C139" s="2">
        <v>45207.011111111111</v>
      </c>
      <c r="D139" t="s">
        <v>1144</v>
      </c>
      <c r="E139">
        <v>32</v>
      </c>
      <c r="F139" t="s">
        <v>734</v>
      </c>
      <c r="G139" t="str">
        <f>IFERROR(VLOOKUP(Logs_Reseau_Part5[[#This Row],[Cell_ID]],Registre_Maintenance_Part[[ID_Antenne]:[Colonne2]],2,FALSE),"")</f>
        <v>Kasai-Central</v>
      </c>
      <c r="H139">
        <f>IFERROR(VLOOKUP(Logs_Reseau_Part5[[#This Row],[Cell_ID]],Registre_Maintenance_Part[[ID_Antenne]:[Colonne2]],3,FALSE),"")</f>
        <v>1.897178</v>
      </c>
      <c r="I139">
        <f>IFERROR(VLOOKUP(Logs_Reseau_Part5[[#This Row],[Cell_ID]],Registre_Maintenance_Part[[ID_Antenne]:[Colonne2]],4,FALSE),"")</f>
        <v>23.902604</v>
      </c>
      <c r="J139" t="str">
        <f>IFERROR(VLOOKUP(Logs_Reseau_Part5[[#This Row],[Cell_ID]],Registre_Maintenance_Part[[ID_Antenne]:[Colonne2]],5,FALSE),"")</f>
        <v>3G</v>
      </c>
      <c r="K139" t="str">
        <f>IFERROR(VLOOKUP(Logs_Reseau_Part5[[#This Row],[Cell_ID]],Registre_Maintenance_Part[[ID_Antenne]:[Colonne2]],6,FALSE),"")</f>
        <v>Nokia</v>
      </c>
    </row>
    <row r="140" spans="1:11" x14ac:dyDescent="0.3">
      <c r="A140" t="s">
        <v>1406</v>
      </c>
      <c r="B140" s="1">
        <v>45208.558333333327</v>
      </c>
      <c r="C140" s="2">
        <v>45208.558333333327</v>
      </c>
      <c r="D140" t="s">
        <v>1399</v>
      </c>
      <c r="E140">
        <v>44</v>
      </c>
      <c r="F140" t="s">
        <v>739</v>
      </c>
      <c r="G140" t="str">
        <f>IFERROR(VLOOKUP(Logs_Reseau_Part5[[#This Row],[Cell_ID]],Registre_Maintenance_Part[[ID_Antenne]:[Colonne2]],2,FALSE),"")</f>
        <v>Kasai-Central</v>
      </c>
      <c r="H140">
        <f>IFERROR(VLOOKUP(Logs_Reseau_Part5[[#This Row],[Cell_ID]],Registre_Maintenance_Part[[ID_Antenne]:[Colonne2]],3,FALSE),"")</f>
        <v>-8.0800809999999998</v>
      </c>
      <c r="I140">
        <f>IFERROR(VLOOKUP(Logs_Reseau_Part5[[#This Row],[Cell_ID]],Registre_Maintenance_Part[[ID_Antenne]:[Colonne2]],4,FALSE),"")</f>
        <v>30.147970999999998</v>
      </c>
      <c r="J140" t="str">
        <f>IFERROR(VLOOKUP(Logs_Reseau_Part5[[#This Row],[Cell_ID]],Registre_Maintenance_Part[[ID_Antenne]:[Colonne2]],5,FALSE),"")</f>
        <v>5G</v>
      </c>
      <c r="K140" t="str">
        <f>IFERROR(VLOOKUP(Logs_Reseau_Part5[[#This Row],[Cell_ID]],Registre_Maintenance_Part[[ID_Antenne]:[Colonne2]],6,FALSE),"")</f>
        <v>Huawei</v>
      </c>
    </row>
    <row r="141" spans="1:11" x14ac:dyDescent="0.3">
      <c r="A141" t="s">
        <v>904</v>
      </c>
      <c r="B141" s="1">
        <v>45209.824305555558</v>
      </c>
      <c r="C141" s="2">
        <v>45209.824305555558</v>
      </c>
      <c r="D141" t="s">
        <v>865</v>
      </c>
      <c r="E141">
        <v>93</v>
      </c>
      <c r="F141" t="s">
        <v>739</v>
      </c>
      <c r="G141" t="str">
        <f>IFERROR(VLOOKUP(Logs_Reseau_Part5[[#This Row],[Cell_ID]],Registre_Maintenance_Part[[ID_Antenne]:[Colonne2]],2,FALSE),"")</f>
        <v>Kasai-Central</v>
      </c>
      <c r="H141">
        <f>IFERROR(VLOOKUP(Logs_Reseau_Part5[[#This Row],[Cell_ID]],Registre_Maintenance_Part[[ID_Antenne]:[Colonne2]],3,FALSE),"")</f>
        <v>-10.414493</v>
      </c>
      <c r="I141">
        <f>IFERROR(VLOOKUP(Logs_Reseau_Part5[[#This Row],[Cell_ID]],Registre_Maintenance_Part[[ID_Antenne]:[Colonne2]],4,FALSE),"")</f>
        <v>12.333356999999999</v>
      </c>
      <c r="J141" t="str">
        <f>IFERROR(VLOOKUP(Logs_Reseau_Part5[[#This Row],[Cell_ID]],Registre_Maintenance_Part[[ID_Antenne]:[Colonne2]],5,FALSE),"")</f>
        <v>3G</v>
      </c>
      <c r="K141" t="str">
        <f>IFERROR(VLOOKUP(Logs_Reseau_Part5[[#This Row],[Cell_ID]],Registre_Maintenance_Part[[ID_Antenne]:[Colonne2]],6,FALSE),"")</f>
        <v>Ericsson</v>
      </c>
    </row>
    <row r="142" spans="1:11" x14ac:dyDescent="0.3">
      <c r="A142" t="s">
        <v>1221</v>
      </c>
      <c r="B142" s="1">
        <v>45212.568055555559</v>
      </c>
      <c r="C142" s="2">
        <v>45212.568055555559</v>
      </c>
      <c r="D142" t="s">
        <v>1241</v>
      </c>
      <c r="E142">
        <v>42</v>
      </c>
      <c r="F142" t="s">
        <v>737</v>
      </c>
      <c r="G142" t="str">
        <f>IFERROR(VLOOKUP(Logs_Reseau_Part5[[#This Row],[Cell_ID]],Registre_Maintenance_Part[[ID_Antenne]:[Colonne2]],2,FALSE),"")</f>
        <v>Kasai-Central</v>
      </c>
      <c r="H142">
        <f>IFERROR(VLOOKUP(Logs_Reseau_Part5[[#This Row],[Cell_ID]],Registre_Maintenance_Part[[ID_Antenne]:[Colonne2]],3,FALSE),"")</f>
        <v>-7.3379339999999997</v>
      </c>
      <c r="I142">
        <f>IFERROR(VLOOKUP(Logs_Reseau_Part5[[#This Row],[Cell_ID]],Registre_Maintenance_Part[[ID_Antenne]:[Colonne2]],4,FALSE),"")</f>
        <v>28.404001999999998</v>
      </c>
      <c r="J142" t="str">
        <f>IFERROR(VLOOKUP(Logs_Reseau_Part5[[#This Row],[Cell_ID]],Registre_Maintenance_Part[[ID_Antenne]:[Colonne2]],5,FALSE),"")</f>
        <v>3G</v>
      </c>
      <c r="K142" t="str">
        <f>IFERROR(VLOOKUP(Logs_Reseau_Part5[[#This Row],[Cell_ID]],Registre_Maintenance_Part[[ID_Antenne]:[Colonne2]],6,FALSE),"")</f>
        <v>Nokia</v>
      </c>
    </row>
    <row r="143" spans="1:11" x14ac:dyDescent="0.3">
      <c r="A143" t="s">
        <v>1116</v>
      </c>
      <c r="B143" s="1">
        <v>45215.015972222223</v>
      </c>
      <c r="C143" s="2">
        <v>45215.015972222223</v>
      </c>
      <c r="D143" t="s">
        <v>1123</v>
      </c>
      <c r="E143">
        <v>74</v>
      </c>
      <c r="F143" t="s">
        <v>734</v>
      </c>
      <c r="G143" t="str">
        <f>IFERROR(VLOOKUP(Logs_Reseau_Part5[[#This Row],[Cell_ID]],Registre_Maintenance_Part[[ID_Antenne]:[Colonne2]],2,FALSE),"")</f>
        <v>Kasai-Central</v>
      </c>
      <c r="H143">
        <f>IFERROR(VLOOKUP(Logs_Reseau_Part5[[#This Row],[Cell_ID]],Registre_Maintenance_Part[[ID_Antenne]:[Colonne2]],3,FALSE),"")</f>
        <v>-5.8352820000000003</v>
      </c>
      <c r="I143">
        <f>IFERROR(VLOOKUP(Logs_Reseau_Part5[[#This Row],[Cell_ID]],Registre_Maintenance_Part[[ID_Antenne]:[Colonne2]],4,FALSE),"")</f>
        <v>26.603978000000001</v>
      </c>
      <c r="J143" t="str">
        <f>IFERROR(VLOOKUP(Logs_Reseau_Part5[[#This Row],[Cell_ID]],Registre_Maintenance_Part[[ID_Antenne]:[Colonne2]],5,FALSE),"")</f>
        <v>4G</v>
      </c>
      <c r="K143" t="str">
        <f>IFERROR(VLOOKUP(Logs_Reseau_Part5[[#This Row],[Cell_ID]],Registre_Maintenance_Part[[ID_Antenne]:[Colonne2]],6,FALSE),"")</f>
        <v>Huawei</v>
      </c>
    </row>
    <row r="144" spans="1:11" x14ac:dyDescent="0.3">
      <c r="A144" t="s">
        <v>781</v>
      </c>
      <c r="B144" s="1">
        <v>45216.457638888889</v>
      </c>
      <c r="C144" s="2">
        <v>45216.457638888889</v>
      </c>
      <c r="D144" t="s">
        <v>817</v>
      </c>
      <c r="E144">
        <v>39</v>
      </c>
      <c r="F144" t="s">
        <v>734</v>
      </c>
      <c r="G144" t="str">
        <f>IFERROR(VLOOKUP(Logs_Reseau_Part5[[#This Row],[Cell_ID]],Registre_Maintenance_Part[[ID_Antenne]:[Colonne2]],2,FALSE),"")</f>
        <v>Kasai-Central</v>
      </c>
      <c r="H144">
        <f>IFERROR(VLOOKUP(Logs_Reseau_Part5[[#This Row],[Cell_ID]],Registre_Maintenance_Part[[ID_Antenne]:[Colonne2]],3,FALSE),"")</f>
        <v>-9.5266249999999992</v>
      </c>
      <c r="I144">
        <f>IFERROR(VLOOKUP(Logs_Reseau_Part5[[#This Row],[Cell_ID]],Registre_Maintenance_Part[[ID_Antenne]:[Colonne2]],4,FALSE),"")</f>
        <v>27.889690999999999</v>
      </c>
      <c r="J144" t="str">
        <f>IFERROR(VLOOKUP(Logs_Reseau_Part5[[#This Row],[Cell_ID]],Registre_Maintenance_Part[[ID_Antenne]:[Colonne2]],5,FALSE),"")</f>
        <v>4G</v>
      </c>
      <c r="K144" t="str">
        <f>IFERROR(VLOOKUP(Logs_Reseau_Part5[[#This Row],[Cell_ID]],Registre_Maintenance_Part[[ID_Antenne]:[Colonne2]],6,FALSE),"")</f>
        <v>Ericsson</v>
      </c>
    </row>
    <row r="145" spans="1:11" x14ac:dyDescent="0.3">
      <c r="A145" t="s">
        <v>1384</v>
      </c>
      <c r="B145" s="1">
        <v>45217.578472222223</v>
      </c>
      <c r="C145" s="2">
        <v>45217.578472222223</v>
      </c>
      <c r="D145" t="s">
        <v>1388</v>
      </c>
      <c r="E145">
        <v>93</v>
      </c>
      <c r="F145" t="s">
        <v>737</v>
      </c>
      <c r="G145" t="str">
        <f>IFERROR(VLOOKUP(Logs_Reseau_Part5[[#This Row],[Cell_ID]],Registre_Maintenance_Part[[ID_Antenne]:[Colonne2]],2,FALSE),"")</f>
        <v>Kasai-Central</v>
      </c>
      <c r="H145">
        <f>IFERROR(VLOOKUP(Logs_Reseau_Part5[[#This Row],[Cell_ID]],Registre_Maintenance_Part[[ID_Antenne]:[Colonne2]],3,FALSE),"")</f>
        <v>-10.735106</v>
      </c>
      <c r="I145">
        <f>IFERROR(VLOOKUP(Logs_Reseau_Part5[[#This Row],[Cell_ID]],Registre_Maintenance_Part[[ID_Antenne]:[Colonne2]],4,FALSE),"")</f>
        <v>27.868673999999999</v>
      </c>
      <c r="J145" t="str">
        <f>IFERROR(VLOOKUP(Logs_Reseau_Part5[[#This Row],[Cell_ID]],Registre_Maintenance_Part[[ID_Antenne]:[Colonne2]],5,FALSE),"")</f>
        <v>3G</v>
      </c>
      <c r="K145" t="str">
        <f>IFERROR(VLOOKUP(Logs_Reseau_Part5[[#This Row],[Cell_ID]],Registre_Maintenance_Part[[ID_Antenne]:[Colonne2]],6,FALSE),"")</f>
        <v>Ericsson</v>
      </c>
    </row>
    <row r="146" spans="1:11" x14ac:dyDescent="0.3">
      <c r="A146" t="s">
        <v>904</v>
      </c>
      <c r="B146" s="1">
        <v>45218.378472222219</v>
      </c>
      <c r="C146" s="2">
        <v>45218.378472222219</v>
      </c>
      <c r="D146" t="s">
        <v>911</v>
      </c>
      <c r="E146">
        <v>102</v>
      </c>
      <c r="F146" t="s">
        <v>734</v>
      </c>
      <c r="G146" t="str">
        <f>IFERROR(VLOOKUP(Logs_Reseau_Part5[[#This Row],[Cell_ID]],Registre_Maintenance_Part[[ID_Antenne]:[Colonne2]],2,FALSE),"")</f>
        <v>Kasai-Central</v>
      </c>
      <c r="H146">
        <f>IFERROR(VLOOKUP(Logs_Reseau_Part5[[#This Row],[Cell_ID]],Registre_Maintenance_Part[[ID_Antenne]:[Colonne2]],3,FALSE),"")</f>
        <v>-4.4451280000000004</v>
      </c>
      <c r="I146">
        <f>IFERROR(VLOOKUP(Logs_Reseau_Part5[[#This Row],[Cell_ID]],Registre_Maintenance_Part[[ID_Antenne]:[Colonne2]],4,FALSE),"")</f>
        <v>16.536944999999999</v>
      </c>
      <c r="J146" t="str">
        <f>IFERROR(VLOOKUP(Logs_Reseau_Part5[[#This Row],[Cell_ID]],Registre_Maintenance_Part[[ID_Antenne]:[Colonne2]],5,FALSE),"")</f>
        <v>4G</v>
      </c>
      <c r="K146" t="str">
        <f>IFERROR(VLOOKUP(Logs_Reseau_Part5[[#This Row],[Cell_ID]],Registre_Maintenance_Part[[ID_Antenne]:[Colonne2]],6,FALSE),"")</f>
        <v>Ericsson</v>
      </c>
    </row>
    <row r="147" spans="1:11" x14ac:dyDescent="0.3">
      <c r="A147" t="s">
        <v>1221</v>
      </c>
      <c r="B147" s="1">
        <v>45221.180555555547</v>
      </c>
      <c r="C147" s="2">
        <v>45221.180555555547</v>
      </c>
      <c r="D147" t="s">
        <v>742</v>
      </c>
      <c r="E147">
        <v>8</v>
      </c>
      <c r="F147" t="s">
        <v>734</v>
      </c>
      <c r="G147" t="str">
        <f>IFERROR(VLOOKUP(Logs_Reseau_Part5[[#This Row],[Cell_ID]],Registre_Maintenance_Part[[ID_Antenne]:[Colonne2]],2,FALSE),"")</f>
        <v>Kasai-Central</v>
      </c>
      <c r="H147">
        <f>IFERROR(VLOOKUP(Logs_Reseau_Part5[[#This Row],[Cell_ID]],Registre_Maintenance_Part[[ID_Antenne]:[Colonne2]],3,FALSE),"")</f>
        <v>-1.648264</v>
      </c>
      <c r="I147">
        <f>IFERROR(VLOOKUP(Logs_Reseau_Part5[[#This Row],[Cell_ID]],Registre_Maintenance_Part[[ID_Antenne]:[Colonne2]],4,FALSE),"")</f>
        <v>28.866143999999998</v>
      </c>
      <c r="J147" t="str">
        <f>IFERROR(VLOOKUP(Logs_Reseau_Part5[[#This Row],[Cell_ID]],Registre_Maintenance_Part[[ID_Antenne]:[Colonne2]],5,FALSE),"")</f>
        <v>5G</v>
      </c>
      <c r="K147" t="str">
        <f>IFERROR(VLOOKUP(Logs_Reseau_Part5[[#This Row],[Cell_ID]],Registre_Maintenance_Part[[ID_Antenne]:[Colonne2]],6,FALSE),"")</f>
        <v>Ericsson</v>
      </c>
    </row>
    <row r="148" spans="1:11" x14ac:dyDescent="0.3">
      <c r="A148" t="s">
        <v>1384</v>
      </c>
      <c r="B148" s="1">
        <v>45221.772222222222</v>
      </c>
      <c r="C148" s="2">
        <v>45221.772222222222</v>
      </c>
      <c r="D148" t="s">
        <v>911</v>
      </c>
      <c r="E148">
        <v>107</v>
      </c>
      <c r="F148" t="s">
        <v>734</v>
      </c>
      <c r="G148" t="str">
        <f>IFERROR(VLOOKUP(Logs_Reseau_Part5[[#This Row],[Cell_ID]],Registre_Maintenance_Part[[ID_Antenne]:[Colonne2]],2,FALSE),"")</f>
        <v>Kasai-Central</v>
      </c>
      <c r="H148">
        <f>IFERROR(VLOOKUP(Logs_Reseau_Part5[[#This Row],[Cell_ID]],Registre_Maintenance_Part[[ID_Antenne]:[Colonne2]],3,FALSE),"")</f>
        <v>-4.4451280000000004</v>
      </c>
      <c r="I148">
        <f>IFERROR(VLOOKUP(Logs_Reseau_Part5[[#This Row],[Cell_ID]],Registre_Maintenance_Part[[ID_Antenne]:[Colonne2]],4,FALSE),"")</f>
        <v>16.536944999999999</v>
      </c>
      <c r="J148" t="str">
        <f>IFERROR(VLOOKUP(Logs_Reseau_Part5[[#This Row],[Cell_ID]],Registre_Maintenance_Part[[ID_Antenne]:[Colonne2]],5,FALSE),"")</f>
        <v>4G</v>
      </c>
      <c r="K148" t="str">
        <f>IFERROR(VLOOKUP(Logs_Reseau_Part5[[#This Row],[Cell_ID]],Registre_Maintenance_Part[[ID_Antenne]:[Colonne2]],6,FALSE),"")</f>
        <v>Ericsson</v>
      </c>
    </row>
    <row r="149" spans="1:11" x14ac:dyDescent="0.3">
      <c r="A149" t="s">
        <v>863</v>
      </c>
      <c r="B149" s="1">
        <v>45221.910416666673</v>
      </c>
      <c r="C149" s="2">
        <v>45221.910416666673</v>
      </c>
      <c r="D149" t="s">
        <v>865</v>
      </c>
      <c r="E149">
        <v>60</v>
      </c>
      <c r="F149" t="s">
        <v>737</v>
      </c>
      <c r="G149" t="str">
        <f>IFERROR(VLOOKUP(Logs_Reseau_Part5[[#This Row],[Cell_ID]],Registre_Maintenance_Part[[ID_Antenne]:[Colonne2]],2,FALSE),"")</f>
        <v>Kasai-Central</v>
      </c>
      <c r="H149">
        <f>IFERROR(VLOOKUP(Logs_Reseau_Part5[[#This Row],[Cell_ID]],Registre_Maintenance_Part[[ID_Antenne]:[Colonne2]],3,FALSE),"")</f>
        <v>-10.414493</v>
      </c>
      <c r="I149">
        <f>IFERROR(VLOOKUP(Logs_Reseau_Part5[[#This Row],[Cell_ID]],Registre_Maintenance_Part[[ID_Antenne]:[Colonne2]],4,FALSE),"")</f>
        <v>12.333356999999999</v>
      </c>
      <c r="J149" t="str">
        <f>IFERROR(VLOOKUP(Logs_Reseau_Part5[[#This Row],[Cell_ID]],Registre_Maintenance_Part[[ID_Antenne]:[Colonne2]],5,FALSE),"")</f>
        <v>3G</v>
      </c>
      <c r="K149" t="str">
        <f>IFERROR(VLOOKUP(Logs_Reseau_Part5[[#This Row],[Cell_ID]],Registre_Maintenance_Part[[ID_Antenne]:[Colonne2]],6,FALSE),"")</f>
        <v>Ericsson</v>
      </c>
    </row>
    <row r="150" spans="1:11" x14ac:dyDescent="0.3">
      <c r="A150" t="s">
        <v>1384</v>
      </c>
      <c r="B150" s="1">
        <v>45225.220833333333</v>
      </c>
      <c r="C150" s="2">
        <v>45225.220833333333</v>
      </c>
      <c r="D150" t="s">
        <v>1399</v>
      </c>
      <c r="E150">
        <v>104</v>
      </c>
      <c r="F150" t="s">
        <v>737</v>
      </c>
      <c r="G150" t="str">
        <f>IFERROR(VLOOKUP(Logs_Reseau_Part5[[#This Row],[Cell_ID]],Registre_Maintenance_Part[[ID_Antenne]:[Colonne2]],2,FALSE),"")</f>
        <v>Kasai-Central</v>
      </c>
      <c r="H150">
        <f>IFERROR(VLOOKUP(Logs_Reseau_Part5[[#This Row],[Cell_ID]],Registre_Maintenance_Part[[ID_Antenne]:[Colonne2]],3,FALSE),"")</f>
        <v>-8.0800809999999998</v>
      </c>
      <c r="I150">
        <f>IFERROR(VLOOKUP(Logs_Reseau_Part5[[#This Row],[Cell_ID]],Registre_Maintenance_Part[[ID_Antenne]:[Colonne2]],4,FALSE),"")</f>
        <v>30.147970999999998</v>
      </c>
      <c r="J150" t="str">
        <f>IFERROR(VLOOKUP(Logs_Reseau_Part5[[#This Row],[Cell_ID]],Registre_Maintenance_Part[[ID_Antenne]:[Colonne2]],5,FALSE),"")</f>
        <v>5G</v>
      </c>
      <c r="K150" t="str">
        <f>IFERROR(VLOOKUP(Logs_Reseau_Part5[[#This Row],[Cell_ID]],Registre_Maintenance_Part[[ID_Antenne]:[Colonne2]],6,FALSE),"")</f>
        <v>Huawei</v>
      </c>
    </row>
    <row r="151" spans="1:11" x14ac:dyDescent="0.3">
      <c r="A151" t="s">
        <v>825</v>
      </c>
      <c r="B151" s="1">
        <v>45229.443749999999</v>
      </c>
      <c r="C151" s="2">
        <v>45229.443749999999</v>
      </c>
      <c r="D151" t="s">
        <v>839</v>
      </c>
      <c r="E151">
        <v>5</v>
      </c>
      <c r="F151" t="s">
        <v>734</v>
      </c>
      <c r="G151" t="str">
        <f>IFERROR(VLOOKUP(Logs_Reseau_Part5[[#This Row],[Cell_ID]],Registre_Maintenance_Part[[ID_Antenne]:[Colonne2]],2,FALSE),"")</f>
        <v>Kasai-Central</v>
      </c>
      <c r="H151">
        <f>IFERROR(VLOOKUP(Logs_Reseau_Part5[[#This Row],[Cell_ID]],Registre_Maintenance_Part[[ID_Antenne]:[Colonne2]],3,FALSE),"")</f>
        <v>-6.6803710000000001</v>
      </c>
      <c r="I151">
        <f>IFERROR(VLOOKUP(Logs_Reseau_Part5[[#This Row],[Cell_ID]],Registre_Maintenance_Part[[ID_Antenne]:[Colonne2]],4,FALSE),"")</f>
        <v>21.955673000000001</v>
      </c>
      <c r="J151" t="str">
        <f>IFERROR(VLOOKUP(Logs_Reseau_Part5[[#This Row],[Cell_ID]],Registre_Maintenance_Part[[ID_Antenne]:[Colonne2]],5,FALSE),"")</f>
        <v>4G</v>
      </c>
      <c r="K151" t="str">
        <f>IFERROR(VLOOKUP(Logs_Reseau_Part5[[#This Row],[Cell_ID]],Registre_Maintenance_Part[[ID_Antenne]:[Colonne2]],6,FALSE),"")</f>
        <v>Nokia</v>
      </c>
    </row>
    <row r="152" spans="1:11" x14ac:dyDescent="0.3">
      <c r="A152" t="s">
        <v>1167</v>
      </c>
      <c r="B152" s="1">
        <v>45201.726388888892</v>
      </c>
      <c r="C152" s="2">
        <v>45201.726388888892</v>
      </c>
      <c r="D152" t="s">
        <v>1173</v>
      </c>
      <c r="E152">
        <v>97</v>
      </c>
      <c r="F152" t="s">
        <v>737</v>
      </c>
      <c r="G152" t="str">
        <f>IFERROR(VLOOKUP(Logs_Reseau_Part5[[#This Row],[Cell_ID]],Registre_Maintenance_Part[[ID_Antenne]:[Colonne2]],2,FALSE),"")</f>
        <v>Kasai-Oriental</v>
      </c>
      <c r="H152">
        <f>IFERROR(VLOOKUP(Logs_Reseau_Part5[[#This Row],[Cell_ID]],Registre_Maintenance_Part[[ID_Antenne]:[Colonne2]],3,FALSE),"")</f>
        <v>-4.3639070000000002</v>
      </c>
      <c r="I152">
        <f>IFERROR(VLOOKUP(Logs_Reseau_Part5[[#This Row],[Cell_ID]],Registre_Maintenance_Part[[ID_Antenne]:[Colonne2]],4,FALSE),"")</f>
        <v>16.283307000000001</v>
      </c>
      <c r="J152" t="str">
        <f>IFERROR(VLOOKUP(Logs_Reseau_Part5[[#This Row],[Cell_ID]],Registre_Maintenance_Part[[ID_Antenne]:[Colonne2]],5,FALSE),"")</f>
        <v>5G</v>
      </c>
      <c r="K152" t="str">
        <f>IFERROR(VLOOKUP(Logs_Reseau_Part5[[#This Row],[Cell_ID]],Registre_Maintenance_Part[[ID_Antenne]:[Colonne2]],6,FALSE),"")</f>
        <v>Huawei</v>
      </c>
    </row>
    <row r="153" spans="1:11" x14ac:dyDescent="0.3">
      <c r="A153" t="s">
        <v>1088</v>
      </c>
      <c r="B153" s="1">
        <v>45207.133333333331</v>
      </c>
      <c r="C153" s="2">
        <v>45207.133333333331</v>
      </c>
      <c r="D153" t="s">
        <v>1092</v>
      </c>
      <c r="E153">
        <v>66</v>
      </c>
      <c r="F153" t="s">
        <v>737</v>
      </c>
      <c r="G153" t="str">
        <f>IFERROR(VLOOKUP(Logs_Reseau_Part5[[#This Row],[Cell_ID]],Registre_Maintenance_Part[[ID_Antenne]:[Colonne2]],2,FALSE),"")</f>
        <v>Kasai-Oriental</v>
      </c>
      <c r="H153">
        <f>IFERROR(VLOOKUP(Logs_Reseau_Part5[[#This Row],[Cell_ID]],Registre_Maintenance_Part[[ID_Antenne]:[Colonne2]],3,FALSE),"")</f>
        <v>-5.4073029999999997</v>
      </c>
      <c r="I153">
        <f>IFERROR(VLOOKUP(Logs_Reseau_Part5[[#This Row],[Cell_ID]],Registre_Maintenance_Part[[ID_Antenne]:[Colonne2]],4,FALSE),"")</f>
        <v>29.762294000000001</v>
      </c>
      <c r="J153" t="str">
        <f>IFERROR(VLOOKUP(Logs_Reseau_Part5[[#This Row],[Cell_ID]],Registre_Maintenance_Part[[ID_Antenne]:[Colonne2]],5,FALSE),"")</f>
        <v>3G</v>
      </c>
      <c r="K153" t="str">
        <f>IFERROR(VLOOKUP(Logs_Reseau_Part5[[#This Row],[Cell_ID]],Registre_Maintenance_Part[[ID_Antenne]:[Colonne2]],6,FALSE),"")</f>
        <v>Ericsson</v>
      </c>
    </row>
    <row r="154" spans="1:11" x14ac:dyDescent="0.3">
      <c r="A154" t="s">
        <v>1332</v>
      </c>
      <c r="B154" s="1">
        <v>45211.063888888893</v>
      </c>
      <c r="C154" s="2">
        <v>45211.063888888893</v>
      </c>
      <c r="D154" t="s">
        <v>1341</v>
      </c>
      <c r="E154">
        <v>6</v>
      </c>
      <c r="F154" t="s">
        <v>739</v>
      </c>
      <c r="G154" t="str">
        <f>IFERROR(VLOOKUP(Logs_Reseau_Part5[[#This Row],[Cell_ID]],Registre_Maintenance_Part[[ID_Antenne]:[Colonne2]],2,FALSE),"")</f>
        <v>Kasai-Oriental</v>
      </c>
      <c r="H154">
        <f>IFERROR(VLOOKUP(Logs_Reseau_Part5[[#This Row],[Cell_ID]],Registre_Maintenance_Part[[ID_Antenne]:[Colonne2]],3,FALSE),"")</f>
        <v>1.7832440000000001</v>
      </c>
      <c r="I154">
        <f>IFERROR(VLOOKUP(Logs_Reseau_Part5[[#This Row],[Cell_ID]],Registre_Maintenance_Part[[ID_Antenne]:[Colonne2]],4,FALSE),"")</f>
        <v>25.477405999999998</v>
      </c>
      <c r="J154" t="str">
        <f>IFERROR(VLOOKUP(Logs_Reseau_Part5[[#This Row],[Cell_ID]],Registre_Maintenance_Part[[ID_Antenne]:[Colonne2]],5,FALSE),"")</f>
        <v>5G</v>
      </c>
      <c r="K154" t="str">
        <f>IFERROR(VLOOKUP(Logs_Reseau_Part5[[#This Row],[Cell_ID]],Registre_Maintenance_Part[[ID_Antenne]:[Colonne2]],6,FALSE),"")</f>
        <v>Huawei</v>
      </c>
    </row>
    <row r="155" spans="1:11" x14ac:dyDescent="0.3">
      <c r="A155" t="s">
        <v>1406</v>
      </c>
      <c r="B155" s="1">
        <v>45214.850694444453</v>
      </c>
      <c r="C155" s="2">
        <v>45214.850694444453</v>
      </c>
      <c r="D155" t="s">
        <v>1092</v>
      </c>
      <c r="E155">
        <v>31</v>
      </c>
      <c r="F155" t="s">
        <v>739</v>
      </c>
      <c r="G155" t="str">
        <f>IFERROR(VLOOKUP(Logs_Reseau_Part5[[#This Row],[Cell_ID]],Registre_Maintenance_Part[[ID_Antenne]:[Colonne2]],2,FALSE),"")</f>
        <v>Kasai-Oriental</v>
      </c>
      <c r="H155">
        <f>IFERROR(VLOOKUP(Logs_Reseau_Part5[[#This Row],[Cell_ID]],Registre_Maintenance_Part[[ID_Antenne]:[Colonne2]],3,FALSE),"")</f>
        <v>-5.4073029999999997</v>
      </c>
      <c r="I155">
        <f>IFERROR(VLOOKUP(Logs_Reseau_Part5[[#This Row],[Cell_ID]],Registre_Maintenance_Part[[ID_Antenne]:[Colonne2]],4,FALSE),"")</f>
        <v>29.762294000000001</v>
      </c>
      <c r="J155" t="str">
        <f>IFERROR(VLOOKUP(Logs_Reseau_Part5[[#This Row],[Cell_ID]],Registre_Maintenance_Part[[ID_Antenne]:[Colonne2]],5,FALSE),"")</f>
        <v>3G</v>
      </c>
      <c r="K155" t="str">
        <f>IFERROR(VLOOKUP(Logs_Reseau_Part5[[#This Row],[Cell_ID]],Registre_Maintenance_Part[[ID_Antenne]:[Colonne2]],6,FALSE),"")</f>
        <v>Ericsson</v>
      </c>
    </row>
    <row r="156" spans="1:11" x14ac:dyDescent="0.3">
      <c r="A156" t="s">
        <v>904</v>
      </c>
      <c r="B156" s="1">
        <v>45216.729861111111</v>
      </c>
      <c r="C156" s="2">
        <v>45216.729861111111</v>
      </c>
      <c r="D156" t="s">
        <v>937</v>
      </c>
      <c r="E156">
        <v>109</v>
      </c>
      <c r="F156" t="s">
        <v>739</v>
      </c>
      <c r="G156" t="str">
        <f>IFERROR(VLOOKUP(Logs_Reseau_Part5[[#This Row],[Cell_ID]],Registre_Maintenance_Part[[ID_Antenne]:[Colonne2]],2,FALSE),"")</f>
        <v>Kasai-Oriental</v>
      </c>
      <c r="H156">
        <f>IFERROR(VLOOKUP(Logs_Reseau_Part5[[#This Row],[Cell_ID]],Registre_Maintenance_Part[[ID_Antenne]:[Colonne2]],3,FALSE),"")</f>
        <v>0.639208</v>
      </c>
      <c r="I156">
        <f>IFERROR(VLOOKUP(Logs_Reseau_Part5[[#This Row],[Cell_ID]],Registre_Maintenance_Part[[ID_Antenne]:[Colonne2]],4,FALSE),"")</f>
        <v>20.701739</v>
      </c>
      <c r="J156" t="str">
        <f>IFERROR(VLOOKUP(Logs_Reseau_Part5[[#This Row],[Cell_ID]],Registre_Maintenance_Part[[ID_Antenne]:[Colonne2]],5,FALSE),"")</f>
        <v>4G</v>
      </c>
      <c r="K156" t="str">
        <f>IFERROR(VLOOKUP(Logs_Reseau_Part5[[#This Row],[Cell_ID]],Registre_Maintenance_Part[[ID_Antenne]:[Colonne2]],6,FALSE),"")</f>
        <v>Huawei</v>
      </c>
    </row>
    <row r="157" spans="1:11" x14ac:dyDescent="0.3">
      <c r="A157" t="s">
        <v>1116</v>
      </c>
      <c r="B157" s="1">
        <v>45216.865277777782</v>
      </c>
      <c r="C157" s="2">
        <v>45216.865277777782</v>
      </c>
      <c r="D157" t="s">
        <v>1127</v>
      </c>
      <c r="E157">
        <v>10</v>
      </c>
      <c r="F157" t="s">
        <v>737</v>
      </c>
      <c r="G157" t="str">
        <f>IFERROR(VLOOKUP(Logs_Reseau_Part5[[#This Row],[Cell_ID]],Registre_Maintenance_Part[[ID_Antenne]:[Colonne2]],2,FALSE),"")</f>
        <v>Kasai-Oriental</v>
      </c>
      <c r="H157">
        <f>IFERROR(VLOOKUP(Logs_Reseau_Part5[[#This Row],[Cell_ID]],Registre_Maintenance_Part[[ID_Antenne]:[Colonne2]],3,FALSE),"")</f>
        <v>-1.648326</v>
      </c>
      <c r="I157">
        <f>IFERROR(VLOOKUP(Logs_Reseau_Part5[[#This Row],[Cell_ID]],Registre_Maintenance_Part[[ID_Antenne]:[Colonne2]],4,FALSE),"")</f>
        <v>25.528901999999999</v>
      </c>
      <c r="J157" t="str">
        <f>IFERROR(VLOOKUP(Logs_Reseau_Part5[[#This Row],[Cell_ID]],Registre_Maintenance_Part[[ID_Antenne]:[Colonne2]],5,FALSE),"")</f>
        <v>4G</v>
      </c>
      <c r="K157" t="str">
        <f>IFERROR(VLOOKUP(Logs_Reseau_Part5[[#This Row],[Cell_ID]],Registre_Maintenance_Part[[ID_Antenne]:[Colonne2]],6,FALSE),"")</f>
        <v>Huawei</v>
      </c>
    </row>
    <row r="158" spans="1:11" x14ac:dyDescent="0.3">
      <c r="A158" t="s">
        <v>941</v>
      </c>
      <c r="B158" s="1">
        <v>45221.724999999999</v>
      </c>
      <c r="C158" s="2">
        <v>45221.724999999999</v>
      </c>
      <c r="D158" t="s">
        <v>957</v>
      </c>
      <c r="E158">
        <v>55</v>
      </c>
      <c r="F158" t="s">
        <v>737</v>
      </c>
      <c r="G158" t="str">
        <f>IFERROR(VLOOKUP(Logs_Reseau_Part5[[#This Row],[Cell_ID]],Registre_Maintenance_Part[[ID_Antenne]:[Colonne2]],2,FALSE),"")</f>
        <v>Kasai-Oriental</v>
      </c>
      <c r="H158">
        <f>IFERROR(VLOOKUP(Logs_Reseau_Part5[[#This Row],[Cell_ID]],Registre_Maintenance_Part[[ID_Antenne]:[Colonne2]],3,FALSE),"")</f>
        <v>-1.3976519999999999</v>
      </c>
      <c r="I158">
        <f>IFERROR(VLOOKUP(Logs_Reseau_Part5[[#This Row],[Cell_ID]],Registre_Maintenance_Part[[ID_Antenne]:[Colonne2]],4,FALSE),"")</f>
        <v>14.098819000000001</v>
      </c>
      <c r="J158" t="str">
        <f>IFERROR(VLOOKUP(Logs_Reseau_Part5[[#This Row],[Cell_ID]],Registre_Maintenance_Part[[ID_Antenne]:[Colonne2]],5,FALSE),"")</f>
        <v>3G</v>
      </c>
      <c r="K158" t="str">
        <f>IFERROR(VLOOKUP(Logs_Reseau_Part5[[#This Row],[Cell_ID]],Registre_Maintenance_Part[[ID_Antenne]:[Colonne2]],6,FALSE),"")</f>
        <v>Ericsson</v>
      </c>
    </row>
    <row r="159" spans="1:11" x14ac:dyDescent="0.3">
      <c r="A159" t="s">
        <v>1406</v>
      </c>
      <c r="B159" s="1">
        <v>45226.115972222222</v>
      </c>
      <c r="C159" s="2">
        <v>45226.115972222222</v>
      </c>
      <c r="D159" t="s">
        <v>1057</v>
      </c>
      <c r="E159">
        <v>5</v>
      </c>
      <c r="F159" t="s">
        <v>739</v>
      </c>
      <c r="G159" t="str">
        <f>IFERROR(VLOOKUP(Logs_Reseau_Part5[[#This Row],[Cell_ID]],Registre_Maintenance_Part[[ID_Antenne]:[Colonne2]],2,FALSE),"")</f>
        <v>Kasai-Oriental</v>
      </c>
      <c r="H159">
        <f>IFERROR(VLOOKUP(Logs_Reseau_Part5[[#This Row],[Cell_ID]],Registre_Maintenance_Part[[ID_Antenne]:[Colonne2]],3,FALSE),"")</f>
        <v>2.486888</v>
      </c>
      <c r="I159">
        <f>IFERROR(VLOOKUP(Logs_Reseau_Part5[[#This Row],[Cell_ID]],Registre_Maintenance_Part[[ID_Antenne]:[Colonne2]],4,FALSE),"")</f>
        <v>23.798074</v>
      </c>
      <c r="J159" t="str">
        <f>IFERROR(VLOOKUP(Logs_Reseau_Part5[[#This Row],[Cell_ID]],Registre_Maintenance_Part[[ID_Antenne]:[Colonne2]],5,FALSE),"")</f>
        <v>5G</v>
      </c>
      <c r="K159" t="str">
        <f>IFERROR(VLOOKUP(Logs_Reseau_Part5[[#This Row],[Cell_ID]],Registre_Maintenance_Part[[ID_Antenne]:[Colonne2]],6,FALSE),"")</f>
        <v>ZTE</v>
      </c>
    </row>
    <row r="160" spans="1:11" x14ac:dyDescent="0.3">
      <c r="A160" t="s">
        <v>1026</v>
      </c>
      <c r="B160" s="1">
        <v>45230.633333333331</v>
      </c>
      <c r="C160" s="2">
        <v>45230.633333333331</v>
      </c>
      <c r="D160" t="s">
        <v>1057</v>
      </c>
      <c r="E160">
        <v>34</v>
      </c>
      <c r="F160" t="s">
        <v>734</v>
      </c>
      <c r="G160" t="str">
        <f>IFERROR(VLOOKUP(Logs_Reseau_Part5[[#This Row],[Cell_ID]],Registre_Maintenance_Part[[ID_Antenne]:[Colonne2]],2,FALSE),"")</f>
        <v>Kasai-Oriental</v>
      </c>
      <c r="H160">
        <f>IFERROR(VLOOKUP(Logs_Reseau_Part5[[#This Row],[Cell_ID]],Registre_Maintenance_Part[[ID_Antenne]:[Colonne2]],3,FALSE),"")</f>
        <v>2.486888</v>
      </c>
      <c r="I160">
        <f>IFERROR(VLOOKUP(Logs_Reseau_Part5[[#This Row],[Cell_ID]],Registre_Maintenance_Part[[ID_Antenne]:[Colonne2]],4,FALSE),"")</f>
        <v>23.798074</v>
      </c>
      <c r="J160" t="str">
        <f>IFERROR(VLOOKUP(Logs_Reseau_Part5[[#This Row],[Cell_ID]],Registre_Maintenance_Part[[ID_Antenne]:[Colonne2]],5,FALSE),"")</f>
        <v>5G</v>
      </c>
      <c r="K160" t="str">
        <f>IFERROR(VLOOKUP(Logs_Reseau_Part5[[#This Row],[Cell_ID]],Registre_Maintenance_Part[[ID_Antenne]:[Colonne2]],6,FALSE),"")</f>
        <v>ZTE</v>
      </c>
    </row>
    <row r="161" spans="1:11" x14ac:dyDescent="0.3">
      <c r="A161" t="s">
        <v>863</v>
      </c>
      <c r="B161" s="1">
        <v>45200.525694444441</v>
      </c>
      <c r="C161" s="2">
        <v>45200.525694444441</v>
      </c>
      <c r="D161" t="s">
        <v>868</v>
      </c>
      <c r="E161">
        <v>88</v>
      </c>
      <c r="F161" t="s">
        <v>739</v>
      </c>
      <c r="G161" t="str">
        <f>IFERROR(VLOOKUP(Logs_Reseau_Part5[[#This Row],[Cell_ID]],Registre_Maintenance_Part[[ID_Antenne]:[Colonne2]],2,FALSE),"")</f>
        <v>Kinshasa</v>
      </c>
      <c r="H161">
        <f>IFERROR(VLOOKUP(Logs_Reseau_Part5[[#This Row],[Cell_ID]],Registre_Maintenance_Part[[ID_Antenne]:[Colonne2]],3,FALSE),"")</f>
        <v>-1.6097570000000001</v>
      </c>
      <c r="I161">
        <f>IFERROR(VLOOKUP(Logs_Reseau_Part5[[#This Row],[Cell_ID]],Registre_Maintenance_Part[[ID_Antenne]:[Colonne2]],4,FALSE),"")</f>
        <v>30.661662</v>
      </c>
      <c r="J161" t="str">
        <f>IFERROR(VLOOKUP(Logs_Reseau_Part5[[#This Row],[Cell_ID]],Registre_Maintenance_Part[[ID_Antenne]:[Colonne2]],5,FALSE),"")</f>
        <v>4G</v>
      </c>
      <c r="K161" t="str">
        <f>IFERROR(VLOOKUP(Logs_Reseau_Part5[[#This Row],[Cell_ID]],Registre_Maintenance_Part[[ID_Antenne]:[Colonne2]],6,FALSE),"")</f>
        <v>Ericsson</v>
      </c>
    </row>
    <row r="162" spans="1:11" x14ac:dyDescent="0.3">
      <c r="A162" t="s">
        <v>1140</v>
      </c>
      <c r="B162" s="1">
        <v>45204.615972222222</v>
      </c>
      <c r="C162" s="2">
        <v>45204.615972222222</v>
      </c>
      <c r="D162" t="s">
        <v>1150</v>
      </c>
      <c r="E162">
        <v>41</v>
      </c>
      <c r="F162" t="s">
        <v>739</v>
      </c>
      <c r="G162" t="str">
        <f>IFERROR(VLOOKUP(Logs_Reseau_Part5[[#This Row],[Cell_ID]],Registre_Maintenance_Part[[ID_Antenne]:[Colonne2]],2,FALSE),"")</f>
        <v>Kinshasa</v>
      </c>
      <c r="H162">
        <f>IFERROR(VLOOKUP(Logs_Reseau_Part5[[#This Row],[Cell_ID]],Registre_Maintenance_Part[[ID_Antenne]:[Colonne2]],3,FALSE),"")</f>
        <v>1.3006180000000001</v>
      </c>
      <c r="I162">
        <f>IFERROR(VLOOKUP(Logs_Reseau_Part5[[#This Row],[Cell_ID]],Registre_Maintenance_Part[[ID_Antenne]:[Colonne2]],4,FALSE),"")</f>
        <v>29.060970999999999</v>
      </c>
      <c r="J162" t="str">
        <f>IFERROR(VLOOKUP(Logs_Reseau_Part5[[#This Row],[Cell_ID]],Registre_Maintenance_Part[[ID_Antenne]:[Colonne2]],5,FALSE),"")</f>
        <v>3G</v>
      </c>
      <c r="K162" t="str">
        <f>IFERROR(VLOOKUP(Logs_Reseau_Part5[[#This Row],[Cell_ID]],Registre_Maintenance_Part[[ID_Antenne]:[Colonne2]],6,FALSE),"")</f>
        <v>ZTE</v>
      </c>
    </row>
    <row r="163" spans="1:11" x14ac:dyDescent="0.3">
      <c r="A163" t="s">
        <v>1290</v>
      </c>
      <c r="B163" s="1">
        <v>45206.515972222223</v>
      </c>
      <c r="C163" s="2">
        <v>45206.515972222223</v>
      </c>
      <c r="D163" t="s">
        <v>1295</v>
      </c>
      <c r="E163">
        <v>108</v>
      </c>
      <c r="F163" t="s">
        <v>734</v>
      </c>
      <c r="G163" t="str">
        <f>IFERROR(VLOOKUP(Logs_Reseau_Part5[[#This Row],[Cell_ID]],Registre_Maintenance_Part[[ID_Antenne]:[Colonne2]],2,FALSE),"")</f>
        <v>Kinshasa</v>
      </c>
      <c r="H163">
        <f>IFERROR(VLOOKUP(Logs_Reseau_Part5[[#This Row],[Cell_ID]],Registre_Maintenance_Part[[ID_Antenne]:[Colonne2]],3,FALSE),"")</f>
        <v>-10.227569000000001</v>
      </c>
      <c r="I163">
        <f>IFERROR(VLOOKUP(Logs_Reseau_Part5[[#This Row],[Cell_ID]],Registre_Maintenance_Part[[ID_Antenne]:[Colonne2]],4,FALSE),"")</f>
        <v>18.887930999999998</v>
      </c>
      <c r="J163" t="str">
        <f>IFERROR(VLOOKUP(Logs_Reseau_Part5[[#This Row],[Cell_ID]],Registre_Maintenance_Part[[ID_Antenne]:[Colonne2]],5,FALSE),"")</f>
        <v>3G</v>
      </c>
      <c r="K163" t="str">
        <f>IFERROR(VLOOKUP(Logs_Reseau_Part5[[#This Row],[Cell_ID]],Registre_Maintenance_Part[[ID_Antenne]:[Colonne2]],6,FALSE),"")</f>
        <v>ZTE</v>
      </c>
    </row>
    <row r="164" spans="1:11" x14ac:dyDescent="0.3">
      <c r="A164" t="s">
        <v>1088</v>
      </c>
      <c r="B164" s="1">
        <v>45209.215277777781</v>
      </c>
      <c r="C164" s="2">
        <v>45209.215277777781</v>
      </c>
      <c r="D164" t="s">
        <v>1078</v>
      </c>
      <c r="E164">
        <v>23</v>
      </c>
      <c r="F164" t="s">
        <v>739</v>
      </c>
      <c r="G164" t="str">
        <f>IFERROR(VLOOKUP(Logs_Reseau_Part5[[#This Row],[Cell_ID]],Registre_Maintenance_Part[[ID_Antenne]:[Colonne2]],2,FALSE),"")</f>
        <v>Kinshasa</v>
      </c>
      <c r="H164">
        <f>IFERROR(VLOOKUP(Logs_Reseau_Part5[[#This Row],[Cell_ID]],Registre_Maintenance_Part[[ID_Antenne]:[Colonne2]],3,FALSE),"")</f>
        <v>-11.389362</v>
      </c>
      <c r="I164">
        <f>IFERROR(VLOOKUP(Logs_Reseau_Part5[[#This Row],[Cell_ID]],Registre_Maintenance_Part[[ID_Antenne]:[Colonne2]],4,FALSE),"")</f>
        <v>22.240174</v>
      </c>
      <c r="J164" t="str">
        <f>IFERROR(VLOOKUP(Logs_Reseau_Part5[[#This Row],[Cell_ID]],Registre_Maintenance_Part[[ID_Antenne]:[Colonne2]],5,FALSE),"")</f>
        <v>5G</v>
      </c>
      <c r="K164" t="str">
        <f>IFERROR(VLOOKUP(Logs_Reseau_Part5[[#This Row],[Cell_ID]],Registre_Maintenance_Part[[ID_Antenne]:[Colonne2]],6,FALSE),"")</f>
        <v>ZTE</v>
      </c>
    </row>
    <row r="165" spans="1:11" x14ac:dyDescent="0.3">
      <c r="A165" t="s">
        <v>1195</v>
      </c>
      <c r="B165" s="1">
        <v>45209.354861111111</v>
      </c>
      <c r="C165" s="2">
        <v>45209.354861111111</v>
      </c>
      <c r="D165" t="s">
        <v>1150</v>
      </c>
      <c r="E165">
        <v>99</v>
      </c>
      <c r="F165" t="s">
        <v>737</v>
      </c>
      <c r="G165" t="str">
        <f>IFERROR(VLOOKUP(Logs_Reseau_Part5[[#This Row],[Cell_ID]],Registre_Maintenance_Part[[ID_Antenne]:[Colonne2]],2,FALSE),"")</f>
        <v>Kinshasa</v>
      </c>
      <c r="H165">
        <f>IFERROR(VLOOKUP(Logs_Reseau_Part5[[#This Row],[Cell_ID]],Registre_Maintenance_Part[[ID_Antenne]:[Colonne2]],3,FALSE),"")</f>
        <v>1.3006180000000001</v>
      </c>
      <c r="I165">
        <f>IFERROR(VLOOKUP(Logs_Reseau_Part5[[#This Row],[Cell_ID]],Registre_Maintenance_Part[[ID_Antenne]:[Colonne2]],4,FALSE),"")</f>
        <v>29.060970999999999</v>
      </c>
      <c r="J165" t="str">
        <f>IFERROR(VLOOKUP(Logs_Reseau_Part5[[#This Row],[Cell_ID]],Registre_Maintenance_Part[[ID_Antenne]:[Colonne2]],5,FALSE),"")</f>
        <v>3G</v>
      </c>
      <c r="K165" t="str">
        <f>IFERROR(VLOOKUP(Logs_Reseau_Part5[[#This Row],[Cell_ID]],Registre_Maintenance_Part[[ID_Antenne]:[Colonne2]],6,FALSE),"")</f>
        <v>ZTE</v>
      </c>
    </row>
    <row r="166" spans="1:11" x14ac:dyDescent="0.3">
      <c r="A166" t="s">
        <v>825</v>
      </c>
      <c r="B166" s="1">
        <v>45210.568055555559</v>
      </c>
      <c r="C166" s="2">
        <v>45210.568055555559</v>
      </c>
      <c r="D166" t="s">
        <v>831</v>
      </c>
      <c r="E166">
        <v>96</v>
      </c>
      <c r="F166" t="s">
        <v>734</v>
      </c>
      <c r="G166" t="str">
        <f>IFERROR(VLOOKUP(Logs_Reseau_Part5[[#This Row],[Cell_ID]],Registre_Maintenance_Part[[ID_Antenne]:[Colonne2]],2,FALSE),"")</f>
        <v>Kinshasa</v>
      </c>
      <c r="H166">
        <f>IFERROR(VLOOKUP(Logs_Reseau_Part5[[#This Row],[Cell_ID]],Registre_Maintenance_Part[[ID_Antenne]:[Colonne2]],3,FALSE),"")</f>
        <v>-5.4126279999999998</v>
      </c>
      <c r="I166">
        <f>IFERROR(VLOOKUP(Logs_Reseau_Part5[[#This Row],[Cell_ID]],Registre_Maintenance_Part[[ID_Antenne]:[Colonne2]],4,FALSE),"")</f>
        <v>25.498235999999999</v>
      </c>
      <c r="J166" t="str">
        <f>IFERROR(VLOOKUP(Logs_Reseau_Part5[[#This Row],[Cell_ID]],Registre_Maintenance_Part[[ID_Antenne]:[Colonne2]],5,FALSE),"")</f>
        <v>5G</v>
      </c>
      <c r="K166" t="str">
        <f>IFERROR(VLOOKUP(Logs_Reseau_Part5[[#This Row],[Cell_ID]],Registre_Maintenance_Part[[ID_Antenne]:[Colonne2]],6,FALSE),"")</f>
        <v>ZTE</v>
      </c>
    </row>
    <row r="167" spans="1:11" x14ac:dyDescent="0.3">
      <c r="A167" t="s">
        <v>1167</v>
      </c>
      <c r="B167" s="1">
        <v>45215.056944444441</v>
      </c>
      <c r="C167" s="2">
        <v>45215.056944444441</v>
      </c>
      <c r="D167" t="s">
        <v>1153</v>
      </c>
      <c r="E167">
        <v>99</v>
      </c>
      <c r="F167" t="s">
        <v>737</v>
      </c>
      <c r="G167" t="str">
        <f>IFERROR(VLOOKUP(Logs_Reseau_Part5[[#This Row],[Cell_ID]],Registre_Maintenance_Part[[ID_Antenne]:[Colonne2]],2,FALSE),"")</f>
        <v>Kinshasa</v>
      </c>
      <c r="H167">
        <f>IFERROR(VLOOKUP(Logs_Reseau_Part5[[#This Row],[Cell_ID]],Registre_Maintenance_Part[[ID_Antenne]:[Colonne2]],3,FALSE),"")</f>
        <v>-2.6665070000000002</v>
      </c>
      <c r="I167">
        <f>IFERROR(VLOOKUP(Logs_Reseau_Part5[[#This Row],[Cell_ID]],Registre_Maintenance_Part[[ID_Antenne]:[Colonne2]],4,FALSE),"")</f>
        <v>18.623692999999999</v>
      </c>
      <c r="J167" t="str">
        <f>IFERROR(VLOOKUP(Logs_Reseau_Part5[[#This Row],[Cell_ID]],Registre_Maintenance_Part[[ID_Antenne]:[Colonne2]],5,FALSE),"")</f>
        <v>3G</v>
      </c>
      <c r="K167" t="str">
        <f>IFERROR(VLOOKUP(Logs_Reseau_Part5[[#This Row],[Cell_ID]],Registre_Maintenance_Part[[ID_Antenne]:[Colonne2]],6,FALSE),"")</f>
        <v>ZTE</v>
      </c>
    </row>
    <row r="168" spans="1:11" x14ac:dyDescent="0.3">
      <c r="A168" t="s">
        <v>1140</v>
      </c>
      <c r="B168" s="1">
        <v>45217.173611111109</v>
      </c>
      <c r="C168" s="2">
        <v>45217.173611111109</v>
      </c>
      <c r="D168" t="s">
        <v>868</v>
      </c>
      <c r="E168">
        <v>53</v>
      </c>
      <c r="F168" t="s">
        <v>737</v>
      </c>
      <c r="G168" t="str">
        <f>IFERROR(VLOOKUP(Logs_Reseau_Part5[[#This Row],[Cell_ID]],Registre_Maintenance_Part[[ID_Antenne]:[Colonne2]],2,FALSE),"")</f>
        <v>Kinshasa</v>
      </c>
      <c r="H168">
        <f>IFERROR(VLOOKUP(Logs_Reseau_Part5[[#This Row],[Cell_ID]],Registre_Maintenance_Part[[ID_Antenne]:[Colonne2]],3,FALSE),"")</f>
        <v>-1.6097570000000001</v>
      </c>
      <c r="I168">
        <f>IFERROR(VLOOKUP(Logs_Reseau_Part5[[#This Row],[Cell_ID]],Registre_Maintenance_Part[[ID_Antenne]:[Colonne2]],4,FALSE),"")</f>
        <v>30.661662</v>
      </c>
      <c r="J168" t="str">
        <f>IFERROR(VLOOKUP(Logs_Reseau_Part5[[#This Row],[Cell_ID]],Registre_Maintenance_Part[[ID_Antenne]:[Colonne2]],5,FALSE),"")</f>
        <v>4G</v>
      </c>
      <c r="K168" t="str">
        <f>IFERROR(VLOOKUP(Logs_Reseau_Part5[[#This Row],[Cell_ID]],Registre_Maintenance_Part[[ID_Antenne]:[Colonne2]],6,FALSE),"")</f>
        <v>Ericsson</v>
      </c>
    </row>
    <row r="169" spans="1:11" x14ac:dyDescent="0.3">
      <c r="A169" t="s">
        <v>1088</v>
      </c>
      <c r="B169" s="1">
        <v>45218.088888888888</v>
      </c>
      <c r="C169" s="2">
        <v>45218.088888888888</v>
      </c>
      <c r="D169" t="s">
        <v>1078</v>
      </c>
      <c r="E169">
        <v>12</v>
      </c>
      <c r="F169" t="s">
        <v>739</v>
      </c>
      <c r="G169" t="str">
        <f>IFERROR(VLOOKUP(Logs_Reseau_Part5[[#This Row],[Cell_ID]],Registre_Maintenance_Part[[ID_Antenne]:[Colonne2]],2,FALSE),"")</f>
        <v>Kinshasa</v>
      </c>
      <c r="H169">
        <f>IFERROR(VLOOKUP(Logs_Reseau_Part5[[#This Row],[Cell_ID]],Registre_Maintenance_Part[[ID_Antenne]:[Colonne2]],3,FALSE),"")</f>
        <v>-11.389362</v>
      </c>
      <c r="I169">
        <f>IFERROR(VLOOKUP(Logs_Reseau_Part5[[#This Row],[Cell_ID]],Registre_Maintenance_Part[[ID_Antenne]:[Colonne2]],4,FALSE),"")</f>
        <v>22.240174</v>
      </c>
      <c r="J169" t="str">
        <f>IFERROR(VLOOKUP(Logs_Reseau_Part5[[#This Row],[Cell_ID]],Registre_Maintenance_Part[[ID_Antenne]:[Colonne2]],5,FALSE),"")</f>
        <v>5G</v>
      </c>
      <c r="K169" t="str">
        <f>IFERROR(VLOOKUP(Logs_Reseau_Part5[[#This Row],[Cell_ID]],Registre_Maintenance_Part[[ID_Antenne]:[Colonne2]],6,FALSE),"")</f>
        <v>ZTE</v>
      </c>
    </row>
    <row r="170" spans="1:11" x14ac:dyDescent="0.3">
      <c r="A170" t="s">
        <v>825</v>
      </c>
      <c r="B170" s="1">
        <v>45221.265972222223</v>
      </c>
      <c r="C170" s="2">
        <v>45221.265972222223</v>
      </c>
      <c r="D170" t="s">
        <v>837</v>
      </c>
      <c r="E170">
        <v>88</v>
      </c>
      <c r="F170" t="s">
        <v>737</v>
      </c>
      <c r="G170" t="str">
        <f>IFERROR(VLOOKUP(Logs_Reseau_Part5[[#This Row],[Cell_ID]],Registre_Maintenance_Part[[ID_Antenne]:[Colonne2]],2,FALSE),"")</f>
        <v>Kinshasa</v>
      </c>
      <c r="H170">
        <f>IFERROR(VLOOKUP(Logs_Reseau_Part5[[#This Row],[Cell_ID]],Registre_Maintenance_Part[[ID_Antenne]:[Colonne2]],3,FALSE),"")</f>
        <v>-1.339734</v>
      </c>
      <c r="I170">
        <f>IFERROR(VLOOKUP(Logs_Reseau_Part5[[#This Row],[Cell_ID]],Registre_Maintenance_Part[[ID_Antenne]:[Colonne2]],4,FALSE),"")</f>
        <v>15.243098</v>
      </c>
      <c r="J170" t="str">
        <f>IFERROR(VLOOKUP(Logs_Reseau_Part5[[#This Row],[Cell_ID]],Registre_Maintenance_Part[[ID_Antenne]:[Colonne2]],5,FALSE),"")</f>
        <v>3G</v>
      </c>
      <c r="K170" t="str">
        <f>IFERROR(VLOOKUP(Logs_Reseau_Part5[[#This Row],[Cell_ID]],Registre_Maintenance_Part[[ID_Antenne]:[Colonne2]],6,FALSE),"")</f>
        <v>Nokia</v>
      </c>
    </row>
    <row r="171" spans="1:11" x14ac:dyDescent="0.3">
      <c r="A171" t="s">
        <v>1140</v>
      </c>
      <c r="B171" s="1">
        <v>45221.283333333333</v>
      </c>
      <c r="C171" s="2">
        <v>45221.283333333333</v>
      </c>
      <c r="D171" t="s">
        <v>1153</v>
      </c>
      <c r="E171">
        <v>22</v>
      </c>
      <c r="F171" t="s">
        <v>734</v>
      </c>
      <c r="G171" t="str">
        <f>IFERROR(VLOOKUP(Logs_Reseau_Part5[[#This Row],[Cell_ID]],Registre_Maintenance_Part[[ID_Antenne]:[Colonne2]],2,FALSE),"")</f>
        <v>Kinshasa</v>
      </c>
      <c r="H171">
        <f>IFERROR(VLOOKUP(Logs_Reseau_Part5[[#This Row],[Cell_ID]],Registre_Maintenance_Part[[ID_Antenne]:[Colonne2]],3,FALSE),"")</f>
        <v>-2.6665070000000002</v>
      </c>
      <c r="I171">
        <f>IFERROR(VLOOKUP(Logs_Reseau_Part5[[#This Row],[Cell_ID]],Registre_Maintenance_Part[[ID_Antenne]:[Colonne2]],4,FALSE),"")</f>
        <v>18.623692999999999</v>
      </c>
      <c r="J171" t="str">
        <f>IFERROR(VLOOKUP(Logs_Reseau_Part5[[#This Row],[Cell_ID]],Registre_Maintenance_Part[[ID_Antenne]:[Colonne2]],5,FALSE),"")</f>
        <v>3G</v>
      </c>
      <c r="K171" t="str">
        <f>IFERROR(VLOOKUP(Logs_Reseau_Part5[[#This Row],[Cell_ID]],Registre_Maintenance_Part[[ID_Antenne]:[Colonne2]],6,FALSE),"")</f>
        <v>ZTE</v>
      </c>
    </row>
    <row r="172" spans="1:11" x14ac:dyDescent="0.3">
      <c r="A172" t="s">
        <v>1061</v>
      </c>
      <c r="B172" s="1">
        <v>45222.179166666669</v>
      </c>
      <c r="C172" s="2">
        <v>45222.179166666669</v>
      </c>
      <c r="D172" t="s">
        <v>1066</v>
      </c>
      <c r="E172">
        <v>28</v>
      </c>
      <c r="F172" t="s">
        <v>737</v>
      </c>
      <c r="G172" t="str">
        <f>IFERROR(VLOOKUP(Logs_Reseau_Part5[[#This Row],[Cell_ID]],Registre_Maintenance_Part[[ID_Antenne]:[Colonne2]],2,FALSE),"")</f>
        <v>Kinshasa</v>
      </c>
      <c r="H172">
        <f>IFERROR(VLOOKUP(Logs_Reseau_Part5[[#This Row],[Cell_ID]],Registre_Maintenance_Part[[ID_Antenne]:[Colonne2]],3,FALSE),"")</f>
        <v>-0.90854400000000002</v>
      </c>
      <c r="I172">
        <f>IFERROR(VLOOKUP(Logs_Reseau_Part5[[#This Row],[Cell_ID]],Registre_Maintenance_Part[[ID_Antenne]:[Colonne2]],4,FALSE),"")</f>
        <v>17.154896999999998</v>
      </c>
      <c r="J172" t="str">
        <f>IFERROR(VLOOKUP(Logs_Reseau_Part5[[#This Row],[Cell_ID]],Registre_Maintenance_Part[[ID_Antenne]:[Colonne2]],5,FALSE),"")</f>
        <v>3G</v>
      </c>
      <c r="K172" t="str">
        <f>IFERROR(VLOOKUP(Logs_Reseau_Part5[[#This Row],[Cell_ID]],Registre_Maintenance_Part[[ID_Antenne]:[Colonne2]],6,FALSE),"")</f>
        <v>Huawei</v>
      </c>
    </row>
    <row r="173" spans="1:11" x14ac:dyDescent="0.3">
      <c r="A173" t="s">
        <v>1061</v>
      </c>
      <c r="B173" s="1">
        <v>45226.84097222222</v>
      </c>
      <c r="C173" s="2">
        <v>45226.84097222222</v>
      </c>
      <c r="D173" t="s">
        <v>1078</v>
      </c>
      <c r="E173">
        <v>74</v>
      </c>
      <c r="F173" t="s">
        <v>737</v>
      </c>
      <c r="G173" t="str">
        <f>IFERROR(VLOOKUP(Logs_Reseau_Part5[[#This Row],[Cell_ID]],Registre_Maintenance_Part[[ID_Antenne]:[Colonne2]],2,FALSE),"")</f>
        <v>Kinshasa</v>
      </c>
      <c r="H173">
        <f>IFERROR(VLOOKUP(Logs_Reseau_Part5[[#This Row],[Cell_ID]],Registre_Maintenance_Part[[ID_Antenne]:[Colonne2]],3,FALSE),"")</f>
        <v>-11.389362</v>
      </c>
      <c r="I173">
        <f>IFERROR(VLOOKUP(Logs_Reseau_Part5[[#This Row],[Cell_ID]],Registre_Maintenance_Part[[ID_Antenne]:[Colonne2]],4,FALSE),"")</f>
        <v>22.240174</v>
      </c>
      <c r="J173" t="str">
        <f>IFERROR(VLOOKUP(Logs_Reseau_Part5[[#This Row],[Cell_ID]],Registre_Maintenance_Part[[ID_Antenne]:[Colonne2]],5,FALSE),"")</f>
        <v>5G</v>
      </c>
      <c r="K173" t="str">
        <f>IFERROR(VLOOKUP(Logs_Reseau_Part5[[#This Row],[Cell_ID]],Registre_Maintenance_Part[[ID_Antenne]:[Colonne2]],6,FALSE),"")</f>
        <v>ZTE</v>
      </c>
    </row>
    <row r="174" spans="1:11" x14ac:dyDescent="0.3">
      <c r="A174" t="s">
        <v>1363</v>
      </c>
      <c r="B174" s="1">
        <v>45227.897916666669</v>
      </c>
      <c r="C174" s="2">
        <v>45227.897916666669</v>
      </c>
      <c r="D174" t="s">
        <v>1366</v>
      </c>
      <c r="E174">
        <v>61</v>
      </c>
      <c r="F174" t="s">
        <v>734</v>
      </c>
      <c r="G174" t="str">
        <f>IFERROR(VLOOKUP(Logs_Reseau_Part5[[#This Row],[Cell_ID]],Registre_Maintenance_Part[[ID_Antenne]:[Colonne2]],2,FALSE),"")</f>
        <v>Kinshasa</v>
      </c>
      <c r="H174">
        <f>IFERROR(VLOOKUP(Logs_Reseau_Part5[[#This Row],[Cell_ID]],Registre_Maintenance_Part[[ID_Antenne]:[Colonne2]],3,FALSE),"")</f>
        <v>-7.1079169999999996</v>
      </c>
      <c r="I174">
        <f>IFERROR(VLOOKUP(Logs_Reseau_Part5[[#This Row],[Cell_ID]],Registre_Maintenance_Part[[ID_Antenne]:[Colonne2]],4,FALSE),"")</f>
        <v>13.636272</v>
      </c>
      <c r="J174" t="str">
        <f>IFERROR(VLOOKUP(Logs_Reseau_Part5[[#This Row],[Cell_ID]],Registre_Maintenance_Part[[ID_Antenne]:[Colonne2]],5,FALSE),"")</f>
        <v>5G</v>
      </c>
      <c r="K174" t="str">
        <f>IFERROR(VLOOKUP(Logs_Reseau_Part5[[#This Row],[Cell_ID]],Registre_Maintenance_Part[[ID_Antenne]:[Colonne2]],6,FALSE),"")</f>
        <v>Nokia</v>
      </c>
    </row>
    <row r="175" spans="1:11" x14ac:dyDescent="0.3">
      <c r="A175" t="s">
        <v>1363</v>
      </c>
      <c r="B175" s="1">
        <v>45230.595138888893</v>
      </c>
      <c r="C175" s="2">
        <v>45230.595138888893</v>
      </c>
      <c r="D175" t="s">
        <v>1366</v>
      </c>
      <c r="E175">
        <v>14</v>
      </c>
      <c r="F175" t="s">
        <v>734</v>
      </c>
      <c r="G175" t="str">
        <f>IFERROR(VLOOKUP(Logs_Reseau_Part5[[#This Row],[Cell_ID]],Registre_Maintenance_Part[[ID_Antenne]:[Colonne2]],2,FALSE),"")</f>
        <v>Kinshasa</v>
      </c>
      <c r="H175">
        <f>IFERROR(VLOOKUP(Logs_Reseau_Part5[[#This Row],[Cell_ID]],Registre_Maintenance_Part[[ID_Antenne]:[Colonne2]],3,FALSE),"")</f>
        <v>-7.1079169999999996</v>
      </c>
      <c r="I175">
        <f>IFERROR(VLOOKUP(Logs_Reseau_Part5[[#This Row],[Cell_ID]],Registre_Maintenance_Part[[ID_Antenne]:[Colonne2]],4,FALSE),"")</f>
        <v>13.636272</v>
      </c>
      <c r="J175" t="str">
        <f>IFERROR(VLOOKUP(Logs_Reseau_Part5[[#This Row],[Cell_ID]],Registre_Maintenance_Part[[ID_Antenne]:[Colonne2]],5,FALSE),"")</f>
        <v>5G</v>
      </c>
      <c r="K175" t="str">
        <f>IFERROR(VLOOKUP(Logs_Reseau_Part5[[#This Row],[Cell_ID]],Registre_Maintenance_Part[[ID_Antenne]:[Colonne2]],6,FALSE),"")</f>
        <v>Nokia</v>
      </c>
    </row>
    <row r="176" spans="1:11" x14ac:dyDescent="0.3">
      <c r="A176" t="s">
        <v>1243</v>
      </c>
      <c r="B176" s="1">
        <v>45230.638888888891</v>
      </c>
      <c r="C176" s="2">
        <v>45230.638888888891</v>
      </c>
      <c r="D176" t="s">
        <v>1244</v>
      </c>
      <c r="E176">
        <v>77</v>
      </c>
      <c r="F176" t="s">
        <v>737</v>
      </c>
      <c r="G176" t="str">
        <f>IFERROR(VLOOKUP(Logs_Reseau_Part5[[#This Row],[Cell_ID]],Registre_Maintenance_Part[[ID_Antenne]:[Colonne2]],2,FALSE),"")</f>
        <v>Kinshasa</v>
      </c>
      <c r="H176">
        <f>IFERROR(VLOOKUP(Logs_Reseau_Part5[[#This Row],[Cell_ID]],Registre_Maintenance_Part[[ID_Antenne]:[Colonne2]],3,FALSE),"")</f>
        <v>-0.57104900000000003</v>
      </c>
      <c r="I176">
        <f>IFERROR(VLOOKUP(Logs_Reseau_Part5[[#This Row],[Cell_ID]],Registre_Maintenance_Part[[ID_Antenne]:[Colonne2]],4,FALSE),"")</f>
        <v>15.317663</v>
      </c>
      <c r="J176" t="str">
        <f>IFERROR(VLOOKUP(Logs_Reseau_Part5[[#This Row],[Cell_ID]],Registre_Maintenance_Part[[ID_Antenne]:[Colonne2]],5,FALSE),"")</f>
        <v>5G</v>
      </c>
      <c r="K176" t="str">
        <f>IFERROR(VLOOKUP(Logs_Reseau_Part5[[#This Row],[Cell_ID]],Registre_Maintenance_Part[[ID_Antenne]:[Colonne2]],6,FALSE),"")</f>
        <v>Nokia</v>
      </c>
    </row>
    <row r="177" spans="1:11" x14ac:dyDescent="0.3">
      <c r="A177" t="s">
        <v>1221</v>
      </c>
      <c r="B177" s="1">
        <v>45200.925694444442</v>
      </c>
      <c r="C177" s="2">
        <v>45200.925694444442</v>
      </c>
      <c r="D177" t="s">
        <v>741</v>
      </c>
      <c r="E177">
        <v>76</v>
      </c>
      <c r="F177" t="s">
        <v>739</v>
      </c>
      <c r="G177" t="str">
        <f>IFERROR(VLOOKUP(Logs_Reseau_Part5[[#This Row],[Cell_ID]],Registre_Maintenance_Part[[ID_Antenne]:[Colonne2]],2,FALSE),"")</f>
        <v>Kongo-Central</v>
      </c>
      <c r="H177">
        <f>IFERROR(VLOOKUP(Logs_Reseau_Part5[[#This Row],[Cell_ID]],Registre_Maintenance_Part[[ID_Antenne]:[Colonne2]],3,FALSE),"")</f>
        <v>-2.8211520000000001</v>
      </c>
      <c r="I177">
        <f>IFERROR(VLOOKUP(Logs_Reseau_Part5[[#This Row],[Cell_ID]],Registre_Maintenance_Part[[ID_Antenne]:[Colonne2]],4,FALSE),"")</f>
        <v>20.651419000000001</v>
      </c>
      <c r="J177" t="str">
        <f>IFERROR(VLOOKUP(Logs_Reseau_Part5[[#This Row],[Cell_ID]],Registre_Maintenance_Part[[ID_Antenne]:[Colonne2]],5,FALSE),"")</f>
        <v>5G</v>
      </c>
      <c r="K177" t="str">
        <f>IFERROR(VLOOKUP(Logs_Reseau_Part5[[#This Row],[Cell_ID]],Registre_Maintenance_Part[[ID_Antenne]:[Colonne2]],6,FALSE),"")</f>
        <v>Ericsson</v>
      </c>
    </row>
    <row r="178" spans="1:11" x14ac:dyDescent="0.3">
      <c r="A178" t="s">
        <v>1263</v>
      </c>
      <c r="B178" s="1">
        <v>45202.645138888889</v>
      </c>
      <c r="C178" s="2">
        <v>45202.645138888889</v>
      </c>
      <c r="D178" t="s">
        <v>1274</v>
      </c>
      <c r="E178">
        <v>106</v>
      </c>
      <c r="F178" t="s">
        <v>739</v>
      </c>
      <c r="G178" t="str">
        <f>IFERROR(VLOOKUP(Logs_Reseau_Part5[[#This Row],[Cell_ID]],Registre_Maintenance_Part[[ID_Antenne]:[Colonne2]],2,FALSE),"")</f>
        <v>Kongo-Central</v>
      </c>
      <c r="H178">
        <f>IFERROR(VLOOKUP(Logs_Reseau_Part5[[#This Row],[Cell_ID]],Registre_Maintenance_Part[[ID_Antenne]:[Colonne2]],3,FALSE),"")</f>
        <v>1.981107</v>
      </c>
      <c r="I178">
        <f>IFERROR(VLOOKUP(Logs_Reseau_Part5[[#This Row],[Cell_ID]],Registre_Maintenance_Part[[ID_Antenne]:[Colonne2]],4,FALSE),"")</f>
        <v>23.932569000000001</v>
      </c>
      <c r="J178" t="str">
        <f>IFERROR(VLOOKUP(Logs_Reseau_Part5[[#This Row],[Cell_ID]],Registre_Maintenance_Part[[ID_Antenne]:[Colonne2]],5,FALSE),"")</f>
        <v>3G</v>
      </c>
      <c r="K178" t="str">
        <f>IFERROR(VLOOKUP(Logs_Reseau_Part5[[#This Row],[Cell_ID]],Registre_Maintenance_Part[[ID_Antenne]:[Colonne2]],6,FALSE),"")</f>
        <v>Nokia</v>
      </c>
    </row>
    <row r="179" spans="1:11" x14ac:dyDescent="0.3">
      <c r="A179" t="s">
        <v>1290</v>
      </c>
      <c r="B179" s="1">
        <v>45202.775694444441</v>
      </c>
      <c r="C179" s="2">
        <v>45202.775694444441</v>
      </c>
      <c r="D179" t="s">
        <v>1274</v>
      </c>
      <c r="E179">
        <v>72</v>
      </c>
      <c r="F179" t="s">
        <v>734</v>
      </c>
      <c r="G179" t="str">
        <f>IFERROR(VLOOKUP(Logs_Reseau_Part5[[#This Row],[Cell_ID]],Registre_Maintenance_Part[[ID_Antenne]:[Colonne2]],2,FALSE),"")</f>
        <v>Kongo-Central</v>
      </c>
      <c r="H179">
        <f>IFERROR(VLOOKUP(Logs_Reseau_Part5[[#This Row],[Cell_ID]],Registre_Maintenance_Part[[ID_Antenne]:[Colonne2]],3,FALSE),"")</f>
        <v>1.981107</v>
      </c>
      <c r="I179">
        <f>IFERROR(VLOOKUP(Logs_Reseau_Part5[[#This Row],[Cell_ID]],Registre_Maintenance_Part[[ID_Antenne]:[Colonne2]],4,FALSE),"")</f>
        <v>23.932569000000001</v>
      </c>
      <c r="J179" t="str">
        <f>IFERROR(VLOOKUP(Logs_Reseau_Part5[[#This Row],[Cell_ID]],Registre_Maintenance_Part[[ID_Antenne]:[Colonne2]],5,FALSE),"")</f>
        <v>3G</v>
      </c>
      <c r="K179" t="str">
        <f>IFERROR(VLOOKUP(Logs_Reseau_Part5[[#This Row],[Cell_ID]],Registre_Maintenance_Part[[ID_Antenne]:[Colonne2]],6,FALSE),"")</f>
        <v>Nokia</v>
      </c>
    </row>
    <row r="180" spans="1:11" x14ac:dyDescent="0.3">
      <c r="A180" t="s">
        <v>1088</v>
      </c>
      <c r="B180" s="1">
        <v>45204.237500000003</v>
      </c>
      <c r="C180" s="2">
        <v>45204.237500000003</v>
      </c>
      <c r="D180" t="s">
        <v>958</v>
      </c>
      <c r="E180">
        <v>21</v>
      </c>
      <c r="F180" t="s">
        <v>737</v>
      </c>
      <c r="G180" t="str">
        <f>IFERROR(VLOOKUP(Logs_Reseau_Part5[[#This Row],[Cell_ID]],Registre_Maintenance_Part[[ID_Antenne]:[Colonne2]],2,FALSE),"")</f>
        <v>Kongo-Central</v>
      </c>
      <c r="H180">
        <f>IFERROR(VLOOKUP(Logs_Reseau_Part5[[#This Row],[Cell_ID]],Registre_Maintenance_Part[[ID_Antenne]:[Colonne2]],3,FALSE),"")</f>
        <v>2.975352</v>
      </c>
      <c r="I180">
        <f>IFERROR(VLOOKUP(Logs_Reseau_Part5[[#This Row],[Cell_ID]],Registre_Maintenance_Part[[ID_Antenne]:[Colonne2]],4,FALSE),"")</f>
        <v>22.535886000000001</v>
      </c>
      <c r="J180" t="str">
        <f>IFERROR(VLOOKUP(Logs_Reseau_Part5[[#This Row],[Cell_ID]],Registre_Maintenance_Part[[ID_Antenne]:[Colonne2]],5,FALSE),"")</f>
        <v>4G</v>
      </c>
      <c r="K180" t="str">
        <f>IFERROR(VLOOKUP(Logs_Reseau_Part5[[#This Row],[Cell_ID]],Registre_Maintenance_Part[[ID_Antenne]:[Colonne2]],6,FALSE),"")</f>
        <v>Huawei</v>
      </c>
    </row>
    <row r="181" spans="1:11" x14ac:dyDescent="0.3">
      <c r="A181" t="s">
        <v>1290</v>
      </c>
      <c r="B181" s="1">
        <v>45204.55</v>
      </c>
      <c r="C181" s="2">
        <v>45204.55</v>
      </c>
      <c r="D181" t="s">
        <v>958</v>
      </c>
      <c r="E181">
        <v>113</v>
      </c>
      <c r="F181" t="s">
        <v>737</v>
      </c>
      <c r="G181" t="str">
        <f>IFERROR(VLOOKUP(Logs_Reseau_Part5[[#This Row],[Cell_ID]],Registre_Maintenance_Part[[ID_Antenne]:[Colonne2]],2,FALSE),"")</f>
        <v>Kongo-Central</v>
      </c>
      <c r="H181">
        <f>IFERROR(VLOOKUP(Logs_Reseau_Part5[[#This Row],[Cell_ID]],Registre_Maintenance_Part[[ID_Antenne]:[Colonne2]],3,FALSE),"")</f>
        <v>2.975352</v>
      </c>
      <c r="I181">
        <f>IFERROR(VLOOKUP(Logs_Reseau_Part5[[#This Row],[Cell_ID]],Registre_Maintenance_Part[[ID_Antenne]:[Colonne2]],4,FALSE),"")</f>
        <v>22.535886000000001</v>
      </c>
      <c r="J181" t="str">
        <f>IFERROR(VLOOKUP(Logs_Reseau_Part5[[#This Row],[Cell_ID]],Registre_Maintenance_Part[[ID_Antenne]:[Colonne2]],5,FALSE),"")</f>
        <v>4G</v>
      </c>
      <c r="K181" t="str">
        <f>IFERROR(VLOOKUP(Logs_Reseau_Part5[[#This Row],[Cell_ID]],Registre_Maintenance_Part[[ID_Antenne]:[Colonne2]],6,FALSE),"")</f>
        <v>Huawei</v>
      </c>
    </row>
    <row r="182" spans="1:11" x14ac:dyDescent="0.3">
      <c r="A182" t="s">
        <v>1332</v>
      </c>
      <c r="B182" s="1">
        <v>45205.650694444441</v>
      </c>
      <c r="C182" s="2">
        <v>45205.650694444441</v>
      </c>
      <c r="D182" t="s">
        <v>1344</v>
      </c>
      <c r="E182">
        <v>63</v>
      </c>
      <c r="F182" t="s">
        <v>734</v>
      </c>
      <c r="G182" t="str">
        <f>IFERROR(VLOOKUP(Logs_Reseau_Part5[[#This Row],[Cell_ID]],Registre_Maintenance_Part[[ID_Antenne]:[Colonne2]],2,FALSE),"")</f>
        <v>Kongo-Central</v>
      </c>
      <c r="H182">
        <f>IFERROR(VLOOKUP(Logs_Reseau_Part5[[#This Row],[Cell_ID]],Registre_Maintenance_Part[[ID_Antenne]:[Colonne2]],3,FALSE),"")</f>
        <v>-10.977309</v>
      </c>
      <c r="I182">
        <f>IFERROR(VLOOKUP(Logs_Reseau_Part5[[#This Row],[Cell_ID]],Registre_Maintenance_Part[[ID_Antenne]:[Colonne2]],4,FALSE),"")</f>
        <v>12.408281000000001</v>
      </c>
      <c r="J182" t="str">
        <f>IFERROR(VLOOKUP(Logs_Reseau_Part5[[#This Row],[Cell_ID]],Registre_Maintenance_Part[[ID_Antenne]:[Colonne2]],5,FALSE),"")</f>
        <v>5G</v>
      </c>
      <c r="K182" t="str">
        <f>IFERROR(VLOOKUP(Logs_Reseau_Part5[[#This Row],[Cell_ID]],Registre_Maintenance_Part[[ID_Antenne]:[Colonne2]],6,FALSE),"")</f>
        <v>ZTE</v>
      </c>
    </row>
    <row r="183" spans="1:11" x14ac:dyDescent="0.3">
      <c r="A183" t="s">
        <v>1290</v>
      </c>
      <c r="B183" s="1">
        <v>45205.768750000003</v>
      </c>
      <c r="C183" s="2">
        <v>45205.768750000003</v>
      </c>
      <c r="D183" t="s">
        <v>1299</v>
      </c>
      <c r="E183">
        <v>36</v>
      </c>
      <c r="F183" t="s">
        <v>734</v>
      </c>
      <c r="G183" t="str">
        <f>IFERROR(VLOOKUP(Logs_Reseau_Part5[[#This Row],[Cell_ID]],Registre_Maintenance_Part[[ID_Antenne]:[Colonne2]],2,FALSE),"")</f>
        <v>Kongo-Central</v>
      </c>
      <c r="H183">
        <f>IFERROR(VLOOKUP(Logs_Reseau_Part5[[#This Row],[Cell_ID]],Registre_Maintenance_Part[[ID_Antenne]:[Colonne2]],3,FALSE),"")</f>
        <v>-0.469945</v>
      </c>
      <c r="I183">
        <f>IFERROR(VLOOKUP(Logs_Reseau_Part5[[#This Row],[Cell_ID]],Registre_Maintenance_Part[[ID_Antenne]:[Colonne2]],4,FALSE),"")</f>
        <v>21.038527999999999</v>
      </c>
      <c r="J183" t="str">
        <f>IFERROR(VLOOKUP(Logs_Reseau_Part5[[#This Row],[Cell_ID]],Registre_Maintenance_Part[[ID_Antenne]:[Colonne2]],5,FALSE),"")</f>
        <v>3G</v>
      </c>
      <c r="K183" t="str">
        <f>IFERROR(VLOOKUP(Logs_Reseau_Part5[[#This Row],[Cell_ID]],Registre_Maintenance_Part[[ID_Antenne]:[Colonne2]],6,FALSE),"")</f>
        <v>Ericsson</v>
      </c>
    </row>
    <row r="184" spans="1:11" x14ac:dyDescent="0.3">
      <c r="A184" t="s">
        <v>1332</v>
      </c>
      <c r="B184" s="1">
        <v>45207.074305555558</v>
      </c>
      <c r="C184" s="2">
        <v>45207.074305555558</v>
      </c>
      <c r="D184" t="s">
        <v>1287</v>
      </c>
      <c r="E184">
        <v>57</v>
      </c>
      <c r="F184" t="s">
        <v>734</v>
      </c>
      <c r="G184" t="str">
        <f>IFERROR(VLOOKUP(Logs_Reseau_Part5[[#This Row],[Cell_ID]],Registre_Maintenance_Part[[ID_Antenne]:[Colonne2]],2,FALSE),"")</f>
        <v>Kongo-Central</v>
      </c>
      <c r="H184">
        <f>IFERROR(VLOOKUP(Logs_Reseau_Part5[[#This Row],[Cell_ID]],Registre_Maintenance_Part[[ID_Antenne]:[Colonne2]],3,FALSE),"")</f>
        <v>-7.1587569999999996</v>
      </c>
      <c r="I184">
        <f>IFERROR(VLOOKUP(Logs_Reseau_Part5[[#This Row],[Cell_ID]],Registre_Maintenance_Part[[ID_Antenne]:[Colonne2]],4,FALSE),"")</f>
        <v>18.975141000000001</v>
      </c>
      <c r="J184" t="str">
        <f>IFERROR(VLOOKUP(Logs_Reseau_Part5[[#This Row],[Cell_ID]],Registre_Maintenance_Part[[ID_Antenne]:[Colonne2]],5,FALSE),"")</f>
        <v>5G</v>
      </c>
      <c r="K184" t="str">
        <f>IFERROR(VLOOKUP(Logs_Reseau_Part5[[#This Row],[Cell_ID]],Registre_Maintenance_Part[[ID_Antenne]:[Colonne2]],6,FALSE),"")</f>
        <v>Ericsson</v>
      </c>
    </row>
    <row r="185" spans="1:11" x14ac:dyDescent="0.3">
      <c r="A185" t="s">
        <v>1263</v>
      </c>
      <c r="B185" s="1">
        <v>45207.668055555558</v>
      </c>
      <c r="C185" s="2">
        <v>45207.668055555558</v>
      </c>
      <c r="D185" t="s">
        <v>1287</v>
      </c>
      <c r="E185">
        <v>113</v>
      </c>
      <c r="F185" t="s">
        <v>734</v>
      </c>
      <c r="G185" t="str">
        <f>IFERROR(VLOOKUP(Logs_Reseau_Part5[[#This Row],[Cell_ID]],Registre_Maintenance_Part[[ID_Antenne]:[Colonne2]],2,FALSE),"")</f>
        <v>Kongo-Central</v>
      </c>
      <c r="H185">
        <f>IFERROR(VLOOKUP(Logs_Reseau_Part5[[#This Row],[Cell_ID]],Registre_Maintenance_Part[[ID_Antenne]:[Colonne2]],3,FALSE),"")</f>
        <v>-7.1587569999999996</v>
      </c>
      <c r="I185">
        <f>IFERROR(VLOOKUP(Logs_Reseau_Part5[[#This Row],[Cell_ID]],Registre_Maintenance_Part[[ID_Antenne]:[Colonne2]],4,FALSE),"")</f>
        <v>18.975141000000001</v>
      </c>
      <c r="J185" t="str">
        <f>IFERROR(VLOOKUP(Logs_Reseau_Part5[[#This Row],[Cell_ID]],Registre_Maintenance_Part[[ID_Antenne]:[Colonne2]],5,FALSE),"")</f>
        <v>5G</v>
      </c>
      <c r="K185" t="str">
        <f>IFERROR(VLOOKUP(Logs_Reseau_Part5[[#This Row],[Cell_ID]],Registre_Maintenance_Part[[ID_Antenne]:[Colonne2]],6,FALSE),"")</f>
        <v>Ericsson</v>
      </c>
    </row>
    <row r="186" spans="1:11" x14ac:dyDescent="0.3">
      <c r="A186" t="s">
        <v>863</v>
      </c>
      <c r="B186" s="1">
        <v>45212.965277777781</v>
      </c>
      <c r="C186" s="2">
        <v>45212.965277777781</v>
      </c>
      <c r="D186" t="s">
        <v>866</v>
      </c>
      <c r="E186">
        <v>27</v>
      </c>
      <c r="F186" t="s">
        <v>739</v>
      </c>
      <c r="G186" t="str">
        <f>IFERROR(VLOOKUP(Logs_Reseau_Part5[[#This Row],[Cell_ID]],Registre_Maintenance_Part[[ID_Antenne]:[Colonne2]],2,FALSE),"")</f>
        <v>Kongo-Central</v>
      </c>
      <c r="H186">
        <f>IFERROR(VLOOKUP(Logs_Reseau_Part5[[#This Row],[Cell_ID]],Registre_Maintenance_Part[[ID_Antenne]:[Colonne2]],3,FALSE),"")</f>
        <v>0.79124300000000003</v>
      </c>
      <c r="I186">
        <f>IFERROR(VLOOKUP(Logs_Reseau_Part5[[#This Row],[Cell_ID]],Registre_Maintenance_Part[[ID_Antenne]:[Colonne2]],4,FALSE),"")</f>
        <v>25.273389000000002</v>
      </c>
      <c r="J186" t="str">
        <f>IFERROR(VLOOKUP(Logs_Reseau_Part5[[#This Row],[Cell_ID]],Registre_Maintenance_Part[[ID_Antenne]:[Colonne2]],5,FALSE),"")</f>
        <v>4G</v>
      </c>
      <c r="K186" t="str">
        <f>IFERROR(VLOOKUP(Logs_Reseau_Part5[[#This Row],[Cell_ID]],Registre_Maintenance_Part[[ID_Antenne]:[Colonne2]],6,FALSE),"")</f>
        <v>Nokia</v>
      </c>
    </row>
    <row r="187" spans="1:11" x14ac:dyDescent="0.3">
      <c r="A187" t="s">
        <v>825</v>
      </c>
      <c r="B187" s="1">
        <v>45213.022916666669</v>
      </c>
      <c r="C187" s="2">
        <v>45213.022916666669</v>
      </c>
      <c r="D187" t="s">
        <v>741</v>
      </c>
      <c r="E187">
        <v>56</v>
      </c>
      <c r="F187" t="s">
        <v>739</v>
      </c>
      <c r="G187" t="str">
        <f>IFERROR(VLOOKUP(Logs_Reseau_Part5[[#This Row],[Cell_ID]],Registre_Maintenance_Part[[ID_Antenne]:[Colonne2]],2,FALSE),"")</f>
        <v>Kongo-Central</v>
      </c>
      <c r="H187">
        <f>IFERROR(VLOOKUP(Logs_Reseau_Part5[[#This Row],[Cell_ID]],Registre_Maintenance_Part[[ID_Antenne]:[Colonne2]],3,FALSE),"")</f>
        <v>-2.8211520000000001</v>
      </c>
      <c r="I187">
        <f>IFERROR(VLOOKUP(Logs_Reseau_Part5[[#This Row],[Cell_ID]],Registre_Maintenance_Part[[ID_Antenne]:[Colonne2]],4,FALSE),"")</f>
        <v>20.651419000000001</v>
      </c>
      <c r="J187" t="str">
        <f>IFERROR(VLOOKUP(Logs_Reseau_Part5[[#This Row],[Cell_ID]],Registre_Maintenance_Part[[ID_Antenne]:[Colonne2]],5,FALSE),"")</f>
        <v>5G</v>
      </c>
      <c r="K187" t="str">
        <f>IFERROR(VLOOKUP(Logs_Reseau_Part5[[#This Row],[Cell_ID]],Registre_Maintenance_Part[[ID_Antenne]:[Colonne2]],6,FALSE),"")</f>
        <v>Ericsson</v>
      </c>
    </row>
    <row r="188" spans="1:11" x14ac:dyDescent="0.3">
      <c r="A188" t="s">
        <v>732</v>
      </c>
      <c r="B188" s="1">
        <v>45213.042361111111</v>
      </c>
      <c r="C188" s="2">
        <v>45213.042361111111</v>
      </c>
      <c r="D188" t="s">
        <v>741</v>
      </c>
      <c r="E188">
        <v>119</v>
      </c>
      <c r="F188" t="s">
        <v>737</v>
      </c>
      <c r="G188" t="str">
        <f>IFERROR(VLOOKUP(Logs_Reseau_Part5[[#This Row],[Cell_ID]],Registre_Maintenance_Part[[ID_Antenne]:[Colonne2]],2,FALSE),"")</f>
        <v>Kongo-Central</v>
      </c>
      <c r="H188">
        <f>IFERROR(VLOOKUP(Logs_Reseau_Part5[[#This Row],[Cell_ID]],Registre_Maintenance_Part[[ID_Antenne]:[Colonne2]],3,FALSE),"")</f>
        <v>-2.8211520000000001</v>
      </c>
      <c r="I188">
        <f>IFERROR(VLOOKUP(Logs_Reseau_Part5[[#This Row],[Cell_ID]],Registre_Maintenance_Part[[ID_Antenne]:[Colonne2]],4,FALSE),"")</f>
        <v>20.651419000000001</v>
      </c>
      <c r="J188" t="str">
        <f>IFERROR(VLOOKUP(Logs_Reseau_Part5[[#This Row],[Cell_ID]],Registre_Maintenance_Part[[ID_Antenne]:[Colonne2]],5,FALSE),"")</f>
        <v>5G</v>
      </c>
      <c r="K188" t="str">
        <f>IFERROR(VLOOKUP(Logs_Reseau_Part5[[#This Row],[Cell_ID]],Registre_Maintenance_Part[[ID_Antenne]:[Colonne2]],6,FALSE),"")</f>
        <v>Ericsson</v>
      </c>
    </row>
    <row r="189" spans="1:11" x14ac:dyDescent="0.3">
      <c r="A189" t="s">
        <v>1167</v>
      </c>
      <c r="B189" s="1">
        <v>45215.288194444453</v>
      </c>
      <c r="C189" s="2">
        <v>45215.288194444453</v>
      </c>
      <c r="D189" t="s">
        <v>1180</v>
      </c>
      <c r="E189">
        <v>109</v>
      </c>
      <c r="F189" t="s">
        <v>734</v>
      </c>
      <c r="G189" t="str">
        <f>IFERROR(VLOOKUP(Logs_Reseau_Part5[[#This Row],[Cell_ID]],Registre_Maintenance_Part[[ID_Antenne]:[Colonne2]],2,FALSE),"")</f>
        <v>Kongo-Central</v>
      </c>
      <c r="H189">
        <f>IFERROR(VLOOKUP(Logs_Reseau_Part5[[#This Row],[Cell_ID]],Registre_Maintenance_Part[[ID_Antenne]:[Colonne2]],3,FALSE),"")</f>
        <v>-11.157245</v>
      </c>
      <c r="I189">
        <f>IFERROR(VLOOKUP(Logs_Reseau_Part5[[#This Row],[Cell_ID]],Registre_Maintenance_Part[[ID_Antenne]:[Colonne2]],4,FALSE),"")</f>
        <v>21.262627999999999</v>
      </c>
      <c r="J189" t="str">
        <f>IFERROR(VLOOKUP(Logs_Reseau_Part5[[#This Row],[Cell_ID]],Registre_Maintenance_Part[[ID_Antenne]:[Colonne2]],5,FALSE),"")</f>
        <v>5G</v>
      </c>
      <c r="K189" t="str">
        <f>IFERROR(VLOOKUP(Logs_Reseau_Part5[[#This Row],[Cell_ID]],Registre_Maintenance_Part[[ID_Antenne]:[Colonne2]],6,FALSE),"")</f>
        <v>ZTE</v>
      </c>
    </row>
    <row r="190" spans="1:11" x14ac:dyDescent="0.3">
      <c r="A190" t="s">
        <v>1332</v>
      </c>
      <c r="B190" s="1">
        <v>45215.704861111109</v>
      </c>
      <c r="C190" s="2">
        <v>45215.704861111109</v>
      </c>
      <c r="D190" t="s">
        <v>977</v>
      </c>
      <c r="E190">
        <v>107</v>
      </c>
      <c r="F190" t="s">
        <v>734</v>
      </c>
      <c r="G190" t="str">
        <f>IFERROR(VLOOKUP(Logs_Reseau_Part5[[#This Row],[Cell_ID]],Registre_Maintenance_Part[[ID_Antenne]:[Colonne2]],2,FALSE),"")</f>
        <v>Kongo-Central</v>
      </c>
      <c r="H190">
        <f>IFERROR(VLOOKUP(Logs_Reseau_Part5[[#This Row],[Cell_ID]],Registre_Maintenance_Part[[ID_Antenne]:[Colonne2]],3,FALSE),"")</f>
        <v>-12.564277000000001</v>
      </c>
      <c r="I190">
        <f>IFERROR(VLOOKUP(Logs_Reseau_Part5[[#This Row],[Cell_ID]],Registre_Maintenance_Part[[ID_Antenne]:[Colonne2]],4,FALSE),"")</f>
        <v>28.480798</v>
      </c>
      <c r="J190" t="str">
        <f>IFERROR(VLOOKUP(Logs_Reseau_Part5[[#This Row],[Cell_ID]],Registre_Maintenance_Part[[ID_Antenne]:[Colonne2]],5,FALSE),"")</f>
        <v>5G</v>
      </c>
      <c r="K190" t="str">
        <f>IFERROR(VLOOKUP(Logs_Reseau_Part5[[#This Row],[Cell_ID]],Registre_Maintenance_Part[[ID_Antenne]:[Colonne2]],6,FALSE),"")</f>
        <v>ZTE</v>
      </c>
    </row>
    <row r="191" spans="1:11" x14ac:dyDescent="0.3">
      <c r="A191" t="s">
        <v>1347</v>
      </c>
      <c r="B191" s="1">
        <v>45218.381944444453</v>
      </c>
      <c r="C191" s="2">
        <v>45218.381944444453</v>
      </c>
      <c r="D191" t="s">
        <v>741</v>
      </c>
      <c r="E191">
        <v>81</v>
      </c>
      <c r="F191" t="s">
        <v>737</v>
      </c>
      <c r="G191" t="str">
        <f>IFERROR(VLOOKUP(Logs_Reseau_Part5[[#This Row],[Cell_ID]],Registre_Maintenance_Part[[ID_Antenne]:[Colonne2]],2,FALSE),"")</f>
        <v>Kongo-Central</v>
      </c>
      <c r="H191">
        <f>IFERROR(VLOOKUP(Logs_Reseau_Part5[[#This Row],[Cell_ID]],Registre_Maintenance_Part[[ID_Antenne]:[Colonne2]],3,FALSE),"")</f>
        <v>-2.8211520000000001</v>
      </c>
      <c r="I191">
        <f>IFERROR(VLOOKUP(Logs_Reseau_Part5[[#This Row],[Cell_ID]],Registre_Maintenance_Part[[ID_Antenne]:[Colonne2]],4,FALSE),"")</f>
        <v>20.651419000000001</v>
      </c>
      <c r="J191" t="str">
        <f>IFERROR(VLOOKUP(Logs_Reseau_Part5[[#This Row],[Cell_ID]],Registre_Maintenance_Part[[ID_Antenne]:[Colonne2]],5,FALSE),"")</f>
        <v>5G</v>
      </c>
      <c r="K191" t="str">
        <f>IFERROR(VLOOKUP(Logs_Reseau_Part5[[#This Row],[Cell_ID]],Registre_Maintenance_Part[[ID_Antenne]:[Colonne2]],6,FALSE),"")</f>
        <v>Ericsson</v>
      </c>
    </row>
    <row r="192" spans="1:11" x14ac:dyDescent="0.3">
      <c r="A192" t="s">
        <v>1140</v>
      </c>
      <c r="B192" s="1">
        <v>45219.476388888892</v>
      </c>
      <c r="C192" s="2">
        <v>45219.476388888892</v>
      </c>
      <c r="D192" t="s">
        <v>741</v>
      </c>
      <c r="E192">
        <v>57</v>
      </c>
      <c r="F192" t="s">
        <v>734</v>
      </c>
      <c r="G192" t="str">
        <f>IFERROR(VLOOKUP(Logs_Reseau_Part5[[#This Row],[Cell_ID]],Registre_Maintenance_Part[[ID_Antenne]:[Colonne2]],2,FALSE),"")</f>
        <v>Kongo-Central</v>
      </c>
      <c r="H192">
        <f>IFERROR(VLOOKUP(Logs_Reseau_Part5[[#This Row],[Cell_ID]],Registre_Maintenance_Part[[ID_Antenne]:[Colonne2]],3,FALSE),"")</f>
        <v>-2.8211520000000001</v>
      </c>
      <c r="I192">
        <f>IFERROR(VLOOKUP(Logs_Reseau_Part5[[#This Row],[Cell_ID]],Registre_Maintenance_Part[[ID_Antenne]:[Colonne2]],4,FALSE),"")</f>
        <v>20.651419000000001</v>
      </c>
      <c r="J192" t="str">
        <f>IFERROR(VLOOKUP(Logs_Reseau_Part5[[#This Row],[Cell_ID]],Registre_Maintenance_Part[[ID_Antenne]:[Colonne2]],5,FALSE),"")</f>
        <v>5G</v>
      </c>
      <c r="K192" t="str">
        <f>IFERROR(VLOOKUP(Logs_Reseau_Part5[[#This Row],[Cell_ID]],Registre_Maintenance_Part[[ID_Antenne]:[Colonne2]],6,FALSE),"")</f>
        <v>Ericsson</v>
      </c>
    </row>
    <row r="193" spans="1:11" x14ac:dyDescent="0.3">
      <c r="A193" t="s">
        <v>1347</v>
      </c>
      <c r="B193" s="1">
        <v>45219.569444444453</v>
      </c>
      <c r="C193" s="2">
        <v>45219.569444444453</v>
      </c>
      <c r="D193" t="s">
        <v>1287</v>
      </c>
      <c r="E193">
        <v>96</v>
      </c>
      <c r="F193" t="s">
        <v>734</v>
      </c>
      <c r="G193" t="str">
        <f>IFERROR(VLOOKUP(Logs_Reseau_Part5[[#This Row],[Cell_ID]],Registre_Maintenance_Part[[ID_Antenne]:[Colonne2]],2,FALSE),"")</f>
        <v>Kongo-Central</v>
      </c>
      <c r="H193">
        <f>IFERROR(VLOOKUP(Logs_Reseau_Part5[[#This Row],[Cell_ID]],Registre_Maintenance_Part[[ID_Antenne]:[Colonne2]],3,FALSE),"")</f>
        <v>-7.1587569999999996</v>
      </c>
      <c r="I193">
        <f>IFERROR(VLOOKUP(Logs_Reseau_Part5[[#This Row],[Cell_ID]],Registre_Maintenance_Part[[ID_Antenne]:[Colonne2]],4,FALSE),"")</f>
        <v>18.975141000000001</v>
      </c>
      <c r="J193" t="str">
        <f>IFERROR(VLOOKUP(Logs_Reseau_Part5[[#This Row],[Cell_ID]],Registre_Maintenance_Part[[ID_Antenne]:[Colonne2]],5,FALSE),"")</f>
        <v>5G</v>
      </c>
      <c r="K193" t="str">
        <f>IFERROR(VLOOKUP(Logs_Reseau_Part5[[#This Row],[Cell_ID]],Registre_Maintenance_Part[[ID_Antenne]:[Colonne2]],6,FALSE),"")</f>
        <v>Ericsson</v>
      </c>
    </row>
    <row r="194" spans="1:11" x14ac:dyDescent="0.3">
      <c r="A194" t="s">
        <v>1026</v>
      </c>
      <c r="B194" s="1">
        <v>45219.683333333327</v>
      </c>
      <c r="C194" s="2">
        <v>45219.683333333327</v>
      </c>
      <c r="D194" t="s">
        <v>1030</v>
      </c>
      <c r="E194">
        <v>99</v>
      </c>
      <c r="F194" t="s">
        <v>737</v>
      </c>
      <c r="G194" t="str">
        <f>IFERROR(VLOOKUP(Logs_Reseau_Part5[[#This Row],[Cell_ID]],Registre_Maintenance_Part[[ID_Antenne]:[Colonne2]],2,FALSE),"")</f>
        <v>Kongo-Central</v>
      </c>
      <c r="H194">
        <f>IFERROR(VLOOKUP(Logs_Reseau_Part5[[#This Row],[Cell_ID]],Registre_Maintenance_Part[[ID_Antenne]:[Colonne2]],3,FALSE),"")</f>
        <v>-9.5840350000000001</v>
      </c>
      <c r="I194">
        <f>IFERROR(VLOOKUP(Logs_Reseau_Part5[[#This Row],[Cell_ID]],Registre_Maintenance_Part[[ID_Antenne]:[Colonne2]],4,FALSE),"")</f>
        <v>15.966024000000001</v>
      </c>
      <c r="J194" t="str">
        <f>IFERROR(VLOOKUP(Logs_Reseau_Part5[[#This Row],[Cell_ID]],Registre_Maintenance_Part[[ID_Antenne]:[Colonne2]],5,FALSE),"")</f>
        <v>5G</v>
      </c>
      <c r="K194" t="str">
        <f>IFERROR(VLOOKUP(Logs_Reseau_Part5[[#This Row],[Cell_ID]],Registre_Maintenance_Part[[ID_Antenne]:[Colonne2]],6,FALSE),"")</f>
        <v>Nokia</v>
      </c>
    </row>
    <row r="195" spans="1:11" x14ac:dyDescent="0.3">
      <c r="A195" t="s">
        <v>1332</v>
      </c>
      <c r="B195" s="1">
        <v>45220.154861111107</v>
      </c>
      <c r="C195" s="2">
        <v>45220.154861111107</v>
      </c>
      <c r="D195" t="s">
        <v>1135</v>
      </c>
      <c r="E195">
        <v>53</v>
      </c>
      <c r="F195" t="s">
        <v>734</v>
      </c>
      <c r="G195" t="str">
        <f>IFERROR(VLOOKUP(Logs_Reseau_Part5[[#This Row],[Cell_ID]],Registre_Maintenance_Part[[ID_Antenne]:[Colonne2]],2,FALSE),"")</f>
        <v>Kongo-Central</v>
      </c>
      <c r="H195">
        <f>IFERROR(VLOOKUP(Logs_Reseau_Part5[[#This Row],[Cell_ID]],Registre_Maintenance_Part[[ID_Antenne]:[Colonne2]],3,FALSE),"")</f>
        <v>-9.8208710000000004</v>
      </c>
      <c r="I195">
        <f>IFERROR(VLOOKUP(Logs_Reseau_Part5[[#This Row],[Cell_ID]],Registre_Maintenance_Part[[ID_Antenne]:[Colonne2]],4,FALSE),"")</f>
        <v>23.229807000000001</v>
      </c>
      <c r="J195" t="str">
        <f>IFERROR(VLOOKUP(Logs_Reseau_Part5[[#This Row],[Cell_ID]],Registre_Maintenance_Part[[ID_Antenne]:[Colonne2]],5,FALSE),"")</f>
        <v>5G</v>
      </c>
      <c r="K195" t="str">
        <f>IFERROR(VLOOKUP(Logs_Reseau_Part5[[#This Row],[Cell_ID]],Registre_Maintenance_Part[[ID_Antenne]:[Colonne2]],6,FALSE),"")</f>
        <v>Nokia</v>
      </c>
    </row>
    <row r="196" spans="1:11" x14ac:dyDescent="0.3">
      <c r="A196" t="s">
        <v>941</v>
      </c>
      <c r="B196" s="1">
        <v>45222.663194444453</v>
      </c>
      <c r="C196" s="2">
        <v>45222.663194444453</v>
      </c>
      <c r="D196" t="s">
        <v>958</v>
      </c>
      <c r="E196">
        <v>6</v>
      </c>
      <c r="F196" t="s">
        <v>739</v>
      </c>
      <c r="G196" t="str">
        <f>IFERROR(VLOOKUP(Logs_Reseau_Part5[[#This Row],[Cell_ID]],Registre_Maintenance_Part[[ID_Antenne]:[Colonne2]],2,FALSE),"")</f>
        <v>Kongo-Central</v>
      </c>
      <c r="H196">
        <f>IFERROR(VLOOKUP(Logs_Reseau_Part5[[#This Row],[Cell_ID]],Registre_Maintenance_Part[[ID_Antenne]:[Colonne2]],3,FALSE),"")</f>
        <v>2.975352</v>
      </c>
      <c r="I196">
        <f>IFERROR(VLOOKUP(Logs_Reseau_Part5[[#This Row],[Cell_ID]],Registre_Maintenance_Part[[ID_Antenne]:[Colonne2]],4,FALSE),"")</f>
        <v>22.535886000000001</v>
      </c>
      <c r="J196" t="str">
        <f>IFERROR(VLOOKUP(Logs_Reseau_Part5[[#This Row],[Cell_ID]],Registre_Maintenance_Part[[ID_Antenne]:[Colonne2]],5,FALSE),"")</f>
        <v>4G</v>
      </c>
      <c r="K196" t="str">
        <f>IFERROR(VLOOKUP(Logs_Reseau_Part5[[#This Row],[Cell_ID]],Registre_Maintenance_Part[[ID_Antenne]:[Colonne2]],6,FALSE),"")</f>
        <v>Huawei</v>
      </c>
    </row>
    <row r="197" spans="1:11" x14ac:dyDescent="0.3">
      <c r="A197" t="s">
        <v>1290</v>
      </c>
      <c r="B197" s="1">
        <v>45225.171527777777</v>
      </c>
      <c r="C197" s="2">
        <v>45225.171527777777</v>
      </c>
      <c r="D197" t="s">
        <v>1293</v>
      </c>
      <c r="E197">
        <v>104</v>
      </c>
      <c r="F197" t="s">
        <v>737</v>
      </c>
      <c r="G197" t="str">
        <f>IFERROR(VLOOKUP(Logs_Reseau_Part5[[#This Row],[Cell_ID]],Registre_Maintenance_Part[[ID_Antenne]:[Colonne2]],2,FALSE),"")</f>
        <v>Kongo-Central</v>
      </c>
      <c r="H197">
        <f>IFERROR(VLOOKUP(Logs_Reseau_Part5[[#This Row],[Cell_ID]],Registre_Maintenance_Part[[ID_Antenne]:[Colonne2]],3,FALSE),"")</f>
        <v>1.2463919999999999</v>
      </c>
      <c r="I197">
        <f>IFERROR(VLOOKUP(Logs_Reseau_Part5[[#This Row],[Cell_ID]],Registre_Maintenance_Part[[ID_Antenne]:[Colonne2]],4,FALSE),"")</f>
        <v>13.266916999999999</v>
      </c>
      <c r="J197" t="str">
        <f>IFERROR(VLOOKUP(Logs_Reseau_Part5[[#This Row],[Cell_ID]],Registre_Maintenance_Part[[ID_Antenne]:[Colonne2]],5,FALSE),"")</f>
        <v>5G</v>
      </c>
      <c r="K197" t="str">
        <f>IFERROR(VLOOKUP(Logs_Reseau_Part5[[#This Row],[Cell_ID]],Registre_Maintenance_Part[[ID_Antenne]:[Colonne2]],6,FALSE),"")</f>
        <v>Huawei</v>
      </c>
    </row>
    <row r="198" spans="1:11" x14ac:dyDescent="0.3">
      <c r="A198" t="s">
        <v>1347</v>
      </c>
      <c r="B198" s="1">
        <v>45230.039583333331</v>
      </c>
      <c r="C198" s="2">
        <v>45230.039583333331</v>
      </c>
      <c r="D198" t="s">
        <v>1274</v>
      </c>
      <c r="E198">
        <v>117</v>
      </c>
      <c r="F198" t="s">
        <v>737</v>
      </c>
      <c r="G198" t="str">
        <f>IFERROR(VLOOKUP(Logs_Reseau_Part5[[#This Row],[Cell_ID]],Registre_Maintenance_Part[[ID_Antenne]:[Colonne2]],2,FALSE),"")</f>
        <v>Kongo-Central</v>
      </c>
      <c r="H198">
        <f>IFERROR(VLOOKUP(Logs_Reseau_Part5[[#This Row],[Cell_ID]],Registre_Maintenance_Part[[ID_Antenne]:[Colonne2]],3,FALSE),"")</f>
        <v>1.981107</v>
      </c>
      <c r="I198">
        <f>IFERROR(VLOOKUP(Logs_Reseau_Part5[[#This Row],[Cell_ID]],Registre_Maintenance_Part[[ID_Antenne]:[Colonne2]],4,FALSE),"")</f>
        <v>23.932569000000001</v>
      </c>
      <c r="J198" t="str">
        <f>IFERROR(VLOOKUP(Logs_Reseau_Part5[[#This Row],[Cell_ID]],Registre_Maintenance_Part[[ID_Antenne]:[Colonne2]],5,FALSE),"")</f>
        <v>3G</v>
      </c>
      <c r="K198" t="str">
        <f>IFERROR(VLOOKUP(Logs_Reseau_Part5[[#This Row],[Cell_ID]],Registre_Maintenance_Part[[ID_Antenne]:[Colonne2]],6,FALSE),"")</f>
        <v>Nokia</v>
      </c>
    </row>
    <row r="199" spans="1:11" x14ac:dyDescent="0.3">
      <c r="A199" t="s">
        <v>1116</v>
      </c>
      <c r="B199" s="1">
        <v>45230.303472222222</v>
      </c>
      <c r="C199" s="2">
        <v>45230.303472222222</v>
      </c>
      <c r="D199" t="s">
        <v>1135</v>
      </c>
      <c r="E199">
        <v>83</v>
      </c>
      <c r="F199" t="s">
        <v>739</v>
      </c>
      <c r="G199" t="str">
        <f>IFERROR(VLOOKUP(Logs_Reseau_Part5[[#This Row],[Cell_ID]],Registre_Maintenance_Part[[ID_Antenne]:[Colonne2]],2,FALSE),"")</f>
        <v>Kongo-Central</v>
      </c>
      <c r="H199">
        <f>IFERROR(VLOOKUP(Logs_Reseau_Part5[[#This Row],[Cell_ID]],Registre_Maintenance_Part[[ID_Antenne]:[Colonne2]],3,FALSE),"")</f>
        <v>-9.8208710000000004</v>
      </c>
      <c r="I199">
        <f>IFERROR(VLOOKUP(Logs_Reseau_Part5[[#This Row],[Cell_ID]],Registre_Maintenance_Part[[ID_Antenne]:[Colonne2]],4,FALSE),"")</f>
        <v>23.229807000000001</v>
      </c>
      <c r="J199" t="str">
        <f>IFERROR(VLOOKUP(Logs_Reseau_Part5[[#This Row],[Cell_ID]],Registre_Maintenance_Part[[ID_Antenne]:[Colonne2]],5,FALSE),"")</f>
        <v>5G</v>
      </c>
      <c r="K199" t="str">
        <f>IFERROR(VLOOKUP(Logs_Reseau_Part5[[#This Row],[Cell_ID]],Registre_Maintenance_Part[[ID_Antenne]:[Colonne2]],6,FALSE),"")</f>
        <v>Nokia</v>
      </c>
    </row>
    <row r="200" spans="1:11" x14ac:dyDescent="0.3">
      <c r="A200" t="s">
        <v>941</v>
      </c>
      <c r="B200" s="1">
        <v>45230.484027777777</v>
      </c>
      <c r="C200" s="2">
        <v>45230.484027777777</v>
      </c>
      <c r="D200" t="s">
        <v>977</v>
      </c>
      <c r="E200">
        <v>37</v>
      </c>
      <c r="F200" t="s">
        <v>737</v>
      </c>
      <c r="G200" t="str">
        <f>IFERROR(VLOOKUP(Logs_Reseau_Part5[[#This Row],[Cell_ID]],Registre_Maintenance_Part[[ID_Antenne]:[Colonne2]],2,FALSE),"")</f>
        <v>Kongo-Central</v>
      </c>
      <c r="H200">
        <f>IFERROR(VLOOKUP(Logs_Reseau_Part5[[#This Row],[Cell_ID]],Registre_Maintenance_Part[[ID_Antenne]:[Colonne2]],3,FALSE),"")</f>
        <v>-12.564277000000001</v>
      </c>
      <c r="I200">
        <f>IFERROR(VLOOKUP(Logs_Reseau_Part5[[#This Row],[Cell_ID]],Registre_Maintenance_Part[[ID_Antenne]:[Colonne2]],4,FALSE),"")</f>
        <v>28.480798</v>
      </c>
      <c r="J200" t="str">
        <f>IFERROR(VLOOKUP(Logs_Reseau_Part5[[#This Row],[Cell_ID]],Registre_Maintenance_Part[[ID_Antenne]:[Colonne2]],5,FALSE),"")</f>
        <v>5G</v>
      </c>
      <c r="K200" t="str">
        <f>IFERROR(VLOOKUP(Logs_Reseau_Part5[[#This Row],[Cell_ID]],Registre_Maintenance_Part[[ID_Antenne]:[Colonne2]],6,FALSE),"")</f>
        <v>ZTE</v>
      </c>
    </row>
    <row r="201" spans="1:11" x14ac:dyDescent="0.3">
      <c r="A201" t="s">
        <v>781</v>
      </c>
      <c r="B201" s="1">
        <v>45206.539583333331</v>
      </c>
      <c r="C201" s="2">
        <v>45206.539583333331</v>
      </c>
      <c r="D201" t="s">
        <v>798</v>
      </c>
      <c r="E201">
        <v>43</v>
      </c>
      <c r="F201" t="s">
        <v>734</v>
      </c>
      <c r="G201" t="str">
        <f>IFERROR(VLOOKUP(Logs_Reseau_Part5[[#This Row],[Cell_ID]],Registre_Maintenance_Part[[ID_Antenne]:[Colonne2]],2,FALSE),"")</f>
        <v>Kwango</v>
      </c>
      <c r="H201">
        <f>IFERROR(VLOOKUP(Logs_Reseau_Part5[[#This Row],[Cell_ID]],Registre_Maintenance_Part[[ID_Antenne]:[Colonne2]],3,FALSE),"")</f>
        <v>-10.963041</v>
      </c>
      <c r="I201">
        <f>IFERROR(VLOOKUP(Logs_Reseau_Part5[[#This Row],[Cell_ID]],Registre_Maintenance_Part[[ID_Antenne]:[Colonne2]],4,FALSE),"")</f>
        <v>12.269857</v>
      </c>
      <c r="J201" t="str">
        <f>IFERROR(VLOOKUP(Logs_Reseau_Part5[[#This Row],[Cell_ID]],Registre_Maintenance_Part[[ID_Antenne]:[Colonne2]],5,FALSE),"")</f>
        <v>4G</v>
      </c>
      <c r="K201" t="str">
        <f>IFERROR(VLOOKUP(Logs_Reseau_Part5[[#This Row],[Cell_ID]],Registre_Maintenance_Part[[ID_Antenne]:[Colonne2]],6,FALSE),"")</f>
        <v>Huawei</v>
      </c>
    </row>
    <row r="202" spans="1:11" x14ac:dyDescent="0.3">
      <c r="A202" t="s">
        <v>1061</v>
      </c>
      <c r="B202" s="1">
        <v>45207.987500000003</v>
      </c>
      <c r="C202" s="2">
        <v>45207.987500000003</v>
      </c>
      <c r="D202" t="s">
        <v>1074</v>
      </c>
      <c r="E202">
        <v>15</v>
      </c>
      <c r="F202" t="s">
        <v>737</v>
      </c>
      <c r="G202" t="str">
        <f>IFERROR(VLOOKUP(Logs_Reseau_Part5[[#This Row],[Cell_ID]],Registre_Maintenance_Part[[ID_Antenne]:[Colonne2]],2,FALSE),"")</f>
        <v>Kwango</v>
      </c>
      <c r="H202">
        <f>IFERROR(VLOOKUP(Logs_Reseau_Part5[[#This Row],[Cell_ID]],Registre_Maintenance_Part[[ID_Antenne]:[Colonne2]],3,FALSE),"")</f>
        <v>-9.0798120000000004</v>
      </c>
      <c r="I202">
        <f>IFERROR(VLOOKUP(Logs_Reseau_Part5[[#This Row],[Cell_ID]],Registre_Maintenance_Part[[ID_Antenne]:[Colonne2]],4,FALSE),"")</f>
        <v>14.945484</v>
      </c>
      <c r="J202" t="str">
        <f>IFERROR(VLOOKUP(Logs_Reseau_Part5[[#This Row],[Cell_ID]],Registre_Maintenance_Part[[ID_Antenne]:[Colonne2]],5,FALSE),"")</f>
        <v>5G</v>
      </c>
      <c r="K202" t="str">
        <f>IFERROR(VLOOKUP(Logs_Reseau_Part5[[#This Row],[Cell_ID]],Registre_Maintenance_Part[[ID_Antenne]:[Colonne2]],6,FALSE),"")</f>
        <v>Ericsson</v>
      </c>
    </row>
    <row r="203" spans="1:11" x14ac:dyDescent="0.3">
      <c r="A203" t="s">
        <v>941</v>
      </c>
      <c r="B203" s="1">
        <v>45209.852083333331</v>
      </c>
      <c r="C203" s="2">
        <v>45209.852083333331</v>
      </c>
      <c r="D203" t="s">
        <v>978</v>
      </c>
      <c r="E203">
        <v>91</v>
      </c>
      <c r="F203" t="s">
        <v>739</v>
      </c>
      <c r="G203" t="str">
        <f>IFERROR(VLOOKUP(Logs_Reseau_Part5[[#This Row],[Cell_ID]],Registre_Maintenance_Part[[ID_Antenne]:[Colonne2]],2,FALSE),"")</f>
        <v>Kwango</v>
      </c>
      <c r="H203">
        <f>IFERROR(VLOOKUP(Logs_Reseau_Part5[[#This Row],[Cell_ID]],Registre_Maintenance_Part[[ID_Antenne]:[Colonne2]],3,FALSE),"")</f>
        <v>-12.431227</v>
      </c>
      <c r="I203">
        <f>IFERROR(VLOOKUP(Logs_Reseau_Part5[[#This Row],[Cell_ID]],Registre_Maintenance_Part[[ID_Antenne]:[Colonne2]],4,FALSE),"")</f>
        <v>18.414290999999999</v>
      </c>
      <c r="J203" t="str">
        <f>IFERROR(VLOOKUP(Logs_Reseau_Part5[[#This Row],[Cell_ID]],Registre_Maintenance_Part[[ID_Antenne]:[Colonne2]],5,FALSE),"")</f>
        <v>5G</v>
      </c>
      <c r="K203" t="str">
        <f>IFERROR(VLOOKUP(Logs_Reseau_Part5[[#This Row],[Cell_ID]],Registre_Maintenance_Part[[ID_Antenne]:[Colonne2]],6,FALSE),"")</f>
        <v>Huawei</v>
      </c>
    </row>
    <row r="204" spans="1:11" x14ac:dyDescent="0.3">
      <c r="A204" t="s">
        <v>1363</v>
      </c>
      <c r="B204" s="1">
        <v>45210.03125</v>
      </c>
      <c r="C204" s="2">
        <v>45210.03125</v>
      </c>
      <c r="D204" t="s">
        <v>1074</v>
      </c>
      <c r="E204">
        <v>63</v>
      </c>
      <c r="F204" t="s">
        <v>739</v>
      </c>
      <c r="G204" t="str">
        <f>IFERROR(VLOOKUP(Logs_Reseau_Part5[[#This Row],[Cell_ID]],Registre_Maintenance_Part[[ID_Antenne]:[Colonne2]],2,FALSE),"")</f>
        <v>Kwango</v>
      </c>
      <c r="H204">
        <f>IFERROR(VLOOKUP(Logs_Reseau_Part5[[#This Row],[Cell_ID]],Registre_Maintenance_Part[[ID_Antenne]:[Colonne2]],3,FALSE),"")</f>
        <v>-9.0798120000000004</v>
      </c>
      <c r="I204">
        <f>IFERROR(VLOOKUP(Logs_Reseau_Part5[[#This Row],[Cell_ID]],Registre_Maintenance_Part[[ID_Antenne]:[Colonne2]],4,FALSE),"")</f>
        <v>14.945484</v>
      </c>
      <c r="J204" t="str">
        <f>IFERROR(VLOOKUP(Logs_Reseau_Part5[[#This Row],[Cell_ID]],Registre_Maintenance_Part[[ID_Antenne]:[Colonne2]],5,FALSE),"")</f>
        <v>5G</v>
      </c>
      <c r="K204" t="str">
        <f>IFERROR(VLOOKUP(Logs_Reseau_Part5[[#This Row],[Cell_ID]],Registre_Maintenance_Part[[ID_Antenne]:[Colonne2]],6,FALSE),"")</f>
        <v>Ericsson</v>
      </c>
    </row>
    <row r="205" spans="1:11" x14ac:dyDescent="0.3">
      <c r="A205" t="s">
        <v>1140</v>
      </c>
      <c r="B205" s="1">
        <v>45212.311111111107</v>
      </c>
      <c r="C205" s="2">
        <v>45212.311111111107</v>
      </c>
      <c r="D205" t="s">
        <v>746</v>
      </c>
      <c r="E205">
        <v>79</v>
      </c>
      <c r="F205" t="s">
        <v>734</v>
      </c>
      <c r="G205" t="str">
        <f>IFERROR(VLOOKUP(Logs_Reseau_Part5[[#This Row],[Cell_ID]],Registre_Maintenance_Part[[ID_Antenne]:[Colonne2]],2,FALSE),"")</f>
        <v>Kwango</v>
      </c>
      <c r="H205">
        <f>IFERROR(VLOOKUP(Logs_Reseau_Part5[[#This Row],[Cell_ID]],Registre_Maintenance_Part[[ID_Antenne]:[Colonne2]],3,FALSE),"")</f>
        <v>4.8319039999999998</v>
      </c>
      <c r="I205">
        <f>IFERROR(VLOOKUP(Logs_Reseau_Part5[[#This Row],[Cell_ID]],Registre_Maintenance_Part[[ID_Antenne]:[Colonne2]],4,FALSE),"")</f>
        <v>20.733468999999999</v>
      </c>
      <c r="J205" t="str">
        <f>IFERROR(VLOOKUP(Logs_Reseau_Part5[[#This Row],[Cell_ID]],Registre_Maintenance_Part[[ID_Antenne]:[Colonne2]],5,FALSE),"")</f>
        <v>5G</v>
      </c>
      <c r="K205" t="str">
        <f>IFERROR(VLOOKUP(Logs_Reseau_Part5[[#This Row],[Cell_ID]],Registre_Maintenance_Part[[ID_Antenne]:[Colonne2]],6,FALSE),"")</f>
        <v>Ericsson</v>
      </c>
    </row>
    <row r="206" spans="1:11" x14ac:dyDescent="0.3">
      <c r="A206" t="s">
        <v>1384</v>
      </c>
      <c r="B206" s="1">
        <v>45212.901388888888</v>
      </c>
      <c r="C206" s="2">
        <v>45212.901388888888</v>
      </c>
      <c r="D206" t="s">
        <v>798</v>
      </c>
      <c r="E206">
        <v>58</v>
      </c>
      <c r="F206" t="s">
        <v>734</v>
      </c>
      <c r="G206" t="str">
        <f>IFERROR(VLOOKUP(Logs_Reseau_Part5[[#This Row],[Cell_ID]],Registre_Maintenance_Part[[ID_Antenne]:[Colonne2]],2,FALSE),"")</f>
        <v>Kwango</v>
      </c>
      <c r="H206">
        <f>IFERROR(VLOOKUP(Logs_Reseau_Part5[[#This Row],[Cell_ID]],Registre_Maintenance_Part[[ID_Antenne]:[Colonne2]],3,FALSE),"")</f>
        <v>-10.963041</v>
      </c>
      <c r="I206">
        <f>IFERROR(VLOOKUP(Logs_Reseau_Part5[[#This Row],[Cell_ID]],Registre_Maintenance_Part[[ID_Antenne]:[Colonne2]],4,FALSE),"")</f>
        <v>12.269857</v>
      </c>
      <c r="J206" t="str">
        <f>IFERROR(VLOOKUP(Logs_Reseau_Part5[[#This Row],[Cell_ID]],Registre_Maintenance_Part[[ID_Antenne]:[Colonne2]],5,FALSE),"")</f>
        <v>4G</v>
      </c>
      <c r="K206" t="str">
        <f>IFERROR(VLOOKUP(Logs_Reseau_Part5[[#This Row],[Cell_ID]],Registre_Maintenance_Part[[ID_Antenne]:[Colonne2]],6,FALSE),"")</f>
        <v>Huawei</v>
      </c>
    </row>
    <row r="207" spans="1:11" x14ac:dyDescent="0.3">
      <c r="A207" t="s">
        <v>732</v>
      </c>
      <c r="B207" s="1">
        <v>45213.311111111107</v>
      </c>
      <c r="C207" s="2">
        <v>45213.311111111107</v>
      </c>
      <c r="D207" t="s">
        <v>746</v>
      </c>
      <c r="E207">
        <v>22</v>
      </c>
      <c r="F207" t="s">
        <v>737</v>
      </c>
      <c r="G207" t="str">
        <f>IFERROR(VLOOKUP(Logs_Reseau_Part5[[#This Row],[Cell_ID]],Registre_Maintenance_Part[[ID_Antenne]:[Colonne2]],2,FALSE),"")</f>
        <v>Kwango</v>
      </c>
      <c r="H207">
        <f>IFERROR(VLOOKUP(Logs_Reseau_Part5[[#This Row],[Cell_ID]],Registre_Maintenance_Part[[ID_Antenne]:[Colonne2]],3,FALSE),"")</f>
        <v>4.8319039999999998</v>
      </c>
      <c r="I207">
        <f>IFERROR(VLOOKUP(Logs_Reseau_Part5[[#This Row],[Cell_ID]],Registre_Maintenance_Part[[ID_Antenne]:[Colonne2]],4,FALSE),"")</f>
        <v>20.733468999999999</v>
      </c>
      <c r="J207" t="str">
        <f>IFERROR(VLOOKUP(Logs_Reseau_Part5[[#This Row],[Cell_ID]],Registre_Maintenance_Part[[ID_Antenne]:[Colonne2]],5,FALSE),"")</f>
        <v>5G</v>
      </c>
      <c r="K207" t="str">
        <f>IFERROR(VLOOKUP(Logs_Reseau_Part5[[#This Row],[Cell_ID]],Registre_Maintenance_Part[[ID_Antenne]:[Colonne2]],6,FALSE),"")</f>
        <v>Ericsson</v>
      </c>
    </row>
    <row r="208" spans="1:11" x14ac:dyDescent="0.3">
      <c r="A208" t="s">
        <v>1243</v>
      </c>
      <c r="B208" s="1">
        <v>45218.038194444453</v>
      </c>
      <c r="C208" s="2">
        <v>45218.038194444453</v>
      </c>
      <c r="D208" t="s">
        <v>811</v>
      </c>
      <c r="E208">
        <v>6</v>
      </c>
      <c r="F208" t="s">
        <v>734</v>
      </c>
      <c r="G208" t="str">
        <f>IFERROR(VLOOKUP(Logs_Reseau_Part5[[#This Row],[Cell_ID]],Registre_Maintenance_Part[[ID_Antenne]:[Colonne2]],2,FALSE),"")</f>
        <v>Kwango</v>
      </c>
      <c r="H208">
        <f>IFERROR(VLOOKUP(Logs_Reseau_Part5[[#This Row],[Cell_ID]],Registre_Maintenance_Part[[ID_Antenne]:[Colonne2]],3,FALSE),"")</f>
        <v>-9.7712979999999998</v>
      </c>
      <c r="I208">
        <f>IFERROR(VLOOKUP(Logs_Reseau_Part5[[#This Row],[Cell_ID]],Registre_Maintenance_Part[[ID_Antenne]:[Colonne2]],4,FALSE),"")</f>
        <v>19.827895999999999</v>
      </c>
      <c r="J208" t="str">
        <f>IFERROR(VLOOKUP(Logs_Reseau_Part5[[#This Row],[Cell_ID]],Registre_Maintenance_Part[[ID_Antenne]:[Colonne2]],5,FALSE),"")</f>
        <v>3G</v>
      </c>
      <c r="K208" t="str">
        <f>IFERROR(VLOOKUP(Logs_Reseau_Part5[[#This Row],[Cell_ID]],Registre_Maintenance_Part[[ID_Antenne]:[Colonne2]],6,FALSE),"")</f>
        <v>ZTE</v>
      </c>
    </row>
    <row r="209" spans="1:11" x14ac:dyDescent="0.3">
      <c r="A209" t="s">
        <v>980</v>
      </c>
      <c r="B209" s="1">
        <v>45218.286111111112</v>
      </c>
      <c r="C209" s="2">
        <v>45218.286111111112</v>
      </c>
      <c r="D209" t="s">
        <v>996</v>
      </c>
      <c r="E209">
        <v>89</v>
      </c>
      <c r="F209" t="s">
        <v>734</v>
      </c>
      <c r="G209" t="str">
        <f>IFERROR(VLOOKUP(Logs_Reseau_Part5[[#This Row],[Cell_ID]],Registre_Maintenance_Part[[ID_Antenne]:[Colonne2]],2,FALSE),"")</f>
        <v>Kwango</v>
      </c>
      <c r="H209">
        <f>IFERROR(VLOOKUP(Logs_Reseau_Part5[[#This Row],[Cell_ID]],Registre_Maintenance_Part[[ID_Antenne]:[Colonne2]],3,FALSE),"")</f>
        <v>-7.5129409999999996</v>
      </c>
      <c r="I209">
        <f>IFERROR(VLOOKUP(Logs_Reseau_Part5[[#This Row],[Cell_ID]],Registre_Maintenance_Part[[ID_Antenne]:[Colonne2]],4,FALSE),"")</f>
        <v>18.701522000000001</v>
      </c>
      <c r="J209" t="str">
        <f>IFERROR(VLOOKUP(Logs_Reseau_Part5[[#This Row],[Cell_ID]],Registre_Maintenance_Part[[ID_Antenne]:[Colonne2]],5,FALSE),"")</f>
        <v>4G</v>
      </c>
      <c r="K209" t="str">
        <f>IFERROR(VLOOKUP(Logs_Reseau_Part5[[#This Row],[Cell_ID]],Registre_Maintenance_Part[[ID_Antenne]:[Colonne2]],6,FALSE),"")</f>
        <v>Nokia</v>
      </c>
    </row>
    <row r="210" spans="1:11" x14ac:dyDescent="0.3">
      <c r="A210" t="s">
        <v>781</v>
      </c>
      <c r="B210" s="1">
        <v>45219.113194444442</v>
      </c>
      <c r="C210" s="2">
        <v>45219.113194444442</v>
      </c>
      <c r="D210" t="s">
        <v>811</v>
      </c>
      <c r="E210">
        <v>19</v>
      </c>
      <c r="F210" t="s">
        <v>734</v>
      </c>
      <c r="G210" t="str">
        <f>IFERROR(VLOOKUP(Logs_Reseau_Part5[[#This Row],[Cell_ID]],Registre_Maintenance_Part[[ID_Antenne]:[Colonne2]],2,FALSE),"")</f>
        <v>Kwango</v>
      </c>
      <c r="H210">
        <f>IFERROR(VLOOKUP(Logs_Reseau_Part5[[#This Row],[Cell_ID]],Registre_Maintenance_Part[[ID_Antenne]:[Colonne2]],3,FALSE),"")</f>
        <v>-9.7712979999999998</v>
      </c>
      <c r="I210">
        <f>IFERROR(VLOOKUP(Logs_Reseau_Part5[[#This Row],[Cell_ID]],Registre_Maintenance_Part[[ID_Antenne]:[Colonne2]],4,FALSE),"")</f>
        <v>19.827895999999999</v>
      </c>
      <c r="J210" t="str">
        <f>IFERROR(VLOOKUP(Logs_Reseau_Part5[[#This Row],[Cell_ID]],Registre_Maintenance_Part[[ID_Antenne]:[Colonne2]],5,FALSE),"")</f>
        <v>3G</v>
      </c>
      <c r="K210" t="str">
        <f>IFERROR(VLOOKUP(Logs_Reseau_Part5[[#This Row],[Cell_ID]],Registre_Maintenance_Part[[ID_Antenne]:[Colonne2]],6,FALSE),"")</f>
        <v>ZTE</v>
      </c>
    </row>
    <row r="211" spans="1:11" x14ac:dyDescent="0.3">
      <c r="A211" t="s">
        <v>1384</v>
      </c>
      <c r="B211" s="1">
        <v>45221.197916666657</v>
      </c>
      <c r="C211" s="2">
        <v>45221.197916666657</v>
      </c>
      <c r="D211" t="s">
        <v>996</v>
      </c>
      <c r="E211">
        <v>61</v>
      </c>
      <c r="F211" t="s">
        <v>739</v>
      </c>
      <c r="G211" t="str">
        <f>IFERROR(VLOOKUP(Logs_Reseau_Part5[[#This Row],[Cell_ID]],Registre_Maintenance_Part[[ID_Antenne]:[Colonne2]],2,FALSE),"")</f>
        <v>Kwango</v>
      </c>
      <c r="H211">
        <f>IFERROR(VLOOKUP(Logs_Reseau_Part5[[#This Row],[Cell_ID]],Registre_Maintenance_Part[[ID_Antenne]:[Colonne2]],3,FALSE),"")</f>
        <v>-7.5129409999999996</v>
      </c>
      <c r="I211">
        <f>IFERROR(VLOOKUP(Logs_Reseau_Part5[[#This Row],[Cell_ID]],Registre_Maintenance_Part[[ID_Antenne]:[Colonne2]],4,FALSE),"")</f>
        <v>18.701522000000001</v>
      </c>
      <c r="J211" t="str">
        <f>IFERROR(VLOOKUP(Logs_Reseau_Part5[[#This Row],[Cell_ID]],Registre_Maintenance_Part[[ID_Antenne]:[Colonne2]],5,FALSE),"")</f>
        <v>4G</v>
      </c>
      <c r="K211" t="str">
        <f>IFERROR(VLOOKUP(Logs_Reseau_Part5[[#This Row],[Cell_ID]],Registre_Maintenance_Part[[ID_Antenne]:[Colonne2]],6,FALSE),"")</f>
        <v>Nokia</v>
      </c>
    </row>
    <row r="212" spans="1:11" x14ac:dyDescent="0.3">
      <c r="A212" t="s">
        <v>1221</v>
      </c>
      <c r="B212" s="1">
        <v>45221.559027777781</v>
      </c>
      <c r="C212" s="2">
        <v>45221.559027777781</v>
      </c>
      <c r="D212" t="s">
        <v>1234</v>
      </c>
      <c r="E212">
        <v>22</v>
      </c>
      <c r="F212" t="s">
        <v>734</v>
      </c>
      <c r="G212" t="str">
        <f>IFERROR(VLOOKUP(Logs_Reseau_Part5[[#This Row],[Cell_ID]],Registre_Maintenance_Part[[ID_Antenne]:[Colonne2]],2,FALSE),"")</f>
        <v>Kwango</v>
      </c>
      <c r="H212">
        <f>IFERROR(VLOOKUP(Logs_Reseau_Part5[[#This Row],[Cell_ID]],Registre_Maintenance_Part[[ID_Antenne]:[Colonne2]],3,FALSE),"")</f>
        <v>0.65288900000000005</v>
      </c>
      <c r="I212">
        <f>IFERROR(VLOOKUP(Logs_Reseau_Part5[[#This Row],[Cell_ID]],Registre_Maintenance_Part[[ID_Antenne]:[Colonne2]],4,FALSE),"")</f>
        <v>24.243953999999999</v>
      </c>
      <c r="J212" t="str">
        <f>IFERROR(VLOOKUP(Logs_Reseau_Part5[[#This Row],[Cell_ID]],Registre_Maintenance_Part[[ID_Antenne]:[Colonne2]],5,FALSE),"")</f>
        <v>5G</v>
      </c>
      <c r="K212" t="str">
        <f>IFERROR(VLOOKUP(Logs_Reseau_Part5[[#This Row],[Cell_ID]],Registre_Maintenance_Part[[ID_Antenne]:[Colonne2]],6,FALSE),"")</f>
        <v>Ericsson</v>
      </c>
    </row>
    <row r="213" spans="1:11" x14ac:dyDescent="0.3">
      <c r="A213" t="s">
        <v>863</v>
      </c>
      <c r="B213" s="1">
        <v>45224.010416666657</v>
      </c>
      <c r="C213" s="2">
        <v>45224.010416666657</v>
      </c>
      <c r="D213" t="s">
        <v>811</v>
      </c>
      <c r="E213">
        <v>114</v>
      </c>
      <c r="F213" t="s">
        <v>739</v>
      </c>
      <c r="G213" t="str">
        <f>IFERROR(VLOOKUP(Logs_Reseau_Part5[[#This Row],[Cell_ID]],Registre_Maintenance_Part[[ID_Antenne]:[Colonne2]],2,FALSE),"")</f>
        <v>Kwango</v>
      </c>
      <c r="H213">
        <f>IFERROR(VLOOKUP(Logs_Reseau_Part5[[#This Row],[Cell_ID]],Registre_Maintenance_Part[[ID_Antenne]:[Colonne2]],3,FALSE),"")</f>
        <v>-9.7712979999999998</v>
      </c>
      <c r="I213">
        <f>IFERROR(VLOOKUP(Logs_Reseau_Part5[[#This Row],[Cell_ID]],Registre_Maintenance_Part[[ID_Antenne]:[Colonne2]],4,FALSE),"")</f>
        <v>19.827895999999999</v>
      </c>
      <c r="J213" t="str">
        <f>IFERROR(VLOOKUP(Logs_Reseau_Part5[[#This Row],[Cell_ID]],Registre_Maintenance_Part[[ID_Antenne]:[Colonne2]],5,FALSE),"")</f>
        <v>3G</v>
      </c>
      <c r="K213" t="str">
        <f>IFERROR(VLOOKUP(Logs_Reseau_Part5[[#This Row],[Cell_ID]],Registre_Maintenance_Part[[ID_Antenne]:[Colonne2]],6,FALSE),"")</f>
        <v>ZTE</v>
      </c>
    </row>
    <row r="214" spans="1:11" x14ac:dyDescent="0.3">
      <c r="A214" t="s">
        <v>1140</v>
      </c>
      <c r="B214" s="1">
        <v>45225.406944444447</v>
      </c>
      <c r="C214" s="2">
        <v>45225.406944444447</v>
      </c>
      <c r="D214" t="s">
        <v>1165</v>
      </c>
      <c r="E214">
        <v>74</v>
      </c>
      <c r="F214" t="s">
        <v>734</v>
      </c>
      <c r="G214" t="str">
        <f>IFERROR(VLOOKUP(Logs_Reseau_Part5[[#This Row],[Cell_ID]],Registre_Maintenance_Part[[ID_Antenne]:[Colonne2]],2,FALSE),"")</f>
        <v>Kwango</v>
      </c>
      <c r="H214">
        <f>IFERROR(VLOOKUP(Logs_Reseau_Part5[[#This Row],[Cell_ID]],Registre_Maintenance_Part[[ID_Antenne]:[Colonne2]],3,FALSE),"")</f>
        <v>-4.6957509999999996</v>
      </c>
      <c r="I214">
        <f>IFERROR(VLOOKUP(Logs_Reseau_Part5[[#This Row],[Cell_ID]],Registre_Maintenance_Part[[ID_Antenne]:[Colonne2]],4,FALSE),"")</f>
        <v>14.233525999999999</v>
      </c>
      <c r="J214" t="str">
        <f>IFERROR(VLOOKUP(Logs_Reseau_Part5[[#This Row],[Cell_ID]],Registre_Maintenance_Part[[ID_Antenne]:[Colonne2]],5,FALSE),"")</f>
        <v>4G</v>
      </c>
      <c r="K214" t="str">
        <f>IFERROR(VLOOKUP(Logs_Reseau_Part5[[#This Row],[Cell_ID]],Registre_Maintenance_Part[[ID_Antenne]:[Colonne2]],6,FALSE),"")</f>
        <v>Nokia</v>
      </c>
    </row>
    <row r="215" spans="1:11" x14ac:dyDescent="0.3">
      <c r="A215" t="s">
        <v>1195</v>
      </c>
      <c r="B215" s="1">
        <v>45225.948611111111</v>
      </c>
      <c r="C215" s="2">
        <v>45225.948611111111</v>
      </c>
      <c r="D215" t="s">
        <v>1197</v>
      </c>
      <c r="E215">
        <v>30</v>
      </c>
      <c r="F215" t="s">
        <v>734</v>
      </c>
      <c r="G215" t="str">
        <f>IFERROR(VLOOKUP(Logs_Reseau_Part5[[#This Row],[Cell_ID]],Registre_Maintenance_Part[[ID_Antenne]:[Colonne2]],2,FALSE),"")</f>
        <v>Kwango</v>
      </c>
      <c r="H215">
        <f>IFERROR(VLOOKUP(Logs_Reseau_Part5[[#This Row],[Cell_ID]],Registre_Maintenance_Part[[ID_Antenne]:[Colonne2]],3,FALSE),"")</f>
        <v>-10.653247</v>
      </c>
      <c r="I215">
        <f>IFERROR(VLOOKUP(Logs_Reseau_Part5[[#This Row],[Cell_ID]],Registre_Maintenance_Part[[ID_Antenne]:[Colonne2]],4,FALSE),"")</f>
        <v>14.685601</v>
      </c>
      <c r="J215" t="str">
        <f>IFERROR(VLOOKUP(Logs_Reseau_Part5[[#This Row],[Cell_ID]],Registre_Maintenance_Part[[ID_Antenne]:[Colonne2]],5,FALSE),"")</f>
        <v>4G</v>
      </c>
      <c r="K215" t="str">
        <f>IFERROR(VLOOKUP(Logs_Reseau_Part5[[#This Row],[Cell_ID]],Registre_Maintenance_Part[[ID_Antenne]:[Colonne2]],6,FALSE),"")</f>
        <v>Ericsson</v>
      </c>
    </row>
    <row r="216" spans="1:11" x14ac:dyDescent="0.3">
      <c r="A216" t="s">
        <v>1263</v>
      </c>
      <c r="B216" s="1">
        <v>45228.621527777781</v>
      </c>
      <c r="C216" s="2">
        <v>45228.621527777781</v>
      </c>
      <c r="D216" t="s">
        <v>798</v>
      </c>
      <c r="E216">
        <v>98</v>
      </c>
      <c r="F216" t="s">
        <v>739</v>
      </c>
      <c r="G216" t="str">
        <f>IFERROR(VLOOKUP(Logs_Reseau_Part5[[#This Row],[Cell_ID]],Registre_Maintenance_Part[[ID_Antenne]:[Colonne2]],2,FALSE),"")</f>
        <v>Kwango</v>
      </c>
      <c r="H216">
        <f>IFERROR(VLOOKUP(Logs_Reseau_Part5[[#This Row],[Cell_ID]],Registre_Maintenance_Part[[ID_Antenne]:[Colonne2]],3,FALSE),"")</f>
        <v>-10.963041</v>
      </c>
      <c r="I216">
        <f>IFERROR(VLOOKUP(Logs_Reseau_Part5[[#This Row],[Cell_ID]],Registre_Maintenance_Part[[ID_Antenne]:[Colonne2]],4,FALSE),"")</f>
        <v>12.269857</v>
      </c>
      <c r="J216" t="str">
        <f>IFERROR(VLOOKUP(Logs_Reseau_Part5[[#This Row],[Cell_ID]],Registre_Maintenance_Part[[ID_Antenne]:[Colonne2]],5,FALSE),"")</f>
        <v>4G</v>
      </c>
      <c r="K216" t="str">
        <f>IFERROR(VLOOKUP(Logs_Reseau_Part5[[#This Row],[Cell_ID]],Registre_Maintenance_Part[[ID_Antenne]:[Colonne2]],6,FALSE),"")</f>
        <v>Huawei</v>
      </c>
    </row>
    <row r="217" spans="1:11" x14ac:dyDescent="0.3">
      <c r="A217" t="s">
        <v>1140</v>
      </c>
      <c r="B217" s="1">
        <v>45200.511111111111</v>
      </c>
      <c r="C217" s="2">
        <v>45200.511111111111</v>
      </c>
      <c r="D217" t="s">
        <v>1166</v>
      </c>
      <c r="E217">
        <v>22</v>
      </c>
      <c r="F217" t="s">
        <v>739</v>
      </c>
      <c r="G217" t="str">
        <f>IFERROR(VLOOKUP(Logs_Reseau_Part5[[#This Row],[Cell_ID]],Registre_Maintenance_Part[[ID_Antenne]:[Colonne2]],2,FALSE),"")</f>
        <v>Kwilu</v>
      </c>
      <c r="H217">
        <f>IFERROR(VLOOKUP(Logs_Reseau_Part5[[#This Row],[Cell_ID]],Registre_Maintenance_Part[[ID_Antenne]:[Colonne2]],3,FALSE),"")</f>
        <v>-10.939712999999999</v>
      </c>
      <c r="I217">
        <f>IFERROR(VLOOKUP(Logs_Reseau_Part5[[#This Row],[Cell_ID]],Registre_Maintenance_Part[[ID_Antenne]:[Colonne2]],4,FALSE),"")</f>
        <v>18.276230999999999</v>
      </c>
      <c r="J217" t="str">
        <f>IFERROR(VLOOKUP(Logs_Reseau_Part5[[#This Row],[Cell_ID]],Registre_Maintenance_Part[[ID_Antenne]:[Colonne2]],5,FALSE),"")</f>
        <v>4G</v>
      </c>
      <c r="K217" t="str">
        <f>IFERROR(VLOOKUP(Logs_Reseau_Part5[[#This Row],[Cell_ID]],Registre_Maintenance_Part[[ID_Antenne]:[Colonne2]],6,FALSE),"")</f>
        <v>ZTE</v>
      </c>
    </row>
    <row r="218" spans="1:11" x14ac:dyDescent="0.3">
      <c r="A218" t="s">
        <v>1221</v>
      </c>
      <c r="B218" s="1">
        <v>45202.376388888893</v>
      </c>
      <c r="C218" s="2">
        <v>45202.376388888893</v>
      </c>
      <c r="D218" t="s">
        <v>1228</v>
      </c>
      <c r="E218">
        <v>28</v>
      </c>
      <c r="F218" t="s">
        <v>734</v>
      </c>
      <c r="G218" t="str">
        <f>IFERROR(VLOOKUP(Logs_Reseau_Part5[[#This Row],[Cell_ID]],Registre_Maintenance_Part[[ID_Antenne]:[Colonne2]],2,FALSE),"")</f>
        <v>Kwilu</v>
      </c>
      <c r="H218">
        <f>IFERROR(VLOOKUP(Logs_Reseau_Part5[[#This Row],[Cell_ID]],Registre_Maintenance_Part[[ID_Antenne]:[Colonne2]],3,FALSE),"")</f>
        <v>-7.402336</v>
      </c>
      <c r="I218">
        <f>IFERROR(VLOOKUP(Logs_Reseau_Part5[[#This Row],[Cell_ID]],Registre_Maintenance_Part[[ID_Antenne]:[Colonne2]],4,FALSE),"")</f>
        <v>27.376697</v>
      </c>
      <c r="J218" t="str">
        <f>IFERROR(VLOOKUP(Logs_Reseau_Part5[[#This Row],[Cell_ID]],Registre_Maintenance_Part[[ID_Antenne]:[Colonne2]],5,FALSE),"")</f>
        <v>4G</v>
      </c>
      <c r="K218" t="str">
        <f>IFERROR(VLOOKUP(Logs_Reseau_Part5[[#This Row],[Cell_ID]],Registre_Maintenance_Part[[ID_Antenne]:[Colonne2]],6,FALSE),"")</f>
        <v>Huawei</v>
      </c>
    </row>
    <row r="219" spans="1:11" x14ac:dyDescent="0.3">
      <c r="A219" t="s">
        <v>1347</v>
      </c>
      <c r="B219" s="1">
        <v>45203.522222222222</v>
      </c>
      <c r="C219" s="2">
        <v>45203.522222222222</v>
      </c>
      <c r="D219" t="s">
        <v>1228</v>
      </c>
      <c r="E219">
        <v>11</v>
      </c>
      <c r="F219" t="s">
        <v>737</v>
      </c>
      <c r="G219" t="str">
        <f>IFERROR(VLOOKUP(Logs_Reseau_Part5[[#This Row],[Cell_ID]],Registre_Maintenance_Part[[ID_Antenne]:[Colonne2]],2,FALSE),"")</f>
        <v>Kwilu</v>
      </c>
      <c r="H219">
        <f>IFERROR(VLOOKUP(Logs_Reseau_Part5[[#This Row],[Cell_ID]],Registre_Maintenance_Part[[ID_Antenne]:[Colonne2]],3,FALSE),"")</f>
        <v>-7.402336</v>
      </c>
      <c r="I219">
        <f>IFERROR(VLOOKUP(Logs_Reseau_Part5[[#This Row],[Cell_ID]],Registre_Maintenance_Part[[ID_Antenne]:[Colonne2]],4,FALSE),"")</f>
        <v>27.376697</v>
      </c>
      <c r="J219" t="str">
        <f>IFERROR(VLOOKUP(Logs_Reseau_Part5[[#This Row],[Cell_ID]],Registre_Maintenance_Part[[ID_Antenne]:[Colonne2]],5,FALSE),"")</f>
        <v>4G</v>
      </c>
      <c r="K219" t="str">
        <f>IFERROR(VLOOKUP(Logs_Reseau_Part5[[#This Row],[Cell_ID]],Registre_Maintenance_Part[[ID_Antenne]:[Colonne2]],6,FALSE),"")</f>
        <v>Huawei</v>
      </c>
    </row>
    <row r="220" spans="1:11" x14ac:dyDescent="0.3">
      <c r="A220" t="s">
        <v>863</v>
      </c>
      <c r="B220" s="1">
        <v>45204.59097222222</v>
      </c>
      <c r="C220" s="2">
        <v>45204.59097222222</v>
      </c>
      <c r="D220" t="s">
        <v>871</v>
      </c>
      <c r="E220">
        <v>108</v>
      </c>
      <c r="F220" t="s">
        <v>737</v>
      </c>
      <c r="G220" t="str">
        <f>IFERROR(VLOOKUP(Logs_Reseau_Part5[[#This Row],[Cell_ID]],Registre_Maintenance_Part[[ID_Antenne]:[Colonne2]],2,FALSE),"")</f>
        <v>Kwilu</v>
      </c>
      <c r="H220">
        <f>IFERROR(VLOOKUP(Logs_Reseau_Part5[[#This Row],[Cell_ID]],Registre_Maintenance_Part[[ID_Antenne]:[Colonne2]],3,FALSE),"")</f>
        <v>-8.5675749999999997</v>
      </c>
      <c r="I220">
        <f>IFERROR(VLOOKUP(Logs_Reseau_Part5[[#This Row],[Cell_ID]],Registre_Maintenance_Part[[ID_Antenne]:[Colonne2]],4,FALSE),"")</f>
        <v>26.994581</v>
      </c>
      <c r="J220" t="str">
        <f>IFERROR(VLOOKUP(Logs_Reseau_Part5[[#This Row],[Cell_ID]],Registre_Maintenance_Part[[ID_Antenne]:[Colonne2]],5,FALSE),"")</f>
        <v>3G</v>
      </c>
      <c r="K220" t="str">
        <f>IFERROR(VLOOKUP(Logs_Reseau_Part5[[#This Row],[Cell_ID]],Registre_Maintenance_Part[[ID_Antenne]:[Colonne2]],6,FALSE),"")</f>
        <v>Nokia</v>
      </c>
    </row>
    <row r="221" spans="1:11" x14ac:dyDescent="0.3">
      <c r="A221" t="s">
        <v>1310</v>
      </c>
      <c r="B221" s="1">
        <v>45207.127083333333</v>
      </c>
      <c r="C221" s="2">
        <v>45207.127083333333</v>
      </c>
      <c r="D221" t="s">
        <v>871</v>
      </c>
      <c r="E221">
        <v>38</v>
      </c>
      <c r="F221" t="s">
        <v>734</v>
      </c>
      <c r="G221" t="str">
        <f>IFERROR(VLOOKUP(Logs_Reseau_Part5[[#This Row],[Cell_ID]],Registre_Maintenance_Part[[ID_Antenne]:[Colonne2]],2,FALSE),"")</f>
        <v>Kwilu</v>
      </c>
      <c r="H221">
        <f>IFERROR(VLOOKUP(Logs_Reseau_Part5[[#This Row],[Cell_ID]],Registre_Maintenance_Part[[ID_Antenne]:[Colonne2]],3,FALSE),"")</f>
        <v>-8.5675749999999997</v>
      </c>
      <c r="I221">
        <f>IFERROR(VLOOKUP(Logs_Reseau_Part5[[#This Row],[Cell_ID]],Registre_Maintenance_Part[[ID_Antenne]:[Colonne2]],4,FALSE),"")</f>
        <v>26.994581</v>
      </c>
      <c r="J221" t="str">
        <f>IFERROR(VLOOKUP(Logs_Reseau_Part5[[#This Row],[Cell_ID]],Registre_Maintenance_Part[[ID_Antenne]:[Colonne2]],5,FALSE),"")</f>
        <v>3G</v>
      </c>
      <c r="K221" t="str">
        <f>IFERROR(VLOOKUP(Logs_Reseau_Part5[[#This Row],[Cell_ID]],Registre_Maintenance_Part[[ID_Antenne]:[Colonne2]],6,FALSE),"")</f>
        <v>Nokia</v>
      </c>
    </row>
    <row r="222" spans="1:11" x14ac:dyDescent="0.3">
      <c r="A222" t="s">
        <v>732</v>
      </c>
      <c r="B222" s="1">
        <v>45208.863888888889</v>
      </c>
      <c r="C222" s="2">
        <v>45208.863888888889</v>
      </c>
      <c r="D222" t="s">
        <v>771</v>
      </c>
      <c r="E222">
        <v>92</v>
      </c>
      <c r="F222" t="s">
        <v>734</v>
      </c>
      <c r="G222" t="str">
        <f>IFERROR(VLOOKUP(Logs_Reseau_Part5[[#This Row],[Cell_ID]],Registre_Maintenance_Part[[ID_Antenne]:[Colonne2]],2,FALSE),"")</f>
        <v>Kwilu</v>
      </c>
      <c r="H222">
        <f>IFERROR(VLOOKUP(Logs_Reseau_Part5[[#This Row],[Cell_ID]],Registre_Maintenance_Part[[ID_Antenne]:[Colonne2]],3,FALSE),"")</f>
        <v>-0.77432100000000004</v>
      </c>
      <c r="I222">
        <f>IFERROR(VLOOKUP(Logs_Reseau_Part5[[#This Row],[Cell_ID]],Registre_Maintenance_Part[[ID_Antenne]:[Colonne2]],4,FALSE),"")</f>
        <v>18.628658999999999</v>
      </c>
      <c r="J222" t="str">
        <f>IFERROR(VLOOKUP(Logs_Reseau_Part5[[#This Row],[Cell_ID]],Registre_Maintenance_Part[[ID_Antenne]:[Colonne2]],5,FALSE),"")</f>
        <v>4G</v>
      </c>
      <c r="K222" t="str">
        <f>IFERROR(VLOOKUP(Logs_Reseau_Part5[[#This Row],[Cell_ID]],Registre_Maintenance_Part[[ID_Antenne]:[Colonne2]],6,FALSE),"")</f>
        <v>Huawei</v>
      </c>
    </row>
    <row r="223" spans="1:11" x14ac:dyDescent="0.3">
      <c r="A223" t="s">
        <v>825</v>
      </c>
      <c r="B223" s="1">
        <v>45209.524305555547</v>
      </c>
      <c r="C223" s="2">
        <v>45209.524305555547</v>
      </c>
      <c r="D223" t="s">
        <v>849</v>
      </c>
      <c r="E223">
        <v>27</v>
      </c>
      <c r="F223" t="s">
        <v>739</v>
      </c>
      <c r="G223" t="str">
        <f>IFERROR(VLOOKUP(Logs_Reseau_Part5[[#This Row],[Cell_ID]],Registre_Maintenance_Part[[ID_Antenne]:[Colonne2]],2,FALSE),"")</f>
        <v>Kwilu</v>
      </c>
      <c r="H223">
        <f>IFERROR(VLOOKUP(Logs_Reseau_Part5[[#This Row],[Cell_ID]],Registre_Maintenance_Part[[ID_Antenne]:[Colonne2]],3,FALSE),"")</f>
        <v>2.4741019999999998</v>
      </c>
      <c r="I223">
        <f>IFERROR(VLOOKUP(Logs_Reseau_Part5[[#This Row],[Cell_ID]],Registre_Maintenance_Part[[ID_Antenne]:[Colonne2]],4,FALSE),"")</f>
        <v>29.297391000000001</v>
      </c>
      <c r="J223" t="str">
        <f>IFERROR(VLOOKUP(Logs_Reseau_Part5[[#This Row],[Cell_ID]],Registre_Maintenance_Part[[ID_Antenne]:[Colonne2]],5,FALSE),"")</f>
        <v>4G</v>
      </c>
      <c r="K223" t="str">
        <f>IFERROR(VLOOKUP(Logs_Reseau_Part5[[#This Row],[Cell_ID]],Registre_Maintenance_Part[[ID_Antenne]:[Colonne2]],6,FALSE),"")</f>
        <v>Ericsson</v>
      </c>
    </row>
    <row r="224" spans="1:11" x14ac:dyDescent="0.3">
      <c r="A224" t="s">
        <v>1332</v>
      </c>
      <c r="B224" s="1">
        <v>45212.447222222218</v>
      </c>
      <c r="C224" s="2">
        <v>45212.447222222218</v>
      </c>
      <c r="D224" t="s">
        <v>1228</v>
      </c>
      <c r="E224">
        <v>88</v>
      </c>
      <c r="F224" t="s">
        <v>737</v>
      </c>
      <c r="G224" t="str">
        <f>IFERROR(VLOOKUP(Logs_Reseau_Part5[[#This Row],[Cell_ID]],Registre_Maintenance_Part[[ID_Antenne]:[Colonne2]],2,FALSE),"")</f>
        <v>Kwilu</v>
      </c>
      <c r="H224">
        <f>IFERROR(VLOOKUP(Logs_Reseau_Part5[[#This Row],[Cell_ID]],Registre_Maintenance_Part[[ID_Antenne]:[Colonne2]],3,FALSE),"")</f>
        <v>-7.402336</v>
      </c>
      <c r="I224">
        <f>IFERROR(VLOOKUP(Logs_Reseau_Part5[[#This Row],[Cell_ID]],Registre_Maintenance_Part[[ID_Antenne]:[Colonne2]],4,FALSE),"")</f>
        <v>27.376697</v>
      </c>
      <c r="J224" t="str">
        <f>IFERROR(VLOOKUP(Logs_Reseau_Part5[[#This Row],[Cell_ID]],Registre_Maintenance_Part[[ID_Antenne]:[Colonne2]],5,FALSE),"")</f>
        <v>4G</v>
      </c>
      <c r="K224" t="str">
        <f>IFERROR(VLOOKUP(Logs_Reseau_Part5[[#This Row],[Cell_ID]],Registre_Maintenance_Part[[ID_Antenne]:[Colonne2]],6,FALSE),"")</f>
        <v>Huawei</v>
      </c>
    </row>
    <row r="225" spans="1:11" x14ac:dyDescent="0.3">
      <c r="A225" t="s">
        <v>1221</v>
      </c>
      <c r="B225" s="1">
        <v>45212.754861111112</v>
      </c>
      <c r="C225" s="2">
        <v>45212.754861111112</v>
      </c>
      <c r="D225" t="s">
        <v>849</v>
      </c>
      <c r="E225">
        <v>112</v>
      </c>
      <c r="F225" t="s">
        <v>739</v>
      </c>
      <c r="G225" t="str">
        <f>IFERROR(VLOOKUP(Logs_Reseau_Part5[[#This Row],[Cell_ID]],Registre_Maintenance_Part[[ID_Antenne]:[Colonne2]],2,FALSE),"")</f>
        <v>Kwilu</v>
      </c>
      <c r="H225">
        <f>IFERROR(VLOOKUP(Logs_Reseau_Part5[[#This Row],[Cell_ID]],Registre_Maintenance_Part[[ID_Antenne]:[Colonne2]],3,FALSE),"")</f>
        <v>2.4741019999999998</v>
      </c>
      <c r="I225">
        <f>IFERROR(VLOOKUP(Logs_Reseau_Part5[[#This Row],[Cell_ID]],Registre_Maintenance_Part[[ID_Antenne]:[Colonne2]],4,FALSE),"")</f>
        <v>29.297391000000001</v>
      </c>
      <c r="J225" t="str">
        <f>IFERROR(VLOOKUP(Logs_Reseau_Part5[[#This Row],[Cell_ID]],Registre_Maintenance_Part[[ID_Antenne]:[Colonne2]],5,FALSE),"")</f>
        <v>4G</v>
      </c>
      <c r="K225" t="str">
        <f>IFERROR(VLOOKUP(Logs_Reseau_Part5[[#This Row],[Cell_ID]],Registre_Maintenance_Part[[ID_Antenne]:[Colonne2]],6,FALSE),"")</f>
        <v>Ericsson</v>
      </c>
    </row>
    <row r="226" spans="1:11" x14ac:dyDescent="0.3">
      <c r="A226" t="s">
        <v>1406</v>
      </c>
      <c r="B226" s="1">
        <v>45212.875694444447</v>
      </c>
      <c r="C226" s="2">
        <v>45212.875694444447</v>
      </c>
      <c r="D226" t="s">
        <v>1415</v>
      </c>
      <c r="E226">
        <v>23</v>
      </c>
      <c r="F226" t="s">
        <v>734</v>
      </c>
      <c r="G226" t="str">
        <f>IFERROR(VLOOKUP(Logs_Reseau_Part5[[#This Row],[Cell_ID]],Registre_Maintenance_Part[[ID_Antenne]:[Colonne2]],2,FALSE),"")</f>
        <v>Kwilu</v>
      </c>
      <c r="H226">
        <f>IFERROR(VLOOKUP(Logs_Reseau_Part5[[#This Row],[Cell_ID]],Registre_Maintenance_Part[[ID_Antenne]:[Colonne2]],3,FALSE),"")</f>
        <v>1.2691650000000001</v>
      </c>
      <c r="I226">
        <f>IFERROR(VLOOKUP(Logs_Reseau_Part5[[#This Row],[Cell_ID]],Registre_Maintenance_Part[[ID_Antenne]:[Colonne2]],4,FALSE),"")</f>
        <v>18.789956</v>
      </c>
      <c r="J226" t="str">
        <f>IFERROR(VLOOKUP(Logs_Reseau_Part5[[#This Row],[Cell_ID]],Registre_Maintenance_Part[[ID_Antenne]:[Colonne2]],5,FALSE),"")</f>
        <v>3G</v>
      </c>
      <c r="K226" t="str">
        <f>IFERROR(VLOOKUP(Logs_Reseau_Part5[[#This Row],[Cell_ID]],Registre_Maintenance_Part[[ID_Antenne]:[Colonne2]],6,FALSE),"")</f>
        <v>Nokia</v>
      </c>
    </row>
    <row r="227" spans="1:11" x14ac:dyDescent="0.3">
      <c r="A227" t="s">
        <v>1263</v>
      </c>
      <c r="B227" s="1">
        <v>45213.145138888889</v>
      </c>
      <c r="C227" s="2">
        <v>45213.145138888889</v>
      </c>
      <c r="D227" t="s">
        <v>1166</v>
      </c>
      <c r="E227">
        <v>105</v>
      </c>
      <c r="F227" t="s">
        <v>737</v>
      </c>
      <c r="G227" t="str">
        <f>IFERROR(VLOOKUP(Logs_Reseau_Part5[[#This Row],[Cell_ID]],Registre_Maintenance_Part[[ID_Antenne]:[Colonne2]],2,FALSE),"")</f>
        <v>Kwilu</v>
      </c>
      <c r="H227">
        <f>IFERROR(VLOOKUP(Logs_Reseau_Part5[[#This Row],[Cell_ID]],Registre_Maintenance_Part[[ID_Antenne]:[Colonne2]],3,FALSE),"")</f>
        <v>-10.939712999999999</v>
      </c>
      <c r="I227">
        <f>IFERROR(VLOOKUP(Logs_Reseau_Part5[[#This Row],[Cell_ID]],Registre_Maintenance_Part[[ID_Antenne]:[Colonne2]],4,FALSE),"")</f>
        <v>18.276230999999999</v>
      </c>
      <c r="J227" t="str">
        <f>IFERROR(VLOOKUP(Logs_Reseau_Part5[[#This Row],[Cell_ID]],Registre_Maintenance_Part[[ID_Antenne]:[Colonne2]],5,FALSE),"")</f>
        <v>4G</v>
      </c>
      <c r="K227" t="str">
        <f>IFERROR(VLOOKUP(Logs_Reseau_Part5[[#This Row],[Cell_ID]],Registre_Maintenance_Part[[ID_Antenne]:[Colonne2]],6,FALSE),"")</f>
        <v>ZTE</v>
      </c>
    </row>
    <row r="228" spans="1:11" x14ac:dyDescent="0.3">
      <c r="A228" t="s">
        <v>1167</v>
      </c>
      <c r="B228" s="1">
        <v>45214.736805555563</v>
      </c>
      <c r="C228" s="2">
        <v>45214.736805555563</v>
      </c>
      <c r="D228" t="s">
        <v>1184</v>
      </c>
      <c r="E228">
        <v>34</v>
      </c>
      <c r="F228" t="s">
        <v>739</v>
      </c>
      <c r="G228" t="str">
        <f>IFERROR(VLOOKUP(Logs_Reseau_Part5[[#This Row],[Cell_ID]],Registre_Maintenance_Part[[ID_Antenne]:[Colonne2]],2,FALSE),"")</f>
        <v>Kwilu</v>
      </c>
      <c r="H228">
        <f>IFERROR(VLOOKUP(Logs_Reseau_Part5[[#This Row],[Cell_ID]],Registre_Maintenance_Part[[ID_Antenne]:[Colonne2]],3,FALSE),"")</f>
        <v>5.3608999999999997E-2</v>
      </c>
      <c r="I228">
        <f>IFERROR(VLOOKUP(Logs_Reseau_Part5[[#This Row],[Cell_ID]],Registre_Maintenance_Part[[ID_Antenne]:[Colonne2]],4,FALSE),"")</f>
        <v>28.346852999999999</v>
      </c>
      <c r="J228" t="str">
        <f>IFERROR(VLOOKUP(Logs_Reseau_Part5[[#This Row],[Cell_ID]],Registre_Maintenance_Part[[ID_Antenne]:[Colonne2]],5,FALSE),"")</f>
        <v>3G</v>
      </c>
      <c r="K228" t="str">
        <f>IFERROR(VLOOKUP(Logs_Reseau_Part5[[#This Row],[Cell_ID]],Registre_Maintenance_Part[[ID_Antenne]:[Colonne2]],6,FALSE),"")</f>
        <v>ZTE</v>
      </c>
    </row>
    <row r="229" spans="1:11" x14ac:dyDescent="0.3">
      <c r="A229" t="s">
        <v>825</v>
      </c>
      <c r="B229" s="1">
        <v>45216.902777777781</v>
      </c>
      <c r="C229" s="2">
        <v>45216.902777777781</v>
      </c>
      <c r="D229" t="s">
        <v>856</v>
      </c>
      <c r="E229">
        <v>20</v>
      </c>
      <c r="F229" t="s">
        <v>739</v>
      </c>
      <c r="G229" t="str">
        <f>IFERROR(VLOOKUP(Logs_Reseau_Part5[[#This Row],[Cell_ID]],Registre_Maintenance_Part[[ID_Antenne]:[Colonne2]],2,FALSE),"")</f>
        <v>Kwilu</v>
      </c>
      <c r="H229">
        <f>IFERROR(VLOOKUP(Logs_Reseau_Part5[[#This Row],[Cell_ID]],Registre_Maintenance_Part[[ID_Antenne]:[Colonne2]],3,FALSE),"")</f>
        <v>-4.2408359999999998</v>
      </c>
      <c r="I229">
        <f>IFERROR(VLOOKUP(Logs_Reseau_Part5[[#This Row],[Cell_ID]],Registre_Maintenance_Part[[ID_Antenne]:[Colonne2]],4,FALSE),"")</f>
        <v>26.210014000000001</v>
      </c>
      <c r="J229" t="str">
        <f>IFERROR(VLOOKUP(Logs_Reseau_Part5[[#This Row],[Cell_ID]],Registre_Maintenance_Part[[ID_Antenne]:[Colonne2]],5,FALSE),"")</f>
        <v>4G</v>
      </c>
      <c r="K229" t="str">
        <f>IFERROR(VLOOKUP(Logs_Reseau_Part5[[#This Row],[Cell_ID]],Registre_Maintenance_Part[[ID_Antenne]:[Colonne2]],6,FALSE),"")</f>
        <v>Huawei</v>
      </c>
    </row>
    <row r="230" spans="1:11" x14ac:dyDescent="0.3">
      <c r="A230" t="s">
        <v>1332</v>
      </c>
      <c r="B230" s="1">
        <v>45217.473611111112</v>
      </c>
      <c r="C230" s="2">
        <v>45217.473611111112</v>
      </c>
      <c r="D230" t="s">
        <v>871</v>
      </c>
      <c r="E230">
        <v>37</v>
      </c>
      <c r="F230" t="s">
        <v>739</v>
      </c>
      <c r="G230" t="str">
        <f>IFERROR(VLOOKUP(Logs_Reseau_Part5[[#This Row],[Cell_ID]],Registre_Maintenance_Part[[ID_Antenne]:[Colonne2]],2,FALSE),"")</f>
        <v>Kwilu</v>
      </c>
      <c r="H230">
        <f>IFERROR(VLOOKUP(Logs_Reseau_Part5[[#This Row],[Cell_ID]],Registre_Maintenance_Part[[ID_Antenne]:[Colonne2]],3,FALSE),"")</f>
        <v>-8.5675749999999997</v>
      </c>
      <c r="I230">
        <f>IFERROR(VLOOKUP(Logs_Reseau_Part5[[#This Row],[Cell_ID]],Registre_Maintenance_Part[[ID_Antenne]:[Colonne2]],4,FALSE),"")</f>
        <v>26.994581</v>
      </c>
      <c r="J230" t="str">
        <f>IFERROR(VLOOKUP(Logs_Reseau_Part5[[#This Row],[Cell_ID]],Registre_Maintenance_Part[[ID_Antenne]:[Colonne2]],5,FALSE),"")</f>
        <v>3G</v>
      </c>
      <c r="K230" t="str">
        <f>IFERROR(VLOOKUP(Logs_Reseau_Part5[[#This Row],[Cell_ID]],Registre_Maintenance_Part[[ID_Antenne]:[Colonne2]],6,FALSE),"")</f>
        <v>Nokia</v>
      </c>
    </row>
    <row r="231" spans="1:11" x14ac:dyDescent="0.3">
      <c r="A231" t="s">
        <v>1116</v>
      </c>
      <c r="B231" s="1">
        <v>45218.631944444453</v>
      </c>
      <c r="C231" s="2">
        <v>45218.631944444453</v>
      </c>
      <c r="D231" t="s">
        <v>771</v>
      </c>
      <c r="E231">
        <v>42</v>
      </c>
      <c r="F231" t="s">
        <v>737</v>
      </c>
      <c r="G231" t="str">
        <f>IFERROR(VLOOKUP(Logs_Reseau_Part5[[#This Row],[Cell_ID]],Registre_Maintenance_Part[[ID_Antenne]:[Colonne2]],2,FALSE),"")</f>
        <v>Kwilu</v>
      </c>
      <c r="H231">
        <f>IFERROR(VLOOKUP(Logs_Reseau_Part5[[#This Row],[Cell_ID]],Registre_Maintenance_Part[[ID_Antenne]:[Colonne2]],3,FALSE),"")</f>
        <v>-0.77432100000000004</v>
      </c>
      <c r="I231">
        <f>IFERROR(VLOOKUP(Logs_Reseau_Part5[[#This Row],[Cell_ID]],Registre_Maintenance_Part[[ID_Antenne]:[Colonne2]],4,FALSE),"")</f>
        <v>18.628658999999999</v>
      </c>
      <c r="J231" t="str">
        <f>IFERROR(VLOOKUP(Logs_Reseau_Part5[[#This Row],[Cell_ID]],Registre_Maintenance_Part[[ID_Antenne]:[Colonne2]],5,FALSE),"")</f>
        <v>4G</v>
      </c>
      <c r="K231" t="str">
        <f>IFERROR(VLOOKUP(Logs_Reseau_Part5[[#This Row],[Cell_ID]],Registre_Maintenance_Part[[ID_Antenne]:[Colonne2]],6,FALSE),"")</f>
        <v>Huawei</v>
      </c>
    </row>
    <row r="232" spans="1:11" x14ac:dyDescent="0.3">
      <c r="A232" t="s">
        <v>1061</v>
      </c>
      <c r="B232" s="1">
        <v>45220.811805555553</v>
      </c>
      <c r="C232" s="2">
        <v>45220.811805555553</v>
      </c>
      <c r="D232" t="s">
        <v>1063</v>
      </c>
      <c r="E232">
        <v>100</v>
      </c>
      <c r="F232" t="s">
        <v>739</v>
      </c>
      <c r="G232" t="str">
        <f>IFERROR(VLOOKUP(Logs_Reseau_Part5[[#This Row],[Cell_ID]],Registre_Maintenance_Part[[ID_Antenne]:[Colonne2]],2,FALSE),"")</f>
        <v>Kwilu</v>
      </c>
      <c r="H232">
        <f>IFERROR(VLOOKUP(Logs_Reseau_Part5[[#This Row],[Cell_ID]],Registre_Maintenance_Part[[ID_Antenne]:[Colonne2]],3,FALSE),"")</f>
        <v>-0.98830399999999996</v>
      </c>
      <c r="I232">
        <f>IFERROR(VLOOKUP(Logs_Reseau_Part5[[#This Row],[Cell_ID]],Registre_Maintenance_Part[[ID_Antenne]:[Colonne2]],4,FALSE),"")</f>
        <v>28.099966999999999</v>
      </c>
      <c r="J232" t="str">
        <f>IFERROR(VLOOKUP(Logs_Reseau_Part5[[#This Row],[Cell_ID]],Registre_Maintenance_Part[[ID_Antenne]:[Colonne2]],5,FALSE),"")</f>
        <v>3G</v>
      </c>
      <c r="K232" t="str">
        <f>IFERROR(VLOOKUP(Logs_Reseau_Part5[[#This Row],[Cell_ID]],Registre_Maintenance_Part[[ID_Antenne]:[Colonne2]],6,FALSE),"")</f>
        <v>Huawei</v>
      </c>
    </row>
    <row r="233" spans="1:11" x14ac:dyDescent="0.3">
      <c r="A233" t="s">
        <v>1406</v>
      </c>
      <c r="B233" s="1">
        <v>45221.167361111111</v>
      </c>
      <c r="C233" s="2">
        <v>45221.167361111111</v>
      </c>
      <c r="D233" t="s">
        <v>849</v>
      </c>
      <c r="E233">
        <v>78</v>
      </c>
      <c r="F233" t="s">
        <v>737</v>
      </c>
      <c r="G233" t="str">
        <f>IFERROR(VLOOKUP(Logs_Reseau_Part5[[#This Row],[Cell_ID]],Registre_Maintenance_Part[[ID_Antenne]:[Colonne2]],2,FALSE),"")</f>
        <v>Kwilu</v>
      </c>
      <c r="H233">
        <f>IFERROR(VLOOKUP(Logs_Reseau_Part5[[#This Row],[Cell_ID]],Registre_Maintenance_Part[[ID_Antenne]:[Colonne2]],3,FALSE),"")</f>
        <v>2.4741019999999998</v>
      </c>
      <c r="I233">
        <f>IFERROR(VLOOKUP(Logs_Reseau_Part5[[#This Row],[Cell_ID]],Registre_Maintenance_Part[[ID_Antenne]:[Colonne2]],4,FALSE),"")</f>
        <v>29.297391000000001</v>
      </c>
      <c r="J233" t="str">
        <f>IFERROR(VLOOKUP(Logs_Reseau_Part5[[#This Row],[Cell_ID]],Registre_Maintenance_Part[[ID_Antenne]:[Colonne2]],5,FALSE),"")</f>
        <v>4G</v>
      </c>
      <c r="K233" t="str">
        <f>IFERROR(VLOOKUP(Logs_Reseau_Part5[[#This Row],[Cell_ID]],Registre_Maintenance_Part[[ID_Antenne]:[Colonne2]],6,FALSE),"")</f>
        <v>Ericsson</v>
      </c>
    </row>
    <row r="234" spans="1:11" x14ac:dyDescent="0.3">
      <c r="A234" t="s">
        <v>1167</v>
      </c>
      <c r="B234" s="1">
        <v>45227.091666666667</v>
      </c>
      <c r="C234" s="2">
        <v>45227.091666666667</v>
      </c>
      <c r="D234" t="s">
        <v>1178</v>
      </c>
      <c r="E234">
        <v>112</v>
      </c>
      <c r="F234" t="s">
        <v>734</v>
      </c>
      <c r="G234" t="str">
        <f>IFERROR(VLOOKUP(Logs_Reseau_Part5[[#This Row],[Cell_ID]],Registre_Maintenance_Part[[ID_Antenne]:[Colonne2]],2,FALSE),"")</f>
        <v>Kwilu</v>
      </c>
      <c r="H234">
        <f>IFERROR(VLOOKUP(Logs_Reseau_Part5[[#This Row],[Cell_ID]],Registre_Maintenance_Part[[ID_Antenne]:[Colonne2]],3,FALSE),"")</f>
        <v>-10.161428000000001</v>
      </c>
      <c r="I234">
        <f>IFERROR(VLOOKUP(Logs_Reseau_Part5[[#This Row],[Cell_ID]],Registre_Maintenance_Part[[ID_Antenne]:[Colonne2]],4,FALSE),"")</f>
        <v>19.362325999999999</v>
      </c>
      <c r="J234" t="str">
        <f>IFERROR(VLOOKUP(Logs_Reseau_Part5[[#This Row],[Cell_ID]],Registre_Maintenance_Part[[ID_Antenne]:[Colonne2]],5,FALSE),"")</f>
        <v>3G</v>
      </c>
      <c r="K234" t="str">
        <f>IFERROR(VLOOKUP(Logs_Reseau_Part5[[#This Row],[Cell_ID]],Registre_Maintenance_Part[[ID_Antenne]:[Colonne2]],6,FALSE),"")</f>
        <v>Nokia</v>
      </c>
    </row>
    <row r="235" spans="1:11" x14ac:dyDescent="0.3">
      <c r="A235" t="s">
        <v>1263</v>
      </c>
      <c r="B235" s="1">
        <v>45228.15902777778</v>
      </c>
      <c r="C235" s="2">
        <v>45228.15902777778</v>
      </c>
      <c r="D235" t="s">
        <v>1137</v>
      </c>
      <c r="E235">
        <v>30</v>
      </c>
      <c r="F235" t="s">
        <v>734</v>
      </c>
      <c r="G235" t="str">
        <f>IFERROR(VLOOKUP(Logs_Reseau_Part5[[#This Row],[Cell_ID]],Registre_Maintenance_Part[[ID_Antenne]:[Colonne2]],2,FALSE),"")</f>
        <v>Kwilu</v>
      </c>
      <c r="H235">
        <f>IFERROR(VLOOKUP(Logs_Reseau_Part5[[#This Row],[Cell_ID]],Registre_Maintenance_Part[[ID_Antenne]:[Colonne2]],3,FALSE),"")</f>
        <v>0.62055499999999997</v>
      </c>
      <c r="I235">
        <f>IFERROR(VLOOKUP(Logs_Reseau_Part5[[#This Row],[Cell_ID]],Registre_Maintenance_Part[[ID_Antenne]:[Colonne2]],4,FALSE),"")</f>
        <v>21.222035000000002</v>
      </c>
      <c r="J235" t="str">
        <f>IFERROR(VLOOKUP(Logs_Reseau_Part5[[#This Row],[Cell_ID]],Registre_Maintenance_Part[[ID_Antenne]:[Colonne2]],5,FALSE),"")</f>
        <v>5G</v>
      </c>
      <c r="K235" t="str">
        <f>IFERROR(VLOOKUP(Logs_Reseau_Part5[[#This Row],[Cell_ID]],Registre_Maintenance_Part[[ID_Antenne]:[Colonne2]],6,FALSE),"")</f>
        <v>Nokia</v>
      </c>
    </row>
    <row r="236" spans="1:11" x14ac:dyDescent="0.3">
      <c r="A236" t="s">
        <v>1116</v>
      </c>
      <c r="B236" s="1">
        <v>45230.40902777778</v>
      </c>
      <c r="C236" s="2">
        <v>45230.40902777778</v>
      </c>
      <c r="D236" t="s">
        <v>1137</v>
      </c>
      <c r="E236">
        <v>80</v>
      </c>
      <c r="F236" t="s">
        <v>737</v>
      </c>
      <c r="G236" t="str">
        <f>IFERROR(VLOOKUP(Logs_Reseau_Part5[[#This Row],[Cell_ID]],Registre_Maintenance_Part[[ID_Antenne]:[Colonne2]],2,FALSE),"")</f>
        <v>Kwilu</v>
      </c>
      <c r="H236">
        <f>IFERROR(VLOOKUP(Logs_Reseau_Part5[[#This Row],[Cell_ID]],Registre_Maintenance_Part[[ID_Antenne]:[Colonne2]],3,FALSE),"")</f>
        <v>0.62055499999999997</v>
      </c>
      <c r="I236">
        <f>IFERROR(VLOOKUP(Logs_Reseau_Part5[[#This Row],[Cell_ID]],Registre_Maintenance_Part[[ID_Antenne]:[Colonne2]],4,FALSE),"")</f>
        <v>21.222035000000002</v>
      </c>
      <c r="J236" t="str">
        <f>IFERROR(VLOOKUP(Logs_Reseau_Part5[[#This Row],[Cell_ID]],Registre_Maintenance_Part[[ID_Antenne]:[Colonne2]],5,FALSE),"")</f>
        <v>5G</v>
      </c>
      <c r="K236" t="str">
        <f>IFERROR(VLOOKUP(Logs_Reseau_Part5[[#This Row],[Cell_ID]],Registre_Maintenance_Part[[ID_Antenne]:[Colonne2]],6,FALSE),"")</f>
        <v>Nokia</v>
      </c>
    </row>
    <row r="237" spans="1:11" x14ac:dyDescent="0.3">
      <c r="A237" t="s">
        <v>1263</v>
      </c>
      <c r="B237" s="1">
        <v>45200.466666666667</v>
      </c>
      <c r="C237" s="2">
        <v>45200.466666666667</v>
      </c>
      <c r="D237" t="s">
        <v>1289</v>
      </c>
      <c r="E237">
        <v>31</v>
      </c>
      <c r="F237" t="s">
        <v>737</v>
      </c>
      <c r="G237" t="str">
        <f>IFERROR(VLOOKUP(Logs_Reseau_Part5[[#This Row],[Cell_ID]],Registre_Maintenance_Part[[ID_Antenne]:[Colonne2]],2,FALSE),"")</f>
        <v>Lomami</v>
      </c>
      <c r="H237">
        <f>IFERROR(VLOOKUP(Logs_Reseau_Part5[[#This Row],[Cell_ID]],Registre_Maintenance_Part[[ID_Antenne]:[Colonne2]],3,FALSE),"")</f>
        <v>-9.5619429999999994</v>
      </c>
      <c r="I237">
        <f>IFERROR(VLOOKUP(Logs_Reseau_Part5[[#This Row],[Cell_ID]],Registre_Maintenance_Part[[ID_Antenne]:[Colonne2]],4,FALSE),"")</f>
        <v>21.445726000000001</v>
      </c>
      <c r="J237" t="str">
        <f>IFERROR(VLOOKUP(Logs_Reseau_Part5[[#This Row],[Cell_ID]],Registre_Maintenance_Part[[ID_Antenne]:[Colonne2]],5,FALSE),"")</f>
        <v>4G</v>
      </c>
      <c r="K237" t="str">
        <f>IFERROR(VLOOKUP(Logs_Reseau_Part5[[#This Row],[Cell_ID]],Registre_Maintenance_Part[[ID_Antenne]:[Colonne2]],6,FALSE),"")</f>
        <v>Nokia</v>
      </c>
    </row>
    <row r="238" spans="1:11" x14ac:dyDescent="0.3">
      <c r="A238" t="s">
        <v>1332</v>
      </c>
      <c r="B238" s="1">
        <v>45201.293055555558</v>
      </c>
      <c r="C238" s="2">
        <v>45201.293055555558</v>
      </c>
      <c r="D238" t="s">
        <v>1289</v>
      </c>
      <c r="E238">
        <v>95</v>
      </c>
      <c r="F238" t="s">
        <v>739</v>
      </c>
      <c r="G238" t="str">
        <f>IFERROR(VLOOKUP(Logs_Reseau_Part5[[#This Row],[Cell_ID]],Registre_Maintenance_Part[[ID_Antenne]:[Colonne2]],2,FALSE),"")</f>
        <v>Lomami</v>
      </c>
      <c r="H238">
        <f>IFERROR(VLOOKUP(Logs_Reseau_Part5[[#This Row],[Cell_ID]],Registre_Maintenance_Part[[ID_Antenne]:[Colonne2]],3,FALSE),"")</f>
        <v>-9.5619429999999994</v>
      </c>
      <c r="I238">
        <f>IFERROR(VLOOKUP(Logs_Reseau_Part5[[#This Row],[Cell_ID]],Registre_Maintenance_Part[[ID_Antenne]:[Colonne2]],4,FALSE),"")</f>
        <v>21.445726000000001</v>
      </c>
      <c r="J238" t="str">
        <f>IFERROR(VLOOKUP(Logs_Reseau_Part5[[#This Row],[Cell_ID]],Registre_Maintenance_Part[[ID_Antenne]:[Colonne2]],5,FALSE),"")</f>
        <v>4G</v>
      </c>
      <c r="K238" t="str">
        <f>IFERROR(VLOOKUP(Logs_Reseau_Part5[[#This Row],[Cell_ID]],Registre_Maintenance_Part[[ID_Antenne]:[Colonne2]],6,FALSE),"")</f>
        <v>Nokia</v>
      </c>
    </row>
    <row r="239" spans="1:11" x14ac:dyDescent="0.3">
      <c r="A239" t="s">
        <v>732</v>
      </c>
      <c r="B239" s="1">
        <v>45204.283333333333</v>
      </c>
      <c r="C239" s="2">
        <v>45204.283333333333</v>
      </c>
      <c r="D239" t="s">
        <v>751</v>
      </c>
      <c r="E239">
        <v>11</v>
      </c>
      <c r="F239" t="s">
        <v>739</v>
      </c>
      <c r="G239" t="str">
        <f>IFERROR(VLOOKUP(Logs_Reseau_Part5[[#This Row],[Cell_ID]],Registre_Maintenance_Part[[ID_Antenne]:[Colonne2]],2,FALSE),"")</f>
        <v>Lomami</v>
      </c>
      <c r="H239">
        <f>IFERROR(VLOOKUP(Logs_Reseau_Part5[[#This Row],[Cell_ID]],Registre_Maintenance_Part[[ID_Antenne]:[Colonne2]],3,FALSE),"")</f>
        <v>-2.2371569999999998</v>
      </c>
      <c r="I239">
        <f>IFERROR(VLOOKUP(Logs_Reseau_Part5[[#This Row],[Cell_ID]],Registre_Maintenance_Part[[ID_Antenne]:[Colonne2]],4,FALSE),"")</f>
        <v>25.926188</v>
      </c>
      <c r="J239" t="str">
        <f>IFERROR(VLOOKUP(Logs_Reseau_Part5[[#This Row],[Cell_ID]],Registre_Maintenance_Part[[ID_Antenne]:[Colonne2]],5,FALSE),"")</f>
        <v>3G</v>
      </c>
      <c r="K239" t="str">
        <f>IFERROR(VLOOKUP(Logs_Reseau_Part5[[#This Row],[Cell_ID]],Registre_Maintenance_Part[[ID_Antenne]:[Colonne2]],6,FALSE),"")</f>
        <v>Nokia</v>
      </c>
    </row>
    <row r="240" spans="1:11" x14ac:dyDescent="0.3">
      <c r="A240" t="s">
        <v>1290</v>
      </c>
      <c r="B240" s="1">
        <v>45205.345138888893</v>
      </c>
      <c r="C240" s="2">
        <v>45205.345138888893</v>
      </c>
      <c r="D240" t="s">
        <v>907</v>
      </c>
      <c r="E240">
        <v>109</v>
      </c>
      <c r="F240" t="s">
        <v>737</v>
      </c>
      <c r="G240" t="str">
        <f>IFERROR(VLOOKUP(Logs_Reseau_Part5[[#This Row],[Cell_ID]],Registre_Maintenance_Part[[ID_Antenne]:[Colonne2]],2,FALSE),"")</f>
        <v>Lomami</v>
      </c>
      <c r="H240">
        <f>IFERROR(VLOOKUP(Logs_Reseau_Part5[[#This Row],[Cell_ID]],Registre_Maintenance_Part[[ID_Antenne]:[Colonne2]],3,FALSE),"")</f>
        <v>-2.2681789999999999</v>
      </c>
      <c r="I240">
        <f>IFERROR(VLOOKUP(Logs_Reseau_Part5[[#This Row],[Cell_ID]],Registre_Maintenance_Part[[ID_Antenne]:[Colonne2]],4,FALSE),"")</f>
        <v>25.699068</v>
      </c>
      <c r="J240" t="str">
        <f>IFERROR(VLOOKUP(Logs_Reseau_Part5[[#This Row],[Cell_ID]],Registre_Maintenance_Part[[ID_Antenne]:[Colonne2]],5,FALSE),"")</f>
        <v>3G</v>
      </c>
      <c r="K240" t="str">
        <f>IFERROR(VLOOKUP(Logs_Reseau_Part5[[#This Row],[Cell_ID]],Registre_Maintenance_Part[[ID_Antenne]:[Colonne2]],6,FALSE),"")</f>
        <v>ZTE</v>
      </c>
    </row>
    <row r="241" spans="1:11" x14ac:dyDescent="0.3">
      <c r="A241" t="s">
        <v>732</v>
      </c>
      <c r="B241" s="1">
        <v>45208.073611111111</v>
      </c>
      <c r="C241" s="2">
        <v>45208.073611111111</v>
      </c>
      <c r="D241" t="s">
        <v>747</v>
      </c>
      <c r="E241">
        <v>85</v>
      </c>
      <c r="F241" t="s">
        <v>737</v>
      </c>
      <c r="G241" t="str">
        <f>IFERROR(VLOOKUP(Logs_Reseau_Part5[[#This Row],[Cell_ID]],Registre_Maintenance_Part[[ID_Antenne]:[Colonne2]],2,FALSE),"")</f>
        <v>Lomami</v>
      </c>
      <c r="H241">
        <f>IFERROR(VLOOKUP(Logs_Reseau_Part5[[#This Row],[Cell_ID]],Registre_Maintenance_Part[[ID_Antenne]:[Colonne2]],3,FALSE),"")</f>
        <v>-8.4227860000000003</v>
      </c>
      <c r="I241">
        <f>IFERROR(VLOOKUP(Logs_Reseau_Part5[[#This Row],[Cell_ID]],Registre_Maintenance_Part[[ID_Antenne]:[Colonne2]],4,FALSE),"")</f>
        <v>16.781293000000002</v>
      </c>
      <c r="J241" t="str">
        <f>IFERROR(VLOOKUP(Logs_Reseau_Part5[[#This Row],[Cell_ID]],Registre_Maintenance_Part[[ID_Antenne]:[Colonne2]],5,FALSE),"")</f>
        <v>4G</v>
      </c>
      <c r="K241" t="str">
        <f>IFERROR(VLOOKUP(Logs_Reseau_Part5[[#This Row],[Cell_ID]],Registre_Maintenance_Part[[ID_Antenne]:[Colonne2]],6,FALSE),"")</f>
        <v>Huawei</v>
      </c>
    </row>
    <row r="242" spans="1:11" x14ac:dyDescent="0.3">
      <c r="A242" t="s">
        <v>1116</v>
      </c>
      <c r="B242" s="1">
        <v>45210.879861111112</v>
      </c>
      <c r="C242" s="2">
        <v>45210.879861111112</v>
      </c>
      <c r="D242" t="s">
        <v>1124</v>
      </c>
      <c r="E242">
        <v>53</v>
      </c>
      <c r="F242" t="s">
        <v>734</v>
      </c>
      <c r="G242" t="str">
        <f>IFERROR(VLOOKUP(Logs_Reseau_Part5[[#This Row],[Cell_ID]],Registre_Maintenance_Part[[ID_Antenne]:[Colonne2]],2,FALSE),"")</f>
        <v>Lomami</v>
      </c>
      <c r="H242">
        <f>IFERROR(VLOOKUP(Logs_Reseau_Part5[[#This Row],[Cell_ID]],Registre_Maintenance_Part[[ID_Antenne]:[Colonne2]],3,FALSE),"")</f>
        <v>-7.8770429999999996</v>
      </c>
      <c r="I242">
        <f>IFERROR(VLOOKUP(Logs_Reseau_Part5[[#This Row],[Cell_ID]],Registre_Maintenance_Part[[ID_Antenne]:[Colonne2]],4,FALSE),"")</f>
        <v>16.357762999999998</v>
      </c>
      <c r="J242" t="str">
        <f>IFERROR(VLOOKUP(Logs_Reseau_Part5[[#This Row],[Cell_ID]],Registre_Maintenance_Part[[ID_Antenne]:[Colonne2]],5,FALSE),"")</f>
        <v>4G</v>
      </c>
      <c r="K242" t="str">
        <f>IFERROR(VLOOKUP(Logs_Reseau_Part5[[#This Row],[Cell_ID]],Registre_Maintenance_Part[[ID_Antenne]:[Colonne2]],6,FALSE),"")</f>
        <v>Ericsson</v>
      </c>
    </row>
    <row r="243" spans="1:11" x14ac:dyDescent="0.3">
      <c r="A243" t="s">
        <v>1347</v>
      </c>
      <c r="B243" s="1">
        <v>45213.518750000003</v>
      </c>
      <c r="C243" s="2">
        <v>45213.518750000003</v>
      </c>
      <c r="D243" t="s">
        <v>1272</v>
      </c>
      <c r="E243">
        <v>88</v>
      </c>
      <c r="F243" t="s">
        <v>737</v>
      </c>
      <c r="G243" t="str">
        <f>IFERROR(VLOOKUP(Logs_Reseau_Part5[[#This Row],[Cell_ID]],Registre_Maintenance_Part[[ID_Antenne]:[Colonne2]],2,FALSE),"")</f>
        <v>Lomami</v>
      </c>
      <c r="H243">
        <f>IFERROR(VLOOKUP(Logs_Reseau_Part5[[#This Row],[Cell_ID]],Registre_Maintenance_Part[[ID_Antenne]:[Colonne2]],3,FALSE),"")</f>
        <v>4.8265669999999998</v>
      </c>
      <c r="I243">
        <f>IFERROR(VLOOKUP(Logs_Reseau_Part5[[#This Row],[Cell_ID]],Registre_Maintenance_Part[[ID_Antenne]:[Colonne2]],4,FALSE),"")</f>
        <v>28.535277000000001</v>
      </c>
      <c r="J243" t="str">
        <f>IFERROR(VLOOKUP(Logs_Reseau_Part5[[#This Row],[Cell_ID]],Registre_Maintenance_Part[[ID_Antenne]:[Colonne2]],5,FALSE),"")</f>
        <v>3G</v>
      </c>
      <c r="K243" t="str">
        <f>IFERROR(VLOOKUP(Logs_Reseau_Part5[[#This Row],[Cell_ID]],Registre_Maintenance_Part[[ID_Antenne]:[Colonne2]],6,FALSE),"")</f>
        <v>Huawei</v>
      </c>
    </row>
    <row r="244" spans="1:11" x14ac:dyDescent="0.3">
      <c r="A244" t="s">
        <v>1332</v>
      </c>
      <c r="B244" s="1">
        <v>45214.684027777781</v>
      </c>
      <c r="C244" s="2">
        <v>45214.684027777781</v>
      </c>
      <c r="D244" t="s">
        <v>835</v>
      </c>
      <c r="E244">
        <v>119</v>
      </c>
      <c r="F244" t="s">
        <v>739</v>
      </c>
      <c r="G244" t="str">
        <f>IFERROR(VLOOKUP(Logs_Reseau_Part5[[#This Row],[Cell_ID]],Registre_Maintenance_Part[[ID_Antenne]:[Colonne2]],2,FALSE),"")</f>
        <v>Lomami</v>
      </c>
      <c r="H244">
        <f>IFERROR(VLOOKUP(Logs_Reseau_Part5[[#This Row],[Cell_ID]],Registre_Maintenance_Part[[ID_Antenne]:[Colonne2]],3,FALSE),"")</f>
        <v>-11.218453999999999</v>
      </c>
      <c r="I244">
        <f>IFERROR(VLOOKUP(Logs_Reseau_Part5[[#This Row],[Cell_ID]],Registre_Maintenance_Part[[ID_Antenne]:[Colonne2]],4,FALSE),"")</f>
        <v>28.230025000000001</v>
      </c>
      <c r="J244" t="str">
        <f>IFERROR(VLOOKUP(Logs_Reseau_Part5[[#This Row],[Cell_ID]],Registre_Maintenance_Part[[ID_Antenne]:[Colonne2]],5,FALSE),"")</f>
        <v>5G</v>
      </c>
      <c r="K244" t="str">
        <f>IFERROR(VLOOKUP(Logs_Reseau_Part5[[#This Row],[Cell_ID]],Registre_Maintenance_Part[[ID_Antenne]:[Colonne2]],6,FALSE),"")</f>
        <v>ZTE</v>
      </c>
    </row>
    <row r="245" spans="1:11" x14ac:dyDescent="0.3">
      <c r="A245" t="s">
        <v>904</v>
      </c>
      <c r="B245" s="1">
        <v>45215.376388888893</v>
      </c>
      <c r="C245" s="2">
        <v>45215.376388888893</v>
      </c>
      <c r="D245" t="s">
        <v>751</v>
      </c>
      <c r="E245">
        <v>65</v>
      </c>
      <c r="F245" t="s">
        <v>739</v>
      </c>
      <c r="G245" t="str">
        <f>IFERROR(VLOOKUP(Logs_Reseau_Part5[[#This Row],[Cell_ID]],Registre_Maintenance_Part[[ID_Antenne]:[Colonne2]],2,FALSE),"")</f>
        <v>Lomami</v>
      </c>
      <c r="H245">
        <f>IFERROR(VLOOKUP(Logs_Reseau_Part5[[#This Row],[Cell_ID]],Registre_Maintenance_Part[[ID_Antenne]:[Colonne2]],3,FALSE),"")</f>
        <v>-2.2371569999999998</v>
      </c>
      <c r="I245">
        <f>IFERROR(VLOOKUP(Logs_Reseau_Part5[[#This Row],[Cell_ID]],Registre_Maintenance_Part[[ID_Antenne]:[Colonne2]],4,FALSE),"")</f>
        <v>25.926188</v>
      </c>
      <c r="J245" t="str">
        <f>IFERROR(VLOOKUP(Logs_Reseau_Part5[[#This Row],[Cell_ID]],Registre_Maintenance_Part[[ID_Antenne]:[Colonne2]],5,FALSE),"")</f>
        <v>3G</v>
      </c>
      <c r="K245" t="str">
        <f>IFERROR(VLOOKUP(Logs_Reseau_Part5[[#This Row],[Cell_ID]],Registre_Maintenance_Part[[ID_Antenne]:[Colonne2]],6,FALSE),"")</f>
        <v>Nokia</v>
      </c>
    </row>
    <row r="246" spans="1:11" x14ac:dyDescent="0.3">
      <c r="A246" t="s">
        <v>1263</v>
      </c>
      <c r="B246" s="1">
        <v>45216.094444444447</v>
      </c>
      <c r="C246" s="2">
        <v>45216.094444444447</v>
      </c>
      <c r="D246" t="s">
        <v>1272</v>
      </c>
      <c r="E246">
        <v>74</v>
      </c>
      <c r="F246" t="s">
        <v>734</v>
      </c>
      <c r="G246" t="str">
        <f>IFERROR(VLOOKUP(Logs_Reseau_Part5[[#This Row],[Cell_ID]],Registre_Maintenance_Part[[ID_Antenne]:[Colonne2]],2,FALSE),"")</f>
        <v>Lomami</v>
      </c>
      <c r="H246">
        <f>IFERROR(VLOOKUP(Logs_Reseau_Part5[[#This Row],[Cell_ID]],Registre_Maintenance_Part[[ID_Antenne]:[Colonne2]],3,FALSE),"")</f>
        <v>4.8265669999999998</v>
      </c>
      <c r="I246">
        <f>IFERROR(VLOOKUP(Logs_Reseau_Part5[[#This Row],[Cell_ID]],Registre_Maintenance_Part[[ID_Antenne]:[Colonne2]],4,FALSE),"")</f>
        <v>28.535277000000001</v>
      </c>
      <c r="J246" t="str">
        <f>IFERROR(VLOOKUP(Logs_Reseau_Part5[[#This Row],[Cell_ID]],Registre_Maintenance_Part[[ID_Antenne]:[Colonne2]],5,FALSE),"")</f>
        <v>3G</v>
      </c>
      <c r="K246" t="str">
        <f>IFERROR(VLOOKUP(Logs_Reseau_Part5[[#This Row],[Cell_ID]],Registre_Maintenance_Part[[ID_Antenne]:[Colonne2]],6,FALSE),"")</f>
        <v>Huawei</v>
      </c>
    </row>
    <row r="247" spans="1:11" x14ac:dyDescent="0.3">
      <c r="A247" t="s">
        <v>732</v>
      </c>
      <c r="B247" s="1">
        <v>45218.368750000001</v>
      </c>
      <c r="C247" s="2">
        <v>45218.368750000001</v>
      </c>
      <c r="D247" t="s">
        <v>747</v>
      </c>
      <c r="E247">
        <v>70</v>
      </c>
      <c r="F247" t="s">
        <v>734</v>
      </c>
      <c r="G247" t="str">
        <f>IFERROR(VLOOKUP(Logs_Reseau_Part5[[#This Row],[Cell_ID]],Registre_Maintenance_Part[[ID_Antenne]:[Colonne2]],2,FALSE),"")</f>
        <v>Lomami</v>
      </c>
      <c r="H247">
        <f>IFERROR(VLOOKUP(Logs_Reseau_Part5[[#This Row],[Cell_ID]],Registre_Maintenance_Part[[ID_Antenne]:[Colonne2]],3,FALSE),"")</f>
        <v>-8.4227860000000003</v>
      </c>
      <c r="I247">
        <f>IFERROR(VLOOKUP(Logs_Reseau_Part5[[#This Row],[Cell_ID]],Registre_Maintenance_Part[[ID_Antenne]:[Colonne2]],4,FALSE),"")</f>
        <v>16.781293000000002</v>
      </c>
      <c r="J247" t="str">
        <f>IFERROR(VLOOKUP(Logs_Reseau_Part5[[#This Row],[Cell_ID]],Registre_Maintenance_Part[[ID_Antenne]:[Colonne2]],5,FALSE),"")</f>
        <v>4G</v>
      </c>
      <c r="K247" t="str">
        <f>IFERROR(VLOOKUP(Logs_Reseau_Part5[[#This Row],[Cell_ID]],Registre_Maintenance_Part[[ID_Antenne]:[Colonne2]],6,FALSE),"")</f>
        <v>Huawei</v>
      </c>
    </row>
    <row r="248" spans="1:11" x14ac:dyDescent="0.3">
      <c r="A248" t="s">
        <v>825</v>
      </c>
      <c r="B248" s="1">
        <v>45219.103472222218</v>
      </c>
      <c r="C248" s="2">
        <v>45219.103472222218</v>
      </c>
      <c r="D248" t="s">
        <v>862</v>
      </c>
      <c r="E248">
        <v>72</v>
      </c>
      <c r="F248" t="s">
        <v>737</v>
      </c>
      <c r="G248" t="str">
        <f>IFERROR(VLOOKUP(Logs_Reseau_Part5[[#This Row],[Cell_ID]],Registre_Maintenance_Part[[ID_Antenne]:[Colonne2]],2,FALSE),"")</f>
        <v>Lomami</v>
      </c>
      <c r="H248">
        <f>IFERROR(VLOOKUP(Logs_Reseau_Part5[[#This Row],[Cell_ID]],Registre_Maintenance_Part[[ID_Antenne]:[Colonne2]],3,FALSE),"")</f>
        <v>-5.7035130000000001</v>
      </c>
      <c r="I248">
        <f>IFERROR(VLOOKUP(Logs_Reseau_Part5[[#This Row],[Cell_ID]],Registre_Maintenance_Part[[ID_Antenne]:[Colonne2]],4,FALSE),"")</f>
        <v>14.331479</v>
      </c>
      <c r="J248" t="str">
        <f>IFERROR(VLOOKUP(Logs_Reseau_Part5[[#This Row],[Cell_ID]],Registre_Maintenance_Part[[ID_Antenne]:[Colonne2]],5,FALSE),"")</f>
        <v>5G</v>
      </c>
      <c r="K248" t="str">
        <f>IFERROR(VLOOKUP(Logs_Reseau_Part5[[#This Row],[Cell_ID]],Registre_Maintenance_Part[[ID_Antenne]:[Colonne2]],6,FALSE),"")</f>
        <v>Nokia</v>
      </c>
    </row>
    <row r="249" spans="1:11" x14ac:dyDescent="0.3">
      <c r="A249" t="s">
        <v>825</v>
      </c>
      <c r="B249" s="1">
        <v>45219.420138888891</v>
      </c>
      <c r="C249" s="2">
        <v>45219.420138888891</v>
      </c>
      <c r="D249" t="s">
        <v>857</v>
      </c>
      <c r="E249">
        <v>63</v>
      </c>
      <c r="F249" t="s">
        <v>739</v>
      </c>
      <c r="G249" t="str">
        <f>IFERROR(VLOOKUP(Logs_Reseau_Part5[[#This Row],[Cell_ID]],Registre_Maintenance_Part[[ID_Antenne]:[Colonne2]],2,FALSE),"")</f>
        <v>Lomami</v>
      </c>
      <c r="H249">
        <f>IFERROR(VLOOKUP(Logs_Reseau_Part5[[#This Row],[Cell_ID]],Registre_Maintenance_Part[[ID_Antenne]:[Colonne2]],3,FALSE),"")</f>
        <v>-9.9875139999999991</v>
      </c>
      <c r="I249">
        <f>IFERROR(VLOOKUP(Logs_Reseau_Part5[[#This Row],[Cell_ID]],Registre_Maintenance_Part[[ID_Antenne]:[Colonne2]],4,FALSE),"")</f>
        <v>12.013676999999999</v>
      </c>
      <c r="J249" t="str">
        <f>IFERROR(VLOOKUP(Logs_Reseau_Part5[[#This Row],[Cell_ID]],Registre_Maintenance_Part[[ID_Antenne]:[Colonne2]],5,FALSE),"")</f>
        <v>3G</v>
      </c>
      <c r="K249" t="str">
        <f>IFERROR(VLOOKUP(Logs_Reseau_Part5[[#This Row],[Cell_ID]],Registre_Maintenance_Part[[ID_Antenne]:[Colonne2]],6,FALSE),"")</f>
        <v>ZTE</v>
      </c>
    </row>
    <row r="250" spans="1:11" x14ac:dyDescent="0.3">
      <c r="A250" t="s">
        <v>1061</v>
      </c>
      <c r="B250" s="1">
        <v>45222.652777777781</v>
      </c>
      <c r="C250" s="2">
        <v>45222.652777777781</v>
      </c>
      <c r="D250" t="s">
        <v>1080</v>
      </c>
      <c r="E250">
        <v>46</v>
      </c>
      <c r="F250" t="s">
        <v>739</v>
      </c>
      <c r="G250" t="str">
        <f>IFERROR(VLOOKUP(Logs_Reseau_Part5[[#This Row],[Cell_ID]],Registre_Maintenance_Part[[ID_Antenne]:[Colonne2]],2,FALSE),"")</f>
        <v>Lomami</v>
      </c>
      <c r="H250">
        <f>IFERROR(VLOOKUP(Logs_Reseau_Part5[[#This Row],[Cell_ID]],Registre_Maintenance_Part[[ID_Antenne]:[Colonne2]],3,FALSE),"")</f>
        <v>-11.266565999999999</v>
      </c>
      <c r="I250">
        <f>IFERROR(VLOOKUP(Logs_Reseau_Part5[[#This Row],[Cell_ID]],Registre_Maintenance_Part[[ID_Antenne]:[Colonne2]],4,FALSE),"")</f>
        <v>26.245055000000001</v>
      </c>
      <c r="J250" t="str">
        <f>IFERROR(VLOOKUP(Logs_Reseau_Part5[[#This Row],[Cell_ID]],Registre_Maintenance_Part[[ID_Antenne]:[Colonne2]],5,FALSE),"")</f>
        <v>3G</v>
      </c>
      <c r="K250" t="str">
        <f>IFERROR(VLOOKUP(Logs_Reseau_Part5[[#This Row],[Cell_ID]],Registre_Maintenance_Part[[ID_Antenne]:[Colonne2]],6,FALSE),"")</f>
        <v>Ericsson</v>
      </c>
    </row>
    <row r="251" spans="1:11" x14ac:dyDescent="0.3">
      <c r="A251" t="s">
        <v>1384</v>
      </c>
      <c r="B251" s="1">
        <v>45224.482638888891</v>
      </c>
      <c r="C251" s="2">
        <v>45224.482638888891</v>
      </c>
      <c r="D251" t="s">
        <v>751</v>
      </c>
      <c r="E251">
        <v>95</v>
      </c>
      <c r="F251" t="s">
        <v>737</v>
      </c>
      <c r="G251" t="str">
        <f>IFERROR(VLOOKUP(Logs_Reseau_Part5[[#This Row],[Cell_ID]],Registre_Maintenance_Part[[ID_Antenne]:[Colonne2]],2,FALSE),"")</f>
        <v>Lomami</v>
      </c>
      <c r="H251">
        <f>IFERROR(VLOOKUP(Logs_Reseau_Part5[[#This Row],[Cell_ID]],Registre_Maintenance_Part[[ID_Antenne]:[Colonne2]],3,FALSE),"")</f>
        <v>-2.2371569999999998</v>
      </c>
      <c r="I251">
        <f>IFERROR(VLOOKUP(Logs_Reseau_Part5[[#This Row],[Cell_ID]],Registre_Maintenance_Part[[ID_Antenne]:[Colonne2]],4,FALSE),"")</f>
        <v>25.926188</v>
      </c>
      <c r="J251" t="str">
        <f>IFERROR(VLOOKUP(Logs_Reseau_Part5[[#This Row],[Cell_ID]],Registre_Maintenance_Part[[ID_Antenne]:[Colonne2]],5,FALSE),"")</f>
        <v>3G</v>
      </c>
      <c r="K251" t="str">
        <f>IFERROR(VLOOKUP(Logs_Reseau_Part5[[#This Row],[Cell_ID]],Registre_Maintenance_Part[[ID_Antenne]:[Colonne2]],6,FALSE),"")</f>
        <v>Nokia</v>
      </c>
    </row>
    <row r="252" spans="1:11" x14ac:dyDescent="0.3">
      <c r="A252" t="s">
        <v>904</v>
      </c>
      <c r="B252" s="1">
        <v>45226.100694444453</v>
      </c>
      <c r="C252" s="2">
        <v>45226.100694444453</v>
      </c>
      <c r="D252" t="s">
        <v>907</v>
      </c>
      <c r="E252">
        <v>110</v>
      </c>
      <c r="F252" t="s">
        <v>737</v>
      </c>
      <c r="G252" t="str">
        <f>IFERROR(VLOOKUP(Logs_Reseau_Part5[[#This Row],[Cell_ID]],Registre_Maintenance_Part[[ID_Antenne]:[Colonne2]],2,FALSE),"")</f>
        <v>Lomami</v>
      </c>
      <c r="H252">
        <f>IFERROR(VLOOKUP(Logs_Reseau_Part5[[#This Row],[Cell_ID]],Registre_Maintenance_Part[[ID_Antenne]:[Colonne2]],3,FALSE),"")</f>
        <v>-2.2681789999999999</v>
      </c>
      <c r="I252">
        <f>IFERROR(VLOOKUP(Logs_Reseau_Part5[[#This Row],[Cell_ID]],Registre_Maintenance_Part[[ID_Antenne]:[Colonne2]],4,FALSE),"")</f>
        <v>25.699068</v>
      </c>
      <c r="J252" t="str">
        <f>IFERROR(VLOOKUP(Logs_Reseau_Part5[[#This Row],[Cell_ID]],Registre_Maintenance_Part[[ID_Antenne]:[Colonne2]],5,FALSE),"")</f>
        <v>3G</v>
      </c>
      <c r="K252" t="str">
        <f>IFERROR(VLOOKUP(Logs_Reseau_Part5[[#This Row],[Cell_ID]],Registre_Maintenance_Part[[ID_Antenne]:[Colonne2]],6,FALSE),"")</f>
        <v>ZTE</v>
      </c>
    </row>
    <row r="253" spans="1:11" x14ac:dyDescent="0.3">
      <c r="A253" t="s">
        <v>825</v>
      </c>
      <c r="B253" s="1">
        <v>45229.738194444442</v>
      </c>
      <c r="C253" s="2">
        <v>45229.738194444442</v>
      </c>
      <c r="D253" t="s">
        <v>835</v>
      </c>
      <c r="E253">
        <v>36</v>
      </c>
      <c r="F253" t="s">
        <v>737</v>
      </c>
      <c r="G253" t="str">
        <f>IFERROR(VLOOKUP(Logs_Reseau_Part5[[#This Row],[Cell_ID]],Registre_Maintenance_Part[[ID_Antenne]:[Colonne2]],2,FALSE),"")</f>
        <v>Lomami</v>
      </c>
      <c r="H253">
        <f>IFERROR(VLOOKUP(Logs_Reseau_Part5[[#This Row],[Cell_ID]],Registre_Maintenance_Part[[ID_Antenne]:[Colonne2]],3,FALSE),"")</f>
        <v>-11.218453999999999</v>
      </c>
      <c r="I253">
        <f>IFERROR(VLOOKUP(Logs_Reseau_Part5[[#This Row],[Cell_ID]],Registre_Maintenance_Part[[ID_Antenne]:[Colonne2]],4,FALSE),"")</f>
        <v>28.230025000000001</v>
      </c>
      <c r="J253" t="str">
        <f>IFERROR(VLOOKUP(Logs_Reseau_Part5[[#This Row],[Cell_ID]],Registre_Maintenance_Part[[ID_Antenne]:[Colonne2]],5,FALSE),"")</f>
        <v>5G</v>
      </c>
      <c r="K253" t="str">
        <f>IFERROR(VLOOKUP(Logs_Reseau_Part5[[#This Row],[Cell_ID]],Registre_Maintenance_Part[[ID_Antenne]:[Colonne2]],6,FALSE),"")</f>
        <v>ZTE</v>
      </c>
    </row>
    <row r="254" spans="1:11" x14ac:dyDescent="0.3">
      <c r="A254" t="s">
        <v>1116</v>
      </c>
      <c r="B254" s="1">
        <v>45230.228472222218</v>
      </c>
      <c r="C254" s="2">
        <v>45230.228472222218</v>
      </c>
      <c r="D254" t="s">
        <v>862</v>
      </c>
      <c r="E254">
        <v>39</v>
      </c>
      <c r="F254" t="s">
        <v>739</v>
      </c>
      <c r="G254" t="str">
        <f>IFERROR(VLOOKUP(Logs_Reseau_Part5[[#This Row],[Cell_ID]],Registre_Maintenance_Part[[ID_Antenne]:[Colonne2]],2,FALSE),"")</f>
        <v>Lomami</v>
      </c>
      <c r="H254">
        <f>IFERROR(VLOOKUP(Logs_Reseau_Part5[[#This Row],[Cell_ID]],Registre_Maintenance_Part[[ID_Antenne]:[Colonne2]],3,FALSE),"")</f>
        <v>-5.7035130000000001</v>
      </c>
      <c r="I254">
        <f>IFERROR(VLOOKUP(Logs_Reseau_Part5[[#This Row],[Cell_ID]],Registre_Maintenance_Part[[ID_Antenne]:[Colonne2]],4,FALSE),"")</f>
        <v>14.331479</v>
      </c>
      <c r="J254" t="str">
        <f>IFERROR(VLOOKUP(Logs_Reseau_Part5[[#This Row],[Cell_ID]],Registre_Maintenance_Part[[ID_Antenne]:[Colonne2]],5,FALSE),"")</f>
        <v>5G</v>
      </c>
      <c r="K254" t="str">
        <f>IFERROR(VLOOKUP(Logs_Reseau_Part5[[#This Row],[Cell_ID]],Registre_Maintenance_Part[[ID_Antenne]:[Colonne2]],6,FALSE),"")</f>
        <v>Nokia</v>
      </c>
    </row>
    <row r="255" spans="1:11" x14ac:dyDescent="0.3">
      <c r="A255" t="s">
        <v>1167</v>
      </c>
      <c r="B255" s="1">
        <v>45204.26458333333</v>
      </c>
      <c r="C255" s="2">
        <v>45204.26458333333</v>
      </c>
      <c r="D255" t="s">
        <v>1119</v>
      </c>
      <c r="E255">
        <v>90</v>
      </c>
      <c r="F255" t="s">
        <v>739</v>
      </c>
      <c r="G255" t="str">
        <f>IFERROR(VLOOKUP(Logs_Reseau_Part5[[#This Row],[Cell_ID]],Registre_Maintenance_Part[[ID_Antenne]:[Colonne2]],2,FALSE),"")</f>
        <v>Lualaba</v>
      </c>
      <c r="H255">
        <f>IFERROR(VLOOKUP(Logs_Reseau_Part5[[#This Row],[Cell_ID]],Registre_Maintenance_Part[[ID_Antenne]:[Colonne2]],3,FALSE),"")</f>
        <v>2.0392079999999999</v>
      </c>
      <c r="I255">
        <f>IFERROR(VLOOKUP(Logs_Reseau_Part5[[#This Row],[Cell_ID]],Registre_Maintenance_Part[[ID_Antenne]:[Colonne2]],4,FALSE),"")</f>
        <v>19.090841999999999</v>
      </c>
      <c r="J255" t="str">
        <f>IFERROR(VLOOKUP(Logs_Reseau_Part5[[#This Row],[Cell_ID]],Registre_Maintenance_Part[[ID_Antenne]:[Colonne2]],5,FALSE),"")</f>
        <v>4G</v>
      </c>
      <c r="K255" t="str">
        <f>IFERROR(VLOOKUP(Logs_Reseau_Part5[[#This Row],[Cell_ID]],Registre_Maintenance_Part[[ID_Antenne]:[Colonne2]],6,FALSE),"")</f>
        <v>Nokia</v>
      </c>
    </row>
    <row r="256" spans="1:11" x14ac:dyDescent="0.3">
      <c r="A256" t="s">
        <v>904</v>
      </c>
      <c r="B256" s="1">
        <v>45207.149305555547</v>
      </c>
      <c r="C256" s="2">
        <v>45207.149305555547</v>
      </c>
      <c r="D256" t="s">
        <v>912</v>
      </c>
      <c r="E256">
        <v>101</v>
      </c>
      <c r="F256" t="s">
        <v>739</v>
      </c>
      <c r="G256" t="str">
        <f>IFERROR(VLOOKUP(Logs_Reseau_Part5[[#This Row],[Cell_ID]],Registre_Maintenance_Part[[ID_Antenne]:[Colonne2]],2,FALSE),"")</f>
        <v>Lualaba</v>
      </c>
      <c r="H256">
        <f>IFERROR(VLOOKUP(Logs_Reseau_Part5[[#This Row],[Cell_ID]],Registre_Maintenance_Part[[ID_Antenne]:[Colonne2]],3,FALSE),"")</f>
        <v>-10.872631999999999</v>
      </c>
      <c r="I256">
        <f>IFERROR(VLOOKUP(Logs_Reseau_Part5[[#This Row],[Cell_ID]],Registre_Maintenance_Part[[ID_Antenne]:[Colonne2]],4,FALSE),"")</f>
        <v>12.773279</v>
      </c>
      <c r="J256" t="str">
        <f>IFERROR(VLOOKUP(Logs_Reseau_Part5[[#This Row],[Cell_ID]],Registre_Maintenance_Part[[ID_Antenne]:[Colonne2]],5,FALSE),"")</f>
        <v>3G</v>
      </c>
      <c r="K256" t="str">
        <f>IFERROR(VLOOKUP(Logs_Reseau_Part5[[#This Row],[Cell_ID]],Registre_Maintenance_Part[[ID_Antenne]:[Colonne2]],6,FALSE),"")</f>
        <v>ZTE</v>
      </c>
    </row>
    <row r="257" spans="1:11" x14ac:dyDescent="0.3">
      <c r="A257" t="s">
        <v>1332</v>
      </c>
      <c r="B257" s="1">
        <v>45208.52847222222</v>
      </c>
      <c r="C257" s="2">
        <v>45208.52847222222</v>
      </c>
      <c r="D257" t="s">
        <v>912</v>
      </c>
      <c r="E257">
        <v>33</v>
      </c>
      <c r="F257" t="s">
        <v>737</v>
      </c>
      <c r="G257" t="str">
        <f>IFERROR(VLOOKUP(Logs_Reseau_Part5[[#This Row],[Cell_ID]],Registre_Maintenance_Part[[ID_Antenne]:[Colonne2]],2,FALSE),"")</f>
        <v>Lualaba</v>
      </c>
      <c r="H257">
        <f>IFERROR(VLOOKUP(Logs_Reseau_Part5[[#This Row],[Cell_ID]],Registre_Maintenance_Part[[ID_Antenne]:[Colonne2]],3,FALSE),"")</f>
        <v>-10.872631999999999</v>
      </c>
      <c r="I257">
        <f>IFERROR(VLOOKUP(Logs_Reseau_Part5[[#This Row],[Cell_ID]],Registre_Maintenance_Part[[ID_Antenne]:[Colonne2]],4,FALSE),"")</f>
        <v>12.773279</v>
      </c>
      <c r="J257" t="str">
        <f>IFERROR(VLOOKUP(Logs_Reseau_Part5[[#This Row],[Cell_ID]],Registre_Maintenance_Part[[ID_Antenne]:[Colonne2]],5,FALSE),"")</f>
        <v>3G</v>
      </c>
      <c r="K257" t="str">
        <f>IFERROR(VLOOKUP(Logs_Reseau_Part5[[#This Row],[Cell_ID]],Registre_Maintenance_Part[[ID_Antenne]:[Colonne2]],6,FALSE),"")</f>
        <v>ZTE</v>
      </c>
    </row>
    <row r="258" spans="1:11" x14ac:dyDescent="0.3">
      <c r="A258" t="s">
        <v>904</v>
      </c>
      <c r="B258" s="1">
        <v>45209.777083333327</v>
      </c>
      <c r="C258" s="2">
        <v>45209.777083333327</v>
      </c>
      <c r="D258" t="s">
        <v>918</v>
      </c>
      <c r="E258">
        <v>40</v>
      </c>
      <c r="F258" t="s">
        <v>739</v>
      </c>
      <c r="G258" t="str">
        <f>IFERROR(VLOOKUP(Logs_Reseau_Part5[[#This Row],[Cell_ID]],Registre_Maintenance_Part[[ID_Antenne]:[Colonne2]],2,FALSE),"")</f>
        <v>Lualaba</v>
      </c>
      <c r="H258">
        <f>IFERROR(VLOOKUP(Logs_Reseau_Part5[[#This Row],[Cell_ID]],Registre_Maintenance_Part[[ID_Antenne]:[Colonne2]],3,FALSE),"")</f>
        <v>-9.5243310000000001</v>
      </c>
      <c r="I258">
        <f>IFERROR(VLOOKUP(Logs_Reseau_Part5[[#This Row],[Cell_ID]],Registre_Maintenance_Part[[ID_Antenne]:[Colonne2]],4,FALSE),"")</f>
        <v>30.541212000000002</v>
      </c>
      <c r="J258" t="str">
        <f>IFERROR(VLOOKUP(Logs_Reseau_Part5[[#This Row],[Cell_ID]],Registre_Maintenance_Part[[ID_Antenne]:[Colonne2]],5,FALSE),"")</f>
        <v>3G</v>
      </c>
      <c r="K258" t="str">
        <f>IFERROR(VLOOKUP(Logs_Reseau_Part5[[#This Row],[Cell_ID]],Registre_Maintenance_Part[[ID_Antenne]:[Colonne2]],6,FALSE),"")</f>
        <v>Ericsson</v>
      </c>
    </row>
    <row r="259" spans="1:11" x14ac:dyDescent="0.3">
      <c r="A259" t="s">
        <v>941</v>
      </c>
      <c r="B259" s="1">
        <v>45209.898611111108</v>
      </c>
      <c r="C259" s="2">
        <v>45209.898611111108</v>
      </c>
      <c r="D259" t="s">
        <v>912</v>
      </c>
      <c r="E259">
        <v>29</v>
      </c>
      <c r="F259" t="s">
        <v>737</v>
      </c>
      <c r="G259" t="str">
        <f>IFERROR(VLOOKUP(Logs_Reseau_Part5[[#This Row],[Cell_ID]],Registre_Maintenance_Part[[ID_Antenne]:[Colonne2]],2,FALSE),"")</f>
        <v>Lualaba</v>
      </c>
      <c r="H259">
        <f>IFERROR(VLOOKUP(Logs_Reseau_Part5[[#This Row],[Cell_ID]],Registre_Maintenance_Part[[ID_Antenne]:[Colonne2]],3,FALSE),"")</f>
        <v>-10.872631999999999</v>
      </c>
      <c r="I259">
        <f>IFERROR(VLOOKUP(Logs_Reseau_Part5[[#This Row],[Cell_ID]],Registre_Maintenance_Part[[ID_Antenne]:[Colonne2]],4,FALSE),"")</f>
        <v>12.773279</v>
      </c>
      <c r="J259" t="str">
        <f>IFERROR(VLOOKUP(Logs_Reseau_Part5[[#This Row],[Cell_ID]],Registre_Maintenance_Part[[ID_Antenne]:[Colonne2]],5,FALSE),"")</f>
        <v>3G</v>
      </c>
      <c r="K259" t="str">
        <f>IFERROR(VLOOKUP(Logs_Reseau_Part5[[#This Row],[Cell_ID]],Registre_Maintenance_Part[[ID_Antenne]:[Colonne2]],6,FALSE),"")</f>
        <v>ZTE</v>
      </c>
    </row>
    <row r="260" spans="1:11" x14ac:dyDescent="0.3">
      <c r="A260" t="s">
        <v>1167</v>
      </c>
      <c r="B260" s="1">
        <v>45210.366666666669</v>
      </c>
      <c r="C260" s="2">
        <v>45210.366666666669</v>
      </c>
      <c r="D260" t="s">
        <v>1194</v>
      </c>
      <c r="E260">
        <v>67</v>
      </c>
      <c r="F260" t="s">
        <v>737</v>
      </c>
      <c r="G260" t="str">
        <f>IFERROR(VLOOKUP(Logs_Reseau_Part5[[#This Row],[Cell_ID]],Registre_Maintenance_Part[[ID_Antenne]:[Colonne2]],2,FALSE),"")</f>
        <v>Lualaba</v>
      </c>
      <c r="H260">
        <f>IFERROR(VLOOKUP(Logs_Reseau_Part5[[#This Row],[Cell_ID]],Registre_Maintenance_Part[[ID_Antenne]:[Colonne2]],3,FALSE),"")</f>
        <v>-8.0301989999999996</v>
      </c>
      <c r="I260">
        <f>IFERROR(VLOOKUP(Logs_Reseau_Part5[[#This Row],[Cell_ID]],Registre_Maintenance_Part[[ID_Antenne]:[Colonne2]],4,FALSE),"")</f>
        <v>24.122495000000001</v>
      </c>
      <c r="J260" t="str">
        <f>IFERROR(VLOOKUP(Logs_Reseau_Part5[[#This Row],[Cell_ID]],Registre_Maintenance_Part[[ID_Antenne]:[Colonne2]],5,FALSE),"")</f>
        <v>5G</v>
      </c>
      <c r="K260" t="str">
        <f>IFERROR(VLOOKUP(Logs_Reseau_Part5[[#This Row],[Cell_ID]],Registre_Maintenance_Part[[ID_Antenne]:[Colonne2]],6,FALSE),"")</f>
        <v>ZTE</v>
      </c>
    </row>
    <row r="261" spans="1:11" x14ac:dyDescent="0.3">
      <c r="A261" t="s">
        <v>863</v>
      </c>
      <c r="B261" s="1">
        <v>45210.45</v>
      </c>
      <c r="C261" s="2">
        <v>45210.45</v>
      </c>
      <c r="D261" t="s">
        <v>874</v>
      </c>
      <c r="E261">
        <v>66</v>
      </c>
      <c r="F261" t="s">
        <v>734</v>
      </c>
      <c r="G261" t="str">
        <f>IFERROR(VLOOKUP(Logs_Reseau_Part5[[#This Row],[Cell_ID]],Registre_Maintenance_Part[[ID_Antenne]:[Colonne2]],2,FALSE),"")</f>
        <v>Lualaba</v>
      </c>
      <c r="H261">
        <f>IFERROR(VLOOKUP(Logs_Reseau_Part5[[#This Row],[Cell_ID]],Registre_Maintenance_Part[[ID_Antenne]:[Colonne2]],3,FALSE),"")</f>
        <v>-9.7803979999999999</v>
      </c>
      <c r="I261">
        <f>IFERROR(VLOOKUP(Logs_Reseau_Part5[[#This Row],[Cell_ID]],Registre_Maintenance_Part[[ID_Antenne]:[Colonne2]],4,FALSE),"")</f>
        <v>17.686595000000001</v>
      </c>
      <c r="J261" t="str">
        <f>IFERROR(VLOOKUP(Logs_Reseau_Part5[[#This Row],[Cell_ID]],Registre_Maintenance_Part[[ID_Antenne]:[Colonne2]],5,FALSE),"")</f>
        <v>4G</v>
      </c>
      <c r="K261" t="str">
        <f>IFERROR(VLOOKUP(Logs_Reseau_Part5[[#This Row],[Cell_ID]],Registre_Maintenance_Part[[ID_Antenne]:[Colonne2]],6,FALSE),"")</f>
        <v>Ericsson</v>
      </c>
    </row>
    <row r="262" spans="1:11" x14ac:dyDescent="0.3">
      <c r="A262" t="s">
        <v>1061</v>
      </c>
      <c r="B262" s="1">
        <v>45211.316666666673</v>
      </c>
      <c r="C262" s="2">
        <v>45211.316666666673</v>
      </c>
      <c r="D262" t="s">
        <v>1068</v>
      </c>
      <c r="E262">
        <v>93</v>
      </c>
      <c r="F262" t="s">
        <v>739</v>
      </c>
      <c r="G262" t="str">
        <f>IFERROR(VLOOKUP(Logs_Reseau_Part5[[#This Row],[Cell_ID]],Registre_Maintenance_Part[[ID_Antenne]:[Colonne2]],2,FALSE),"")</f>
        <v>Lualaba</v>
      </c>
      <c r="H262">
        <f>IFERROR(VLOOKUP(Logs_Reseau_Part5[[#This Row],[Cell_ID]],Registre_Maintenance_Part[[ID_Antenne]:[Colonne2]],3,FALSE),"")</f>
        <v>1.286548</v>
      </c>
      <c r="I262">
        <f>IFERROR(VLOOKUP(Logs_Reseau_Part5[[#This Row],[Cell_ID]],Registre_Maintenance_Part[[ID_Antenne]:[Colonne2]],4,FALSE),"")</f>
        <v>29.823702999999998</v>
      </c>
      <c r="J262" t="str">
        <f>IFERROR(VLOOKUP(Logs_Reseau_Part5[[#This Row],[Cell_ID]],Registre_Maintenance_Part[[ID_Antenne]:[Colonne2]],5,FALSE),"")</f>
        <v>4G</v>
      </c>
      <c r="K262" t="str">
        <f>IFERROR(VLOOKUP(Logs_Reseau_Part5[[#This Row],[Cell_ID]],Registre_Maintenance_Part[[ID_Antenne]:[Colonne2]],6,FALSE),"")</f>
        <v>ZTE</v>
      </c>
    </row>
    <row r="263" spans="1:11" x14ac:dyDescent="0.3">
      <c r="A263" t="s">
        <v>781</v>
      </c>
      <c r="B263" s="1">
        <v>45214.960416666669</v>
      </c>
      <c r="C263" s="2">
        <v>45214.960416666669</v>
      </c>
      <c r="D263" t="s">
        <v>786</v>
      </c>
      <c r="E263">
        <v>38</v>
      </c>
      <c r="F263" t="s">
        <v>734</v>
      </c>
      <c r="G263" t="str">
        <f>IFERROR(VLOOKUP(Logs_Reseau_Part5[[#This Row],[Cell_ID]],Registre_Maintenance_Part[[ID_Antenne]:[Colonne2]],2,FALSE),"")</f>
        <v>Lualaba</v>
      </c>
      <c r="H263">
        <f>IFERROR(VLOOKUP(Logs_Reseau_Part5[[#This Row],[Cell_ID]],Registre_Maintenance_Part[[ID_Antenne]:[Colonne2]],3,FALSE),"")</f>
        <v>-11.710407999999999</v>
      </c>
      <c r="I263">
        <f>IFERROR(VLOOKUP(Logs_Reseau_Part5[[#This Row],[Cell_ID]],Registre_Maintenance_Part[[ID_Antenne]:[Colonne2]],4,FALSE),"")</f>
        <v>23.741330999999999</v>
      </c>
      <c r="J263" t="str">
        <f>IFERROR(VLOOKUP(Logs_Reseau_Part5[[#This Row],[Cell_ID]],Registre_Maintenance_Part[[ID_Antenne]:[Colonne2]],5,FALSE),"")</f>
        <v>3G</v>
      </c>
      <c r="K263" t="str">
        <f>IFERROR(VLOOKUP(Logs_Reseau_Part5[[#This Row],[Cell_ID]],Registre_Maintenance_Part[[ID_Antenne]:[Colonne2]],6,FALSE),"")</f>
        <v>Huawei</v>
      </c>
    </row>
    <row r="264" spans="1:11" x14ac:dyDescent="0.3">
      <c r="A264" t="s">
        <v>1167</v>
      </c>
      <c r="B264" s="1">
        <v>45216.183333333327</v>
      </c>
      <c r="C264" s="2">
        <v>45216.183333333327</v>
      </c>
      <c r="D264" t="s">
        <v>1040</v>
      </c>
      <c r="E264">
        <v>67</v>
      </c>
      <c r="F264" t="s">
        <v>737</v>
      </c>
      <c r="G264" t="str">
        <f>IFERROR(VLOOKUP(Logs_Reseau_Part5[[#This Row],[Cell_ID]],Registre_Maintenance_Part[[ID_Antenne]:[Colonne2]],2,FALSE),"")</f>
        <v>Lualaba</v>
      </c>
      <c r="H264">
        <f>IFERROR(VLOOKUP(Logs_Reseau_Part5[[#This Row],[Cell_ID]],Registre_Maintenance_Part[[ID_Antenne]:[Colonne2]],3,FALSE),"")</f>
        <v>-10.967288</v>
      </c>
      <c r="I264">
        <f>IFERROR(VLOOKUP(Logs_Reseau_Part5[[#This Row],[Cell_ID]],Registre_Maintenance_Part[[ID_Antenne]:[Colonne2]],4,FALSE),"")</f>
        <v>17.617781000000001</v>
      </c>
      <c r="J264" t="str">
        <f>IFERROR(VLOOKUP(Logs_Reseau_Part5[[#This Row],[Cell_ID]],Registre_Maintenance_Part[[ID_Antenne]:[Colonne2]],5,FALSE),"")</f>
        <v>4G</v>
      </c>
      <c r="K264" t="str">
        <f>IFERROR(VLOOKUP(Logs_Reseau_Part5[[#This Row],[Cell_ID]],Registre_Maintenance_Part[[ID_Antenne]:[Colonne2]],6,FALSE),"")</f>
        <v>Ericsson</v>
      </c>
    </row>
    <row r="265" spans="1:11" x14ac:dyDescent="0.3">
      <c r="A265" t="s">
        <v>1116</v>
      </c>
      <c r="B265" s="1">
        <v>45216.729861111111</v>
      </c>
      <c r="C265" s="2">
        <v>45216.729861111111</v>
      </c>
      <c r="D265" t="s">
        <v>918</v>
      </c>
      <c r="E265">
        <v>78</v>
      </c>
      <c r="F265" t="s">
        <v>737</v>
      </c>
      <c r="G265" t="str">
        <f>IFERROR(VLOOKUP(Logs_Reseau_Part5[[#This Row],[Cell_ID]],Registre_Maintenance_Part[[ID_Antenne]:[Colonne2]],2,FALSE),"")</f>
        <v>Lualaba</v>
      </c>
      <c r="H265">
        <f>IFERROR(VLOOKUP(Logs_Reseau_Part5[[#This Row],[Cell_ID]],Registre_Maintenance_Part[[ID_Antenne]:[Colonne2]],3,FALSE),"")</f>
        <v>-9.5243310000000001</v>
      </c>
      <c r="I265">
        <f>IFERROR(VLOOKUP(Logs_Reseau_Part5[[#This Row],[Cell_ID]],Registre_Maintenance_Part[[ID_Antenne]:[Colonne2]],4,FALSE),"")</f>
        <v>30.541212000000002</v>
      </c>
      <c r="J265" t="str">
        <f>IFERROR(VLOOKUP(Logs_Reseau_Part5[[#This Row],[Cell_ID]],Registre_Maintenance_Part[[ID_Antenne]:[Colonne2]],5,FALSE),"")</f>
        <v>3G</v>
      </c>
      <c r="K265" t="str">
        <f>IFERROR(VLOOKUP(Logs_Reseau_Part5[[#This Row],[Cell_ID]],Registre_Maintenance_Part[[ID_Antenne]:[Colonne2]],6,FALSE),"")</f>
        <v>Ericsson</v>
      </c>
    </row>
    <row r="266" spans="1:11" x14ac:dyDescent="0.3">
      <c r="A266" t="s">
        <v>1310</v>
      </c>
      <c r="B266" s="1">
        <v>45217.999305555553</v>
      </c>
      <c r="C266" s="2">
        <v>45217.999305555553</v>
      </c>
      <c r="D266" t="s">
        <v>1040</v>
      </c>
      <c r="E266">
        <v>38</v>
      </c>
      <c r="F266" t="s">
        <v>737</v>
      </c>
      <c r="G266" t="str">
        <f>IFERROR(VLOOKUP(Logs_Reseau_Part5[[#This Row],[Cell_ID]],Registre_Maintenance_Part[[ID_Antenne]:[Colonne2]],2,FALSE),"")</f>
        <v>Lualaba</v>
      </c>
      <c r="H266">
        <f>IFERROR(VLOOKUP(Logs_Reseau_Part5[[#This Row],[Cell_ID]],Registre_Maintenance_Part[[ID_Antenne]:[Colonne2]],3,FALSE),"")</f>
        <v>-10.967288</v>
      </c>
      <c r="I266">
        <f>IFERROR(VLOOKUP(Logs_Reseau_Part5[[#This Row],[Cell_ID]],Registre_Maintenance_Part[[ID_Antenne]:[Colonne2]],4,FALSE),"")</f>
        <v>17.617781000000001</v>
      </c>
      <c r="J266" t="str">
        <f>IFERROR(VLOOKUP(Logs_Reseau_Part5[[#This Row],[Cell_ID]],Registre_Maintenance_Part[[ID_Antenne]:[Colonne2]],5,FALSE),"")</f>
        <v>4G</v>
      </c>
      <c r="K266" t="str">
        <f>IFERROR(VLOOKUP(Logs_Reseau_Part5[[#This Row],[Cell_ID]],Registre_Maintenance_Part[[ID_Antenne]:[Colonne2]],6,FALSE),"")</f>
        <v>Ericsson</v>
      </c>
    </row>
    <row r="267" spans="1:11" x14ac:dyDescent="0.3">
      <c r="A267" t="s">
        <v>1310</v>
      </c>
      <c r="B267" s="1">
        <v>45220.754166666673</v>
      </c>
      <c r="C267" s="2">
        <v>45220.754166666673</v>
      </c>
      <c r="D267" t="s">
        <v>874</v>
      </c>
      <c r="E267">
        <v>85</v>
      </c>
      <c r="F267" t="s">
        <v>734</v>
      </c>
      <c r="G267" t="str">
        <f>IFERROR(VLOOKUP(Logs_Reseau_Part5[[#This Row],[Cell_ID]],Registre_Maintenance_Part[[ID_Antenne]:[Colonne2]],2,FALSE),"")</f>
        <v>Lualaba</v>
      </c>
      <c r="H267">
        <f>IFERROR(VLOOKUP(Logs_Reseau_Part5[[#This Row],[Cell_ID]],Registre_Maintenance_Part[[ID_Antenne]:[Colonne2]],3,FALSE),"")</f>
        <v>-9.7803979999999999</v>
      </c>
      <c r="I267">
        <f>IFERROR(VLOOKUP(Logs_Reseau_Part5[[#This Row],[Cell_ID]],Registre_Maintenance_Part[[ID_Antenne]:[Colonne2]],4,FALSE),"")</f>
        <v>17.686595000000001</v>
      </c>
      <c r="J267" t="str">
        <f>IFERROR(VLOOKUP(Logs_Reseau_Part5[[#This Row],[Cell_ID]],Registre_Maintenance_Part[[ID_Antenne]:[Colonne2]],5,FALSE),"")</f>
        <v>4G</v>
      </c>
      <c r="K267" t="str">
        <f>IFERROR(VLOOKUP(Logs_Reseau_Part5[[#This Row],[Cell_ID]],Registre_Maintenance_Part[[ID_Antenne]:[Colonne2]],6,FALSE),"")</f>
        <v>Ericsson</v>
      </c>
    </row>
    <row r="268" spans="1:11" x14ac:dyDescent="0.3">
      <c r="A268" t="s">
        <v>1263</v>
      </c>
      <c r="B268" s="1">
        <v>45221.049305555563</v>
      </c>
      <c r="C268" s="2">
        <v>45221.049305555563</v>
      </c>
      <c r="D268" t="s">
        <v>1068</v>
      </c>
      <c r="E268">
        <v>53</v>
      </c>
      <c r="F268" t="s">
        <v>737</v>
      </c>
      <c r="G268" t="str">
        <f>IFERROR(VLOOKUP(Logs_Reseau_Part5[[#This Row],[Cell_ID]],Registre_Maintenance_Part[[ID_Antenne]:[Colonne2]],2,FALSE),"")</f>
        <v>Lualaba</v>
      </c>
      <c r="H268">
        <f>IFERROR(VLOOKUP(Logs_Reseau_Part5[[#This Row],[Cell_ID]],Registre_Maintenance_Part[[ID_Antenne]:[Colonne2]],3,FALSE),"")</f>
        <v>1.286548</v>
      </c>
      <c r="I268">
        <f>IFERROR(VLOOKUP(Logs_Reseau_Part5[[#This Row],[Cell_ID]],Registre_Maintenance_Part[[ID_Antenne]:[Colonne2]],4,FALSE),"")</f>
        <v>29.823702999999998</v>
      </c>
      <c r="J268" t="str">
        <f>IFERROR(VLOOKUP(Logs_Reseau_Part5[[#This Row],[Cell_ID]],Registre_Maintenance_Part[[ID_Antenne]:[Colonne2]],5,FALSE),"")</f>
        <v>4G</v>
      </c>
      <c r="K268" t="str">
        <f>IFERROR(VLOOKUP(Logs_Reseau_Part5[[#This Row],[Cell_ID]],Registre_Maintenance_Part[[ID_Antenne]:[Colonne2]],6,FALSE),"")</f>
        <v>ZTE</v>
      </c>
    </row>
    <row r="269" spans="1:11" x14ac:dyDescent="0.3">
      <c r="A269" t="s">
        <v>1243</v>
      </c>
      <c r="B269" s="1">
        <v>45223.611111111109</v>
      </c>
      <c r="C269" s="2">
        <v>45223.611111111109</v>
      </c>
      <c r="D269" t="s">
        <v>1194</v>
      </c>
      <c r="E269">
        <v>88</v>
      </c>
      <c r="F269" t="s">
        <v>734</v>
      </c>
      <c r="G269" t="str">
        <f>IFERROR(VLOOKUP(Logs_Reseau_Part5[[#This Row],[Cell_ID]],Registre_Maintenance_Part[[ID_Antenne]:[Colonne2]],2,FALSE),"")</f>
        <v>Lualaba</v>
      </c>
      <c r="H269">
        <f>IFERROR(VLOOKUP(Logs_Reseau_Part5[[#This Row],[Cell_ID]],Registre_Maintenance_Part[[ID_Antenne]:[Colonne2]],3,FALSE),"")</f>
        <v>-8.0301989999999996</v>
      </c>
      <c r="I269">
        <f>IFERROR(VLOOKUP(Logs_Reseau_Part5[[#This Row],[Cell_ID]],Registre_Maintenance_Part[[ID_Antenne]:[Colonne2]],4,FALSE),"")</f>
        <v>24.122495000000001</v>
      </c>
      <c r="J269" t="str">
        <f>IFERROR(VLOOKUP(Logs_Reseau_Part5[[#This Row],[Cell_ID]],Registre_Maintenance_Part[[ID_Antenne]:[Colonne2]],5,FALSE),"")</f>
        <v>5G</v>
      </c>
      <c r="K269" t="str">
        <f>IFERROR(VLOOKUP(Logs_Reseau_Part5[[#This Row],[Cell_ID]],Registre_Maintenance_Part[[ID_Antenne]:[Colonne2]],6,FALSE),"")</f>
        <v>ZTE</v>
      </c>
    </row>
    <row r="270" spans="1:11" x14ac:dyDescent="0.3">
      <c r="A270" t="s">
        <v>1221</v>
      </c>
      <c r="B270" s="1">
        <v>45226.964583333327</v>
      </c>
      <c r="C270" s="2">
        <v>45226.964583333327</v>
      </c>
      <c r="D270" t="s">
        <v>1225</v>
      </c>
      <c r="E270">
        <v>27</v>
      </c>
      <c r="F270" t="s">
        <v>737</v>
      </c>
      <c r="G270" t="str">
        <f>IFERROR(VLOOKUP(Logs_Reseau_Part5[[#This Row],[Cell_ID]],Registre_Maintenance_Part[[ID_Antenne]:[Colonne2]],2,FALSE),"")</f>
        <v>Lualaba</v>
      </c>
      <c r="H270">
        <f>IFERROR(VLOOKUP(Logs_Reseau_Part5[[#This Row],[Cell_ID]],Registre_Maintenance_Part[[ID_Antenne]:[Colonne2]],3,FALSE),"")</f>
        <v>-11.354772000000001</v>
      </c>
      <c r="I270">
        <f>IFERROR(VLOOKUP(Logs_Reseau_Part5[[#This Row],[Cell_ID]],Registre_Maintenance_Part[[ID_Antenne]:[Colonne2]],4,FALSE),"")</f>
        <v>21.957325999999998</v>
      </c>
      <c r="J270" t="str">
        <f>IFERROR(VLOOKUP(Logs_Reseau_Part5[[#This Row],[Cell_ID]],Registre_Maintenance_Part[[ID_Antenne]:[Colonne2]],5,FALSE),"")</f>
        <v>3G</v>
      </c>
      <c r="K270" t="str">
        <f>IFERROR(VLOOKUP(Logs_Reseau_Part5[[#This Row],[Cell_ID]],Registre_Maintenance_Part[[ID_Antenne]:[Colonne2]],6,FALSE),"")</f>
        <v>Nokia</v>
      </c>
    </row>
    <row r="271" spans="1:11" x14ac:dyDescent="0.3">
      <c r="A271" t="s">
        <v>1116</v>
      </c>
      <c r="B271" s="1">
        <v>45228.672222222223</v>
      </c>
      <c r="C271" s="2">
        <v>45228.672222222223</v>
      </c>
      <c r="D271" t="s">
        <v>1119</v>
      </c>
      <c r="E271">
        <v>106</v>
      </c>
      <c r="F271" t="s">
        <v>734</v>
      </c>
      <c r="G271" t="str">
        <f>IFERROR(VLOOKUP(Logs_Reseau_Part5[[#This Row],[Cell_ID]],Registre_Maintenance_Part[[ID_Antenne]:[Colonne2]],2,FALSE),"")</f>
        <v>Lualaba</v>
      </c>
      <c r="H271">
        <f>IFERROR(VLOOKUP(Logs_Reseau_Part5[[#This Row],[Cell_ID]],Registre_Maintenance_Part[[ID_Antenne]:[Colonne2]],3,FALSE),"")</f>
        <v>2.0392079999999999</v>
      </c>
      <c r="I271">
        <f>IFERROR(VLOOKUP(Logs_Reseau_Part5[[#This Row],[Cell_ID]],Registre_Maintenance_Part[[ID_Antenne]:[Colonne2]],4,FALSE),"")</f>
        <v>19.090841999999999</v>
      </c>
      <c r="J271" t="str">
        <f>IFERROR(VLOOKUP(Logs_Reseau_Part5[[#This Row],[Cell_ID]],Registre_Maintenance_Part[[ID_Antenne]:[Colonne2]],5,FALSE),"")</f>
        <v>4G</v>
      </c>
      <c r="K271" t="str">
        <f>IFERROR(VLOOKUP(Logs_Reseau_Part5[[#This Row],[Cell_ID]],Registre_Maintenance_Part[[ID_Antenne]:[Colonne2]],6,FALSE),"")</f>
        <v>Nokia</v>
      </c>
    </row>
    <row r="272" spans="1:11" x14ac:dyDescent="0.3">
      <c r="A272" t="s">
        <v>1195</v>
      </c>
      <c r="B272" s="1">
        <v>45228.747916666667</v>
      </c>
      <c r="C272" s="2">
        <v>45228.747916666667</v>
      </c>
      <c r="D272" t="s">
        <v>1194</v>
      </c>
      <c r="E272">
        <v>27</v>
      </c>
      <c r="F272" t="s">
        <v>734</v>
      </c>
      <c r="G272" t="str">
        <f>IFERROR(VLOOKUP(Logs_Reseau_Part5[[#This Row],[Cell_ID]],Registre_Maintenance_Part[[ID_Antenne]:[Colonne2]],2,FALSE),"")</f>
        <v>Lualaba</v>
      </c>
      <c r="H272">
        <f>IFERROR(VLOOKUP(Logs_Reseau_Part5[[#This Row],[Cell_ID]],Registre_Maintenance_Part[[ID_Antenne]:[Colonne2]],3,FALSE),"")</f>
        <v>-8.0301989999999996</v>
      </c>
      <c r="I272">
        <f>IFERROR(VLOOKUP(Logs_Reseau_Part5[[#This Row],[Cell_ID]],Registre_Maintenance_Part[[ID_Antenne]:[Colonne2]],4,FALSE),"")</f>
        <v>24.122495000000001</v>
      </c>
      <c r="J272" t="str">
        <f>IFERROR(VLOOKUP(Logs_Reseau_Part5[[#This Row],[Cell_ID]],Registre_Maintenance_Part[[ID_Antenne]:[Colonne2]],5,FALSE),"")</f>
        <v>5G</v>
      </c>
      <c r="K272" t="str">
        <f>IFERROR(VLOOKUP(Logs_Reseau_Part5[[#This Row],[Cell_ID]],Registre_Maintenance_Part[[ID_Antenne]:[Colonne2]],6,FALSE),"")</f>
        <v>ZTE</v>
      </c>
    </row>
    <row r="273" spans="1:11" x14ac:dyDescent="0.3">
      <c r="A273" t="s">
        <v>1026</v>
      </c>
      <c r="B273" s="1">
        <v>45229.39166666667</v>
      </c>
      <c r="C273" s="2">
        <v>45229.39166666667</v>
      </c>
      <c r="D273" t="s">
        <v>1040</v>
      </c>
      <c r="E273">
        <v>28</v>
      </c>
      <c r="F273" t="s">
        <v>739</v>
      </c>
      <c r="G273" t="str">
        <f>IFERROR(VLOOKUP(Logs_Reseau_Part5[[#This Row],[Cell_ID]],Registre_Maintenance_Part[[ID_Antenne]:[Colonne2]],2,FALSE),"")</f>
        <v>Lualaba</v>
      </c>
      <c r="H273">
        <f>IFERROR(VLOOKUP(Logs_Reseau_Part5[[#This Row],[Cell_ID]],Registre_Maintenance_Part[[ID_Antenne]:[Colonne2]],3,FALSE),"")</f>
        <v>-10.967288</v>
      </c>
      <c r="I273">
        <f>IFERROR(VLOOKUP(Logs_Reseau_Part5[[#This Row],[Cell_ID]],Registre_Maintenance_Part[[ID_Antenne]:[Colonne2]],4,FALSE),"")</f>
        <v>17.617781000000001</v>
      </c>
      <c r="J273" t="str">
        <f>IFERROR(VLOOKUP(Logs_Reseau_Part5[[#This Row],[Cell_ID]],Registre_Maintenance_Part[[ID_Antenne]:[Colonne2]],5,FALSE),"")</f>
        <v>4G</v>
      </c>
      <c r="K273" t="str">
        <f>IFERROR(VLOOKUP(Logs_Reseau_Part5[[#This Row],[Cell_ID]],Registre_Maintenance_Part[[ID_Antenne]:[Colonne2]],6,FALSE),"")</f>
        <v>Ericsson</v>
      </c>
    </row>
    <row r="274" spans="1:11" x14ac:dyDescent="0.3">
      <c r="A274" t="s">
        <v>1310</v>
      </c>
      <c r="B274" s="1">
        <v>45230.119444444441</v>
      </c>
      <c r="C274" s="2">
        <v>45230.119444444441</v>
      </c>
      <c r="D274" t="s">
        <v>918</v>
      </c>
      <c r="E274">
        <v>8</v>
      </c>
      <c r="F274" t="s">
        <v>737</v>
      </c>
      <c r="G274" t="str">
        <f>IFERROR(VLOOKUP(Logs_Reseau_Part5[[#This Row],[Cell_ID]],Registre_Maintenance_Part[[ID_Antenne]:[Colonne2]],2,FALSE),"")</f>
        <v>Lualaba</v>
      </c>
      <c r="H274">
        <f>IFERROR(VLOOKUP(Logs_Reseau_Part5[[#This Row],[Cell_ID]],Registre_Maintenance_Part[[ID_Antenne]:[Colonne2]],3,FALSE),"")</f>
        <v>-9.5243310000000001</v>
      </c>
      <c r="I274">
        <f>IFERROR(VLOOKUP(Logs_Reseau_Part5[[#This Row],[Cell_ID]],Registre_Maintenance_Part[[ID_Antenne]:[Colonne2]],4,FALSE),"")</f>
        <v>30.541212000000002</v>
      </c>
      <c r="J274" t="str">
        <f>IFERROR(VLOOKUP(Logs_Reseau_Part5[[#This Row],[Cell_ID]],Registre_Maintenance_Part[[ID_Antenne]:[Colonne2]],5,FALSE),"")</f>
        <v>3G</v>
      </c>
      <c r="K274" t="str">
        <f>IFERROR(VLOOKUP(Logs_Reseau_Part5[[#This Row],[Cell_ID]],Registre_Maintenance_Part[[ID_Antenne]:[Colonne2]],6,FALSE),"")</f>
        <v>Ericsson</v>
      </c>
    </row>
    <row r="275" spans="1:11" x14ac:dyDescent="0.3">
      <c r="A275" t="s">
        <v>904</v>
      </c>
      <c r="B275" s="1">
        <v>45201.824305555558</v>
      </c>
      <c r="C275" s="2">
        <v>45201.824305555558</v>
      </c>
      <c r="D275" t="s">
        <v>919</v>
      </c>
      <c r="E275">
        <v>28</v>
      </c>
      <c r="F275" t="s">
        <v>737</v>
      </c>
      <c r="G275" t="str">
        <f>IFERROR(VLOOKUP(Logs_Reseau_Part5[[#This Row],[Cell_ID]],Registre_Maintenance_Part[[ID_Antenne]:[Colonne2]],2,FALSE),"")</f>
        <v>Mai-Ndombe</v>
      </c>
      <c r="H275">
        <f>IFERROR(VLOOKUP(Logs_Reseau_Part5[[#This Row],[Cell_ID]],Registre_Maintenance_Part[[ID_Antenne]:[Colonne2]],3,FALSE),"")</f>
        <v>-9.3652280000000001</v>
      </c>
      <c r="I275">
        <f>IFERROR(VLOOKUP(Logs_Reseau_Part5[[#This Row],[Cell_ID]],Registre_Maintenance_Part[[ID_Antenne]:[Colonne2]],4,FALSE),"")</f>
        <v>18.674116000000001</v>
      </c>
      <c r="J275" t="str">
        <f>IFERROR(VLOOKUP(Logs_Reseau_Part5[[#This Row],[Cell_ID]],Registre_Maintenance_Part[[ID_Antenne]:[Colonne2]],5,FALSE),"")</f>
        <v>4G</v>
      </c>
      <c r="K275" t="str">
        <f>IFERROR(VLOOKUP(Logs_Reseau_Part5[[#This Row],[Cell_ID]],Registre_Maintenance_Part[[ID_Antenne]:[Colonne2]],6,FALSE),"")</f>
        <v>Huawei</v>
      </c>
    </row>
    <row r="276" spans="1:11" x14ac:dyDescent="0.3">
      <c r="A276" t="s">
        <v>863</v>
      </c>
      <c r="B276" s="1">
        <v>45202.852083333331</v>
      </c>
      <c r="C276" s="2">
        <v>45202.852083333331</v>
      </c>
      <c r="D276" t="s">
        <v>870</v>
      </c>
      <c r="E276">
        <v>83</v>
      </c>
      <c r="F276" t="s">
        <v>734</v>
      </c>
      <c r="G276" t="str">
        <f>IFERROR(VLOOKUP(Logs_Reseau_Part5[[#This Row],[Cell_ID]],Registre_Maintenance_Part[[ID_Antenne]:[Colonne2]],2,FALSE),"")</f>
        <v>Mai-Ndombe</v>
      </c>
      <c r="H276">
        <f>IFERROR(VLOOKUP(Logs_Reseau_Part5[[#This Row],[Cell_ID]],Registre_Maintenance_Part[[ID_Antenne]:[Colonne2]],3,FALSE),"")</f>
        <v>-1.607639</v>
      </c>
      <c r="I276">
        <f>IFERROR(VLOOKUP(Logs_Reseau_Part5[[#This Row],[Cell_ID]],Registre_Maintenance_Part[[ID_Antenne]:[Colonne2]],4,FALSE),"")</f>
        <v>17.003636</v>
      </c>
      <c r="J276" t="str">
        <f>IFERROR(VLOOKUP(Logs_Reseau_Part5[[#This Row],[Cell_ID]],Registre_Maintenance_Part[[ID_Antenne]:[Colonne2]],5,FALSE),"")</f>
        <v>4G</v>
      </c>
      <c r="K276" t="str">
        <f>IFERROR(VLOOKUP(Logs_Reseau_Part5[[#This Row],[Cell_ID]],Registre_Maintenance_Part[[ID_Antenne]:[Colonne2]],6,FALSE),"")</f>
        <v>Ericsson</v>
      </c>
    </row>
    <row r="277" spans="1:11" x14ac:dyDescent="0.3">
      <c r="A277" t="s">
        <v>1347</v>
      </c>
      <c r="B277" s="1">
        <v>45206.23333333333</v>
      </c>
      <c r="C277" s="2">
        <v>45206.23333333333</v>
      </c>
      <c r="D277" t="s">
        <v>1356</v>
      </c>
      <c r="E277">
        <v>26</v>
      </c>
      <c r="F277" t="s">
        <v>739</v>
      </c>
      <c r="G277" t="str">
        <f>IFERROR(VLOOKUP(Logs_Reseau_Part5[[#This Row],[Cell_ID]],Registre_Maintenance_Part[[ID_Antenne]:[Colonne2]],2,FALSE),"")</f>
        <v>Mai-Ndombe</v>
      </c>
      <c r="H277">
        <f>IFERROR(VLOOKUP(Logs_Reseau_Part5[[#This Row],[Cell_ID]],Registre_Maintenance_Part[[ID_Antenne]:[Colonne2]],3,FALSE),"")</f>
        <v>-4.6311460000000002</v>
      </c>
      <c r="I277">
        <f>IFERROR(VLOOKUP(Logs_Reseau_Part5[[#This Row],[Cell_ID]],Registre_Maintenance_Part[[ID_Antenne]:[Colonne2]],4,FALSE),"")</f>
        <v>25.314723000000001</v>
      </c>
      <c r="J277" t="str">
        <f>IFERROR(VLOOKUP(Logs_Reseau_Part5[[#This Row],[Cell_ID]],Registre_Maintenance_Part[[ID_Antenne]:[Colonne2]],5,FALSE),"")</f>
        <v>4G</v>
      </c>
      <c r="K277" t="str">
        <f>IFERROR(VLOOKUP(Logs_Reseau_Part5[[#This Row],[Cell_ID]],Registre_Maintenance_Part[[ID_Antenne]:[Colonne2]],6,FALSE),"")</f>
        <v>Huawei</v>
      </c>
    </row>
    <row r="278" spans="1:11" x14ac:dyDescent="0.3">
      <c r="A278" t="s">
        <v>1243</v>
      </c>
      <c r="B278" s="1">
        <v>45206.956944444442</v>
      </c>
      <c r="C278" s="2">
        <v>45206.956944444442</v>
      </c>
      <c r="D278" t="s">
        <v>919</v>
      </c>
      <c r="E278">
        <v>32</v>
      </c>
      <c r="F278" t="s">
        <v>737</v>
      </c>
      <c r="G278" t="str">
        <f>IFERROR(VLOOKUP(Logs_Reseau_Part5[[#This Row],[Cell_ID]],Registre_Maintenance_Part[[ID_Antenne]:[Colonne2]],2,FALSE),"")</f>
        <v>Mai-Ndombe</v>
      </c>
      <c r="H278">
        <f>IFERROR(VLOOKUP(Logs_Reseau_Part5[[#This Row],[Cell_ID]],Registre_Maintenance_Part[[ID_Antenne]:[Colonne2]],3,FALSE),"")</f>
        <v>-9.3652280000000001</v>
      </c>
      <c r="I278">
        <f>IFERROR(VLOOKUP(Logs_Reseau_Part5[[#This Row],[Cell_ID]],Registre_Maintenance_Part[[ID_Antenne]:[Colonne2]],4,FALSE),"")</f>
        <v>18.674116000000001</v>
      </c>
      <c r="J278" t="str">
        <f>IFERROR(VLOOKUP(Logs_Reseau_Part5[[#This Row],[Cell_ID]],Registre_Maintenance_Part[[ID_Antenne]:[Colonne2]],5,FALSE),"")</f>
        <v>4G</v>
      </c>
      <c r="K278" t="str">
        <f>IFERROR(VLOOKUP(Logs_Reseau_Part5[[#This Row],[Cell_ID]],Registre_Maintenance_Part[[ID_Antenne]:[Colonne2]],6,FALSE),"")</f>
        <v>Huawei</v>
      </c>
    </row>
    <row r="279" spans="1:11" x14ac:dyDescent="0.3">
      <c r="A279" t="s">
        <v>1140</v>
      </c>
      <c r="B279" s="1">
        <v>45214.697916666657</v>
      </c>
      <c r="C279" s="2">
        <v>45214.697916666657</v>
      </c>
      <c r="D279" t="s">
        <v>1156</v>
      </c>
      <c r="E279">
        <v>98</v>
      </c>
      <c r="F279" t="s">
        <v>739</v>
      </c>
      <c r="G279" t="str">
        <f>IFERROR(VLOOKUP(Logs_Reseau_Part5[[#This Row],[Cell_ID]],Registre_Maintenance_Part[[ID_Antenne]:[Colonne2]],2,FALSE),"")</f>
        <v>Mai-Ndombe</v>
      </c>
      <c r="H279">
        <f>IFERROR(VLOOKUP(Logs_Reseau_Part5[[#This Row],[Cell_ID]],Registre_Maintenance_Part[[ID_Antenne]:[Colonne2]],3,FALSE),"")</f>
        <v>-12.192204</v>
      </c>
      <c r="I279">
        <f>IFERROR(VLOOKUP(Logs_Reseau_Part5[[#This Row],[Cell_ID]],Registre_Maintenance_Part[[ID_Antenne]:[Colonne2]],4,FALSE),"")</f>
        <v>28.468682000000001</v>
      </c>
      <c r="J279" t="str">
        <f>IFERROR(VLOOKUP(Logs_Reseau_Part5[[#This Row],[Cell_ID]],Registre_Maintenance_Part[[ID_Antenne]:[Colonne2]],5,FALSE),"")</f>
        <v>3G</v>
      </c>
      <c r="K279" t="str">
        <f>IFERROR(VLOOKUP(Logs_Reseau_Part5[[#This Row],[Cell_ID]],Registre_Maintenance_Part[[ID_Antenne]:[Colonne2]],6,FALSE),"")</f>
        <v>ZTE</v>
      </c>
    </row>
    <row r="280" spans="1:11" x14ac:dyDescent="0.3">
      <c r="A280" t="s">
        <v>1406</v>
      </c>
      <c r="B280" s="1">
        <v>45223.570138888892</v>
      </c>
      <c r="C280" s="2">
        <v>45223.570138888892</v>
      </c>
      <c r="D280" t="s">
        <v>919</v>
      </c>
      <c r="E280">
        <v>10</v>
      </c>
      <c r="F280" t="s">
        <v>737</v>
      </c>
      <c r="G280" t="str">
        <f>IFERROR(VLOOKUP(Logs_Reseau_Part5[[#This Row],[Cell_ID]],Registre_Maintenance_Part[[ID_Antenne]:[Colonne2]],2,FALSE),"")</f>
        <v>Mai-Ndombe</v>
      </c>
      <c r="H280">
        <f>IFERROR(VLOOKUP(Logs_Reseau_Part5[[#This Row],[Cell_ID]],Registre_Maintenance_Part[[ID_Antenne]:[Colonne2]],3,FALSE),"")</f>
        <v>-9.3652280000000001</v>
      </c>
      <c r="I280">
        <f>IFERROR(VLOOKUP(Logs_Reseau_Part5[[#This Row],[Cell_ID]],Registre_Maintenance_Part[[ID_Antenne]:[Colonne2]],4,FALSE),"")</f>
        <v>18.674116000000001</v>
      </c>
      <c r="J280" t="str">
        <f>IFERROR(VLOOKUP(Logs_Reseau_Part5[[#This Row],[Cell_ID]],Registre_Maintenance_Part[[ID_Antenne]:[Colonne2]],5,FALSE),"")</f>
        <v>4G</v>
      </c>
      <c r="K280" t="str">
        <f>IFERROR(VLOOKUP(Logs_Reseau_Part5[[#This Row],[Cell_ID]],Registre_Maintenance_Part[[ID_Antenne]:[Colonne2]],6,FALSE),"")</f>
        <v>Huawei</v>
      </c>
    </row>
    <row r="281" spans="1:11" x14ac:dyDescent="0.3">
      <c r="A281" t="s">
        <v>904</v>
      </c>
      <c r="B281" s="1">
        <v>45224.568055555559</v>
      </c>
      <c r="C281" s="2">
        <v>45224.568055555559</v>
      </c>
      <c r="D281" t="s">
        <v>913</v>
      </c>
      <c r="E281">
        <v>27</v>
      </c>
      <c r="F281" t="s">
        <v>734</v>
      </c>
      <c r="G281" t="str">
        <f>IFERROR(VLOOKUP(Logs_Reseau_Part5[[#This Row],[Cell_ID]],Registre_Maintenance_Part[[ID_Antenne]:[Colonne2]],2,FALSE),"")</f>
        <v>Mai-Ndombe</v>
      </c>
      <c r="H281">
        <f>IFERROR(VLOOKUP(Logs_Reseau_Part5[[#This Row],[Cell_ID]],Registre_Maintenance_Part[[ID_Antenne]:[Colonne2]],3,FALSE),"")</f>
        <v>-10.442425</v>
      </c>
      <c r="I281">
        <f>IFERROR(VLOOKUP(Logs_Reseau_Part5[[#This Row],[Cell_ID]],Registre_Maintenance_Part[[ID_Antenne]:[Colonne2]],4,FALSE),"")</f>
        <v>23.243632000000002</v>
      </c>
      <c r="J281" t="str">
        <f>IFERROR(VLOOKUP(Logs_Reseau_Part5[[#This Row],[Cell_ID]],Registre_Maintenance_Part[[ID_Antenne]:[Colonne2]],5,FALSE),"")</f>
        <v>4G</v>
      </c>
      <c r="K281" t="str">
        <f>IFERROR(VLOOKUP(Logs_Reseau_Part5[[#This Row],[Cell_ID]],Registre_Maintenance_Part[[ID_Antenne]:[Colonne2]],6,FALSE),"")</f>
        <v>Nokia</v>
      </c>
    </row>
    <row r="282" spans="1:11" x14ac:dyDescent="0.3">
      <c r="A282" t="s">
        <v>1363</v>
      </c>
      <c r="B282" s="1">
        <v>45224.98333333333</v>
      </c>
      <c r="C282" s="2">
        <v>45224.98333333333</v>
      </c>
      <c r="D282" t="s">
        <v>919</v>
      </c>
      <c r="E282">
        <v>107</v>
      </c>
      <c r="F282" t="s">
        <v>739</v>
      </c>
      <c r="G282" t="str">
        <f>IFERROR(VLOOKUP(Logs_Reseau_Part5[[#This Row],[Cell_ID]],Registre_Maintenance_Part[[ID_Antenne]:[Colonne2]],2,FALSE),"")</f>
        <v>Mai-Ndombe</v>
      </c>
      <c r="H282">
        <f>IFERROR(VLOOKUP(Logs_Reseau_Part5[[#This Row],[Cell_ID]],Registre_Maintenance_Part[[ID_Antenne]:[Colonne2]],3,FALSE),"")</f>
        <v>-9.3652280000000001</v>
      </c>
      <c r="I282">
        <f>IFERROR(VLOOKUP(Logs_Reseau_Part5[[#This Row],[Cell_ID]],Registre_Maintenance_Part[[ID_Antenne]:[Colonne2]],4,FALSE),"")</f>
        <v>18.674116000000001</v>
      </c>
      <c r="J282" t="str">
        <f>IFERROR(VLOOKUP(Logs_Reseau_Part5[[#This Row],[Cell_ID]],Registre_Maintenance_Part[[ID_Antenne]:[Colonne2]],5,FALSE),"")</f>
        <v>4G</v>
      </c>
      <c r="K282" t="str">
        <f>IFERROR(VLOOKUP(Logs_Reseau_Part5[[#This Row],[Cell_ID]],Registre_Maintenance_Part[[ID_Antenne]:[Colonne2]],6,FALSE),"")</f>
        <v>Huawei</v>
      </c>
    </row>
    <row r="283" spans="1:11" x14ac:dyDescent="0.3">
      <c r="A283" t="s">
        <v>941</v>
      </c>
      <c r="B283" s="1">
        <v>45225.215277777781</v>
      </c>
      <c r="C283" s="2">
        <v>45225.215277777781</v>
      </c>
      <c r="D283" t="s">
        <v>970</v>
      </c>
      <c r="E283">
        <v>41</v>
      </c>
      <c r="F283" t="s">
        <v>739</v>
      </c>
      <c r="G283" t="str">
        <f>IFERROR(VLOOKUP(Logs_Reseau_Part5[[#This Row],[Cell_ID]],Registre_Maintenance_Part[[ID_Antenne]:[Colonne2]],2,FALSE),"")</f>
        <v>Mai-Ndombe</v>
      </c>
      <c r="H283">
        <f>IFERROR(VLOOKUP(Logs_Reseau_Part5[[#This Row],[Cell_ID]],Registre_Maintenance_Part[[ID_Antenne]:[Colonne2]],3,FALSE),"")</f>
        <v>-4.9552579999999997</v>
      </c>
      <c r="I283">
        <f>IFERROR(VLOOKUP(Logs_Reseau_Part5[[#This Row],[Cell_ID]],Registre_Maintenance_Part[[ID_Antenne]:[Colonne2]],4,FALSE),"")</f>
        <v>22.008103999999999</v>
      </c>
      <c r="J283" t="str">
        <f>IFERROR(VLOOKUP(Logs_Reseau_Part5[[#This Row],[Cell_ID]],Registre_Maintenance_Part[[ID_Antenne]:[Colonne2]],5,FALSE),"")</f>
        <v>4G</v>
      </c>
      <c r="K283" t="str">
        <f>IFERROR(VLOOKUP(Logs_Reseau_Part5[[#This Row],[Cell_ID]],Registre_Maintenance_Part[[ID_Antenne]:[Colonne2]],6,FALSE),"")</f>
        <v>Huawei</v>
      </c>
    </row>
    <row r="284" spans="1:11" x14ac:dyDescent="0.3">
      <c r="A284" t="s">
        <v>1167</v>
      </c>
      <c r="B284" s="1">
        <v>45225.623611111107</v>
      </c>
      <c r="C284" s="2">
        <v>45225.623611111107</v>
      </c>
      <c r="D284" t="s">
        <v>1172</v>
      </c>
      <c r="E284">
        <v>22</v>
      </c>
      <c r="F284" t="s">
        <v>734</v>
      </c>
      <c r="G284" t="str">
        <f>IFERROR(VLOOKUP(Logs_Reseau_Part5[[#This Row],[Cell_ID]],Registre_Maintenance_Part[[ID_Antenne]:[Colonne2]],2,FALSE),"")</f>
        <v>Mai-Ndombe</v>
      </c>
      <c r="H284">
        <f>IFERROR(VLOOKUP(Logs_Reseau_Part5[[#This Row],[Cell_ID]],Registre_Maintenance_Part[[ID_Antenne]:[Colonne2]],3,FALSE),"")</f>
        <v>-0.47411900000000001</v>
      </c>
      <c r="I284">
        <f>IFERROR(VLOOKUP(Logs_Reseau_Part5[[#This Row],[Cell_ID]],Registre_Maintenance_Part[[ID_Antenne]:[Colonne2]],4,FALSE),"")</f>
        <v>27.184329000000002</v>
      </c>
      <c r="J284" t="str">
        <f>IFERROR(VLOOKUP(Logs_Reseau_Part5[[#This Row],[Cell_ID]],Registre_Maintenance_Part[[ID_Antenne]:[Colonne2]],5,FALSE),"")</f>
        <v>5G</v>
      </c>
      <c r="K284" t="str">
        <f>IFERROR(VLOOKUP(Logs_Reseau_Part5[[#This Row],[Cell_ID]],Registre_Maintenance_Part[[ID_Antenne]:[Colonne2]],6,FALSE),"")</f>
        <v>ZTE</v>
      </c>
    </row>
    <row r="285" spans="1:11" x14ac:dyDescent="0.3">
      <c r="A285" t="s">
        <v>1310</v>
      </c>
      <c r="B285" s="1">
        <v>45227.77847222222</v>
      </c>
      <c r="C285" s="2">
        <v>45227.77847222222</v>
      </c>
      <c r="D285" t="s">
        <v>1172</v>
      </c>
      <c r="E285">
        <v>67</v>
      </c>
      <c r="F285" t="s">
        <v>739</v>
      </c>
      <c r="G285" t="str">
        <f>IFERROR(VLOOKUP(Logs_Reseau_Part5[[#This Row],[Cell_ID]],Registre_Maintenance_Part[[ID_Antenne]:[Colonne2]],2,FALSE),"")</f>
        <v>Mai-Ndombe</v>
      </c>
      <c r="H285">
        <f>IFERROR(VLOOKUP(Logs_Reseau_Part5[[#This Row],[Cell_ID]],Registre_Maintenance_Part[[ID_Antenne]:[Colonne2]],3,FALSE),"")</f>
        <v>-0.47411900000000001</v>
      </c>
      <c r="I285">
        <f>IFERROR(VLOOKUP(Logs_Reseau_Part5[[#This Row],[Cell_ID]],Registre_Maintenance_Part[[ID_Antenne]:[Colonne2]],4,FALSE),"")</f>
        <v>27.184329000000002</v>
      </c>
      <c r="J285" t="str">
        <f>IFERROR(VLOOKUP(Logs_Reseau_Part5[[#This Row],[Cell_ID]],Registre_Maintenance_Part[[ID_Antenne]:[Colonne2]],5,FALSE),"")</f>
        <v>5G</v>
      </c>
      <c r="K285" t="str">
        <f>IFERROR(VLOOKUP(Logs_Reseau_Part5[[#This Row],[Cell_ID]],Registre_Maintenance_Part[[ID_Antenne]:[Colonne2]],6,FALSE),"")</f>
        <v>ZTE</v>
      </c>
    </row>
    <row r="286" spans="1:11" x14ac:dyDescent="0.3">
      <c r="A286" t="s">
        <v>863</v>
      </c>
      <c r="B286" s="1">
        <v>45202.780555555553</v>
      </c>
      <c r="C286" s="2">
        <v>45202.780555555553</v>
      </c>
      <c r="D286" t="s">
        <v>892</v>
      </c>
      <c r="E286">
        <v>53</v>
      </c>
      <c r="F286" t="s">
        <v>739</v>
      </c>
      <c r="G286" t="str">
        <f>IFERROR(VLOOKUP(Logs_Reseau_Part5[[#This Row],[Cell_ID]],Registre_Maintenance_Part[[ID_Antenne]:[Colonne2]],2,FALSE),"")</f>
        <v>Maniema</v>
      </c>
      <c r="H286">
        <f>IFERROR(VLOOKUP(Logs_Reseau_Part5[[#This Row],[Cell_ID]],Registre_Maintenance_Part[[ID_Antenne]:[Colonne2]],3,FALSE),"")</f>
        <v>-2.3743210000000001</v>
      </c>
      <c r="I286">
        <f>IFERROR(VLOOKUP(Logs_Reseau_Part5[[#This Row],[Cell_ID]],Registre_Maintenance_Part[[ID_Antenne]:[Colonne2]],4,FALSE),"")</f>
        <v>22.399491000000001</v>
      </c>
      <c r="J286" t="str">
        <f>IFERROR(VLOOKUP(Logs_Reseau_Part5[[#This Row],[Cell_ID]],Registre_Maintenance_Part[[ID_Antenne]:[Colonne2]],5,FALSE),"")</f>
        <v>5G</v>
      </c>
      <c r="K286" t="str">
        <f>IFERROR(VLOOKUP(Logs_Reseau_Part5[[#This Row],[Cell_ID]],Registre_Maintenance_Part[[ID_Antenne]:[Colonne2]],6,FALSE),"")</f>
        <v>Ericsson</v>
      </c>
    </row>
    <row r="287" spans="1:11" x14ac:dyDescent="0.3">
      <c r="A287" t="s">
        <v>863</v>
      </c>
      <c r="B287" s="1">
        <v>45203.750694444447</v>
      </c>
      <c r="C287" s="2">
        <v>45203.750694444447</v>
      </c>
      <c r="D287" t="s">
        <v>888</v>
      </c>
      <c r="E287">
        <v>64</v>
      </c>
      <c r="F287" t="s">
        <v>739</v>
      </c>
      <c r="G287" t="str">
        <f>IFERROR(VLOOKUP(Logs_Reseau_Part5[[#This Row],[Cell_ID]],Registre_Maintenance_Part[[ID_Antenne]:[Colonne2]],2,FALSE),"")</f>
        <v>Maniema</v>
      </c>
      <c r="H287">
        <f>IFERROR(VLOOKUP(Logs_Reseau_Part5[[#This Row],[Cell_ID]],Registre_Maintenance_Part[[ID_Antenne]:[Colonne2]],3,FALSE),"")</f>
        <v>-4.6818410000000004</v>
      </c>
      <c r="I287">
        <f>IFERROR(VLOOKUP(Logs_Reseau_Part5[[#This Row],[Cell_ID]],Registre_Maintenance_Part[[ID_Antenne]:[Colonne2]],4,FALSE),"")</f>
        <v>17.541618</v>
      </c>
      <c r="J287" t="str">
        <f>IFERROR(VLOOKUP(Logs_Reseau_Part5[[#This Row],[Cell_ID]],Registre_Maintenance_Part[[ID_Antenne]:[Colonne2]],5,FALSE),"")</f>
        <v>4G</v>
      </c>
      <c r="K287" t="str">
        <f>IFERROR(VLOOKUP(Logs_Reseau_Part5[[#This Row],[Cell_ID]],Registre_Maintenance_Part[[ID_Antenne]:[Colonne2]],6,FALSE),"")</f>
        <v>Ericsson</v>
      </c>
    </row>
    <row r="288" spans="1:11" x14ac:dyDescent="0.3">
      <c r="A288" t="s">
        <v>1167</v>
      </c>
      <c r="B288" s="1">
        <v>45204.011111111111</v>
      </c>
      <c r="C288" s="2">
        <v>45204.011111111111</v>
      </c>
      <c r="D288" t="s">
        <v>1189</v>
      </c>
      <c r="E288">
        <v>12</v>
      </c>
      <c r="F288" t="s">
        <v>737</v>
      </c>
      <c r="G288" t="str">
        <f>IFERROR(VLOOKUP(Logs_Reseau_Part5[[#This Row],[Cell_ID]],Registre_Maintenance_Part[[ID_Antenne]:[Colonne2]],2,FALSE),"")</f>
        <v>Maniema</v>
      </c>
      <c r="H288">
        <f>IFERROR(VLOOKUP(Logs_Reseau_Part5[[#This Row],[Cell_ID]],Registre_Maintenance_Part[[ID_Antenne]:[Colonne2]],3,FALSE),"")</f>
        <v>-1.6488929999999999</v>
      </c>
      <c r="I288">
        <f>IFERROR(VLOOKUP(Logs_Reseau_Part5[[#This Row],[Cell_ID]],Registre_Maintenance_Part[[ID_Antenne]:[Colonne2]],4,FALSE),"")</f>
        <v>27.284617000000001</v>
      </c>
      <c r="J288" t="str">
        <f>IFERROR(VLOOKUP(Logs_Reseau_Part5[[#This Row],[Cell_ID]],Registre_Maintenance_Part[[ID_Antenne]:[Colonne2]],5,FALSE),"")</f>
        <v>5G</v>
      </c>
      <c r="K288" t="str">
        <f>IFERROR(VLOOKUP(Logs_Reseau_Part5[[#This Row],[Cell_ID]],Registre_Maintenance_Part[[ID_Antenne]:[Colonne2]],6,FALSE),"")</f>
        <v>Nokia</v>
      </c>
    </row>
    <row r="289" spans="1:11" x14ac:dyDescent="0.3">
      <c r="A289" t="s">
        <v>904</v>
      </c>
      <c r="B289" s="1">
        <v>45206.362500000003</v>
      </c>
      <c r="C289" s="2">
        <v>45206.362500000003</v>
      </c>
      <c r="D289" t="s">
        <v>921</v>
      </c>
      <c r="E289">
        <v>60</v>
      </c>
      <c r="F289" t="s">
        <v>739</v>
      </c>
      <c r="G289" t="str">
        <f>IFERROR(VLOOKUP(Logs_Reseau_Part5[[#This Row],[Cell_ID]],Registre_Maintenance_Part[[ID_Antenne]:[Colonne2]],2,FALSE),"")</f>
        <v>Maniema</v>
      </c>
      <c r="H289">
        <f>IFERROR(VLOOKUP(Logs_Reseau_Part5[[#This Row],[Cell_ID]],Registre_Maintenance_Part[[ID_Antenne]:[Colonne2]],3,FALSE),"")</f>
        <v>-4.2645619999999997</v>
      </c>
      <c r="I289">
        <f>IFERROR(VLOOKUP(Logs_Reseau_Part5[[#This Row],[Cell_ID]],Registre_Maintenance_Part[[ID_Antenne]:[Colonne2]],4,FALSE),"")</f>
        <v>18.960726000000001</v>
      </c>
      <c r="J289" t="str">
        <f>IFERROR(VLOOKUP(Logs_Reseau_Part5[[#This Row],[Cell_ID]],Registre_Maintenance_Part[[ID_Antenne]:[Colonne2]],5,FALSE),"")</f>
        <v>4G</v>
      </c>
      <c r="K289" t="str">
        <f>IFERROR(VLOOKUP(Logs_Reseau_Part5[[#This Row],[Cell_ID]],Registre_Maintenance_Part[[ID_Antenne]:[Colonne2]],6,FALSE),"")</f>
        <v>Huawei</v>
      </c>
    </row>
    <row r="290" spans="1:11" x14ac:dyDescent="0.3">
      <c r="A290" t="s">
        <v>1088</v>
      </c>
      <c r="B290" s="1">
        <v>45209.53125</v>
      </c>
      <c r="C290" s="2">
        <v>45209.53125</v>
      </c>
      <c r="D290" t="s">
        <v>1098</v>
      </c>
      <c r="E290">
        <v>63</v>
      </c>
      <c r="F290" t="s">
        <v>734</v>
      </c>
      <c r="G290" t="str">
        <f>IFERROR(VLOOKUP(Logs_Reseau_Part5[[#This Row],[Cell_ID]],Registre_Maintenance_Part[[ID_Antenne]:[Colonne2]],2,FALSE),"")</f>
        <v>Maniema</v>
      </c>
      <c r="H290">
        <f>IFERROR(VLOOKUP(Logs_Reseau_Part5[[#This Row],[Cell_ID]],Registre_Maintenance_Part[[ID_Antenne]:[Colonne2]],3,FALSE),"")</f>
        <v>1.727095</v>
      </c>
      <c r="I290">
        <f>IFERROR(VLOOKUP(Logs_Reseau_Part5[[#This Row],[Cell_ID]],Registre_Maintenance_Part[[ID_Antenne]:[Colonne2]],4,FALSE),"")</f>
        <v>22.099651999999999</v>
      </c>
      <c r="J290" t="str">
        <f>IFERROR(VLOOKUP(Logs_Reseau_Part5[[#This Row],[Cell_ID]],Registre_Maintenance_Part[[ID_Antenne]:[Colonne2]],5,FALSE),"")</f>
        <v>4G</v>
      </c>
      <c r="K290" t="str">
        <f>IFERROR(VLOOKUP(Logs_Reseau_Part5[[#This Row],[Cell_ID]],Registre_Maintenance_Part[[ID_Antenne]:[Colonne2]],6,FALSE),"")</f>
        <v>Huawei</v>
      </c>
    </row>
    <row r="291" spans="1:11" x14ac:dyDescent="0.3">
      <c r="A291" t="s">
        <v>1243</v>
      </c>
      <c r="B291" s="1">
        <v>45210.38958333333</v>
      </c>
      <c r="C291" s="2">
        <v>45210.38958333333</v>
      </c>
      <c r="D291" t="s">
        <v>921</v>
      </c>
      <c r="E291">
        <v>85</v>
      </c>
      <c r="F291" t="s">
        <v>734</v>
      </c>
      <c r="G291" t="str">
        <f>IFERROR(VLOOKUP(Logs_Reseau_Part5[[#This Row],[Cell_ID]],Registre_Maintenance_Part[[ID_Antenne]:[Colonne2]],2,FALSE),"")</f>
        <v>Maniema</v>
      </c>
      <c r="H291">
        <f>IFERROR(VLOOKUP(Logs_Reseau_Part5[[#This Row],[Cell_ID]],Registre_Maintenance_Part[[ID_Antenne]:[Colonne2]],3,FALSE),"")</f>
        <v>-4.2645619999999997</v>
      </c>
      <c r="I291">
        <f>IFERROR(VLOOKUP(Logs_Reseau_Part5[[#This Row],[Cell_ID]],Registre_Maintenance_Part[[ID_Antenne]:[Colonne2]],4,FALSE),"")</f>
        <v>18.960726000000001</v>
      </c>
      <c r="J291" t="str">
        <f>IFERROR(VLOOKUP(Logs_Reseau_Part5[[#This Row],[Cell_ID]],Registre_Maintenance_Part[[ID_Antenne]:[Colonne2]],5,FALSE),"")</f>
        <v>4G</v>
      </c>
      <c r="K291" t="str">
        <f>IFERROR(VLOOKUP(Logs_Reseau_Part5[[#This Row],[Cell_ID]],Registre_Maintenance_Part[[ID_Antenne]:[Colonne2]],6,FALSE),"")</f>
        <v>Huawei</v>
      </c>
    </row>
    <row r="292" spans="1:11" x14ac:dyDescent="0.3">
      <c r="A292" t="s">
        <v>1195</v>
      </c>
      <c r="B292" s="1">
        <v>45213.351388888892</v>
      </c>
      <c r="C292" s="2">
        <v>45213.351388888892</v>
      </c>
      <c r="D292" t="s">
        <v>1219</v>
      </c>
      <c r="E292">
        <v>86</v>
      </c>
      <c r="F292" t="s">
        <v>739</v>
      </c>
      <c r="G292" t="str">
        <f>IFERROR(VLOOKUP(Logs_Reseau_Part5[[#This Row],[Cell_ID]],Registre_Maintenance_Part[[ID_Antenne]:[Colonne2]],2,FALSE),"")</f>
        <v>Maniema</v>
      </c>
      <c r="H292">
        <f>IFERROR(VLOOKUP(Logs_Reseau_Part5[[#This Row],[Cell_ID]],Registre_Maintenance_Part[[ID_Antenne]:[Colonne2]],3,FALSE),"")</f>
        <v>4.8228650000000002</v>
      </c>
      <c r="I292">
        <f>IFERROR(VLOOKUP(Logs_Reseau_Part5[[#This Row],[Cell_ID]],Registre_Maintenance_Part[[ID_Antenne]:[Colonne2]],4,FALSE),"")</f>
        <v>30.555627000000001</v>
      </c>
      <c r="J292" t="str">
        <f>IFERROR(VLOOKUP(Logs_Reseau_Part5[[#This Row],[Cell_ID]],Registre_Maintenance_Part[[ID_Antenne]:[Colonne2]],5,FALSE),"")</f>
        <v>4G</v>
      </c>
      <c r="K292" t="str">
        <f>IFERROR(VLOOKUP(Logs_Reseau_Part5[[#This Row],[Cell_ID]],Registre_Maintenance_Part[[ID_Antenne]:[Colonne2]],6,FALSE),"")</f>
        <v>Huawei</v>
      </c>
    </row>
    <row r="293" spans="1:11" x14ac:dyDescent="0.3">
      <c r="A293" t="s">
        <v>1363</v>
      </c>
      <c r="B293" s="1">
        <v>45214.23541666667</v>
      </c>
      <c r="C293" s="2">
        <v>45214.23541666667</v>
      </c>
      <c r="D293" t="s">
        <v>1373</v>
      </c>
      <c r="E293">
        <v>33</v>
      </c>
      <c r="F293" t="s">
        <v>734</v>
      </c>
      <c r="G293" t="str">
        <f>IFERROR(VLOOKUP(Logs_Reseau_Part5[[#This Row],[Cell_ID]],Registre_Maintenance_Part[[ID_Antenne]:[Colonne2]],2,FALSE),"")</f>
        <v>Maniema</v>
      </c>
      <c r="H293">
        <f>IFERROR(VLOOKUP(Logs_Reseau_Part5[[#This Row],[Cell_ID]],Registre_Maintenance_Part[[ID_Antenne]:[Colonne2]],3,FALSE),"")</f>
        <v>-10.318835</v>
      </c>
      <c r="I293">
        <f>IFERROR(VLOOKUP(Logs_Reseau_Part5[[#This Row],[Cell_ID]],Registre_Maintenance_Part[[ID_Antenne]:[Colonne2]],4,FALSE),"")</f>
        <v>21.252382000000001</v>
      </c>
      <c r="J293" t="str">
        <f>IFERROR(VLOOKUP(Logs_Reseau_Part5[[#This Row],[Cell_ID]],Registre_Maintenance_Part[[ID_Antenne]:[Colonne2]],5,FALSE),"")</f>
        <v>4G</v>
      </c>
      <c r="K293" t="str">
        <f>IFERROR(VLOOKUP(Logs_Reseau_Part5[[#This Row],[Cell_ID]],Registre_Maintenance_Part[[ID_Antenne]:[Colonne2]],6,FALSE),"")</f>
        <v>Ericsson</v>
      </c>
    </row>
    <row r="294" spans="1:11" x14ac:dyDescent="0.3">
      <c r="A294" t="s">
        <v>1332</v>
      </c>
      <c r="B294" s="1">
        <v>45215.049305555563</v>
      </c>
      <c r="C294" s="2">
        <v>45215.049305555563</v>
      </c>
      <c r="D294" t="s">
        <v>1186</v>
      </c>
      <c r="E294">
        <v>33</v>
      </c>
      <c r="F294" t="s">
        <v>737</v>
      </c>
      <c r="G294" t="str">
        <f>IFERROR(VLOOKUP(Logs_Reseau_Part5[[#This Row],[Cell_ID]],Registre_Maintenance_Part[[ID_Antenne]:[Colonne2]],2,FALSE),"")</f>
        <v>Maniema</v>
      </c>
      <c r="H294">
        <f>IFERROR(VLOOKUP(Logs_Reseau_Part5[[#This Row],[Cell_ID]],Registre_Maintenance_Part[[ID_Antenne]:[Colonne2]],3,FALSE),"")</f>
        <v>2.5458379999999998</v>
      </c>
      <c r="I294">
        <f>IFERROR(VLOOKUP(Logs_Reseau_Part5[[#This Row],[Cell_ID]],Registre_Maintenance_Part[[ID_Antenne]:[Colonne2]],4,FALSE),"")</f>
        <v>13.308655</v>
      </c>
      <c r="J294" t="str">
        <f>IFERROR(VLOOKUP(Logs_Reseau_Part5[[#This Row],[Cell_ID]],Registre_Maintenance_Part[[ID_Antenne]:[Colonne2]],5,FALSE),"")</f>
        <v>5G</v>
      </c>
      <c r="K294" t="str">
        <f>IFERROR(VLOOKUP(Logs_Reseau_Part5[[#This Row],[Cell_ID]],Registre_Maintenance_Part[[ID_Antenne]:[Colonne2]],6,FALSE),"")</f>
        <v>ZTE</v>
      </c>
    </row>
    <row r="295" spans="1:11" x14ac:dyDescent="0.3">
      <c r="A295" t="s">
        <v>1167</v>
      </c>
      <c r="B295" s="1">
        <v>45215.587500000001</v>
      </c>
      <c r="C295" s="2">
        <v>45215.587500000001</v>
      </c>
      <c r="D295" t="s">
        <v>1186</v>
      </c>
      <c r="E295">
        <v>24</v>
      </c>
      <c r="F295" t="s">
        <v>737</v>
      </c>
      <c r="G295" t="str">
        <f>IFERROR(VLOOKUP(Logs_Reseau_Part5[[#This Row],[Cell_ID]],Registre_Maintenance_Part[[ID_Antenne]:[Colonne2]],2,FALSE),"")</f>
        <v>Maniema</v>
      </c>
      <c r="H295">
        <f>IFERROR(VLOOKUP(Logs_Reseau_Part5[[#This Row],[Cell_ID]],Registre_Maintenance_Part[[ID_Antenne]:[Colonne2]],3,FALSE),"")</f>
        <v>2.5458379999999998</v>
      </c>
      <c r="I295">
        <f>IFERROR(VLOOKUP(Logs_Reseau_Part5[[#This Row],[Cell_ID]],Registre_Maintenance_Part[[ID_Antenne]:[Colonne2]],4,FALSE),"")</f>
        <v>13.308655</v>
      </c>
      <c r="J295" t="str">
        <f>IFERROR(VLOOKUP(Logs_Reseau_Part5[[#This Row],[Cell_ID]],Registre_Maintenance_Part[[ID_Antenne]:[Colonne2]],5,FALSE),"")</f>
        <v>5G</v>
      </c>
      <c r="K295" t="str">
        <f>IFERROR(VLOOKUP(Logs_Reseau_Part5[[#This Row],[Cell_ID]],Registre_Maintenance_Part[[ID_Antenne]:[Colonne2]],6,FALSE),"")</f>
        <v>ZTE</v>
      </c>
    </row>
    <row r="296" spans="1:11" x14ac:dyDescent="0.3">
      <c r="A296" t="s">
        <v>1001</v>
      </c>
      <c r="B296" s="1">
        <v>45216.26666666667</v>
      </c>
      <c r="C296" s="2">
        <v>45216.26666666667</v>
      </c>
      <c r="D296" t="s">
        <v>892</v>
      </c>
      <c r="E296">
        <v>90</v>
      </c>
      <c r="F296" t="s">
        <v>739</v>
      </c>
      <c r="G296" t="str">
        <f>IFERROR(VLOOKUP(Logs_Reseau_Part5[[#This Row],[Cell_ID]],Registre_Maintenance_Part[[ID_Antenne]:[Colonne2]],2,FALSE),"")</f>
        <v>Maniema</v>
      </c>
      <c r="H296">
        <f>IFERROR(VLOOKUP(Logs_Reseau_Part5[[#This Row],[Cell_ID]],Registre_Maintenance_Part[[ID_Antenne]:[Colonne2]],3,FALSE),"")</f>
        <v>-2.3743210000000001</v>
      </c>
      <c r="I296">
        <f>IFERROR(VLOOKUP(Logs_Reseau_Part5[[#This Row],[Cell_ID]],Registre_Maintenance_Part[[ID_Antenne]:[Colonne2]],4,FALSE),"")</f>
        <v>22.399491000000001</v>
      </c>
      <c r="J296" t="str">
        <f>IFERROR(VLOOKUP(Logs_Reseau_Part5[[#This Row],[Cell_ID]],Registre_Maintenance_Part[[ID_Antenne]:[Colonne2]],5,FALSE),"")</f>
        <v>5G</v>
      </c>
      <c r="K296" t="str">
        <f>IFERROR(VLOOKUP(Logs_Reseau_Part5[[#This Row],[Cell_ID]],Registre_Maintenance_Part[[ID_Antenne]:[Colonne2]],6,FALSE),"")</f>
        <v>Ericsson</v>
      </c>
    </row>
    <row r="297" spans="1:11" x14ac:dyDescent="0.3">
      <c r="A297" t="s">
        <v>1167</v>
      </c>
      <c r="B297" s="1">
        <v>45217.775694444441</v>
      </c>
      <c r="C297" s="2">
        <v>45217.775694444441</v>
      </c>
      <c r="D297" t="s">
        <v>892</v>
      </c>
      <c r="E297">
        <v>84</v>
      </c>
      <c r="F297" t="s">
        <v>734</v>
      </c>
      <c r="G297" t="str">
        <f>IFERROR(VLOOKUP(Logs_Reseau_Part5[[#This Row],[Cell_ID]],Registre_Maintenance_Part[[ID_Antenne]:[Colonne2]],2,FALSE),"")</f>
        <v>Maniema</v>
      </c>
      <c r="H297">
        <f>IFERROR(VLOOKUP(Logs_Reseau_Part5[[#This Row],[Cell_ID]],Registre_Maintenance_Part[[ID_Antenne]:[Colonne2]],3,FALSE),"")</f>
        <v>-2.3743210000000001</v>
      </c>
      <c r="I297">
        <f>IFERROR(VLOOKUP(Logs_Reseau_Part5[[#This Row],[Cell_ID]],Registre_Maintenance_Part[[ID_Antenne]:[Colonne2]],4,FALSE),"")</f>
        <v>22.399491000000001</v>
      </c>
      <c r="J297" t="str">
        <f>IFERROR(VLOOKUP(Logs_Reseau_Part5[[#This Row],[Cell_ID]],Registre_Maintenance_Part[[ID_Antenne]:[Colonne2]],5,FALSE),"")</f>
        <v>5G</v>
      </c>
      <c r="K297" t="str">
        <f>IFERROR(VLOOKUP(Logs_Reseau_Part5[[#This Row],[Cell_ID]],Registre_Maintenance_Part[[ID_Antenne]:[Colonne2]],6,FALSE),"")</f>
        <v>Ericsson</v>
      </c>
    </row>
    <row r="298" spans="1:11" x14ac:dyDescent="0.3">
      <c r="A298" t="s">
        <v>1001</v>
      </c>
      <c r="B298" s="1">
        <v>45221.376388888893</v>
      </c>
      <c r="C298" s="2">
        <v>45221.376388888893</v>
      </c>
      <c r="D298" t="s">
        <v>1024</v>
      </c>
      <c r="E298">
        <v>59</v>
      </c>
      <c r="F298" t="s">
        <v>739</v>
      </c>
      <c r="G298" t="str">
        <f>IFERROR(VLOOKUP(Logs_Reseau_Part5[[#This Row],[Cell_ID]],Registre_Maintenance_Part[[ID_Antenne]:[Colonne2]],2,FALSE),"")</f>
        <v>Maniema</v>
      </c>
      <c r="H298">
        <f>IFERROR(VLOOKUP(Logs_Reseau_Part5[[#This Row],[Cell_ID]],Registre_Maintenance_Part[[ID_Antenne]:[Colonne2]],3,FALSE),"")</f>
        <v>-8.4824669999999998</v>
      </c>
      <c r="I298">
        <f>IFERROR(VLOOKUP(Logs_Reseau_Part5[[#This Row],[Cell_ID]],Registre_Maintenance_Part[[ID_Antenne]:[Colonne2]],4,FALSE),"")</f>
        <v>21.897777999999999</v>
      </c>
      <c r="J298" t="str">
        <f>IFERROR(VLOOKUP(Logs_Reseau_Part5[[#This Row],[Cell_ID]],Registre_Maintenance_Part[[ID_Antenne]:[Colonne2]],5,FALSE),"")</f>
        <v>5G</v>
      </c>
      <c r="K298" t="str">
        <f>IFERROR(VLOOKUP(Logs_Reseau_Part5[[#This Row],[Cell_ID]],Registre_Maintenance_Part[[ID_Antenne]:[Colonne2]],6,FALSE),"")</f>
        <v>Ericsson</v>
      </c>
    </row>
    <row r="299" spans="1:11" x14ac:dyDescent="0.3">
      <c r="A299" t="s">
        <v>980</v>
      </c>
      <c r="B299" s="1">
        <v>45224.201388888891</v>
      </c>
      <c r="C299" s="2">
        <v>45224.201388888891</v>
      </c>
      <c r="D299" t="s">
        <v>888</v>
      </c>
      <c r="E299">
        <v>43</v>
      </c>
      <c r="F299" t="s">
        <v>739</v>
      </c>
      <c r="G299" t="str">
        <f>IFERROR(VLOOKUP(Logs_Reseau_Part5[[#This Row],[Cell_ID]],Registre_Maintenance_Part[[ID_Antenne]:[Colonne2]],2,FALSE),"")</f>
        <v>Maniema</v>
      </c>
      <c r="H299">
        <f>IFERROR(VLOOKUP(Logs_Reseau_Part5[[#This Row],[Cell_ID]],Registre_Maintenance_Part[[ID_Antenne]:[Colonne2]],3,FALSE),"")</f>
        <v>-4.6818410000000004</v>
      </c>
      <c r="I299">
        <f>IFERROR(VLOOKUP(Logs_Reseau_Part5[[#This Row],[Cell_ID]],Registre_Maintenance_Part[[ID_Antenne]:[Colonne2]],4,FALSE),"")</f>
        <v>17.541618</v>
      </c>
      <c r="J299" t="str">
        <f>IFERROR(VLOOKUP(Logs_Reseau_Part5[[#This Row],[Cell_ID]],Registre_Maintenance_Part[[ID_Antenne]:[Colonne2]],5,FALSE),"")</f>
        <v>4G</v>
      </c>
      <c r="K299" t="str">
        <f>IFERROR(VLOOKUP(Logs_Reseau_Part5[[#This Row],[Cell_ID]],Registre_Maintenance_Part[[ID_Antenne]:[Colonne2]],6,FALSE),"")</f>
        <v>Ericsson</v>
      </c>
    </row>
    <row r="300" spans="1:11" x14ac:dyDescent="0.3">
      <c r="A300" t="s">
        <v>1363</v>
      </c>
      <c r="B300" s="1">
        <v>45226.530555555553</v>
      </c>
      <c r="C300" s="2">
        <v>45226.530555555553</v>
      </c>
      <c r="D300" t="s">
        <v>1367</v>
      </c>
      <c r="E300">
        <v>101</v>
      </c>
      <c r="F300" t="s">
        <v>739</v>
      </c>
      <c r="G300" t="str">
        <f>IFERROR(VLOOKUP(Logs_Reseau_Part5[[#This Row],[Cell_ID]],Registre_Maintenance_Part[[ID_Antenne]:[Colonne2]],2,FALSE),"")</f>
        <v>Maniema</v>
      </c>
      <c r="H300">
        <f>IFERROR(VLOOKUP(Logs_Reseau_Part5[[#This Row],[Cell_ID]],Registre_Maintenance_Part[[ID_Antenne]:[Colonne2]],3,FALSE),"")</f>
        <v>-10.650321</v>
      </c>
      <c r="I300">
        <f>IFERROR(VLOOKUP(Logs_Reseau_Part5[[#This Row],[Cell_ID]],Registre_Maintenance_Part[[ID_Antenne]:[Colonne2]],4,FALSE),"")</f>
        <v>15.917044000000001</v>
      </c>
      <c r="J300" t="str">
        <f>IFERROR(VLOOKUP(Logs_Reseau_Part5[[#This Row],[Cell_ID]],Registre_Maintenance_Part[[ID_Antenne]:[Colonne2]],5,FALSE),"")</f>
        <v>4G</v>
      </c>
      <c r="K300" t="str">
        <f>IFERROR(VLOOKUP(Logs_Reseau_Part5[[#This Row],[Cell_ID]],Registre_Maintenance_Part[[ID_Antenne]:[Colonne2]],6,FALSE),"")</f>
        <v>Nokia</v>
      </c>
    </row>
    <row r="301" spans="1:11" x14ac:dyDescent="0.3">
      <c r="A301" t="s">
        <v>1140</v>
      </c>
      <c r="B301" s="1">
        <v>45205.529861111107</v>
      </c>
      <c r="C301" s="2">
        <v>45205.529861111107</v>
      </c>
      <c r="D301" t="s">
        <v>816</v>
      </c>
      <c r="E301">
        <v>74</v>
      </c>
      <c r="F301" t="s">
        <v>737</v>
      </c>
      <c r="G301" t="str">
        <f>IFERROR(VLOOKUP(Logs_Reseau_Part5[[#This Row],[Cell_ID]],Registre_Maintenance_Part[[ID_Antenne]:[Colonne2]],2,FALSE),"")</f>
        <v>Mongala</v>
      </c>
      <c r="H301">
        <f>IFERROR(VLOOKUP(Logs_Reseau_Part5[[#This Row],[Cell_ID]],Registre_Maintenance_Part[[ID_Antenne]:[Colonne2]],3,FALSE),"")</f>
        <v>-11.514188000000001</v>
      </c>
      <c r="I301">
        <f>IFERROR(VLOOKUP(Logs_Reseau_Part5[[#This Row],[Cell_ID]],Registre_Maintenance_Part[[ID_Antenne]:[Colonne2]],4,FALSE),"")</f>
        <v>15.971181</v>
      </c>
      <c r="J301" t="str">
        <f>IFERROR(VLOOKUP(Logs_Reseau_Part5[[#This Row],[Cell_ID]],Registre_Maintenance_Part[[ID_Antenne]:[Colonne2]],5,FALSE),"")</f>
        <v>5G</v>
      </c>
      <c r="K301" t="str">
        <f>IFERROR(VLOOKUP(Logs_Reseau_Part5[[#This Row],[Cell_ID]],Registre_Maintenance_Part[[ID_Antenne]:[Colonne2]],6,FALSE),"")</f>
        <v>Ericsson</v>
      </c>
    </row>
    <row r="302" spans="1:11" x14ac:dyDescent="0.3">
      <c r="A302" t="s">
        <v>1167</v>
      </c>
      <c r="B302" s="1">
        <v>45210.836805555547</v>
      </c>
      <c r="C302" s="2">
        <v>45210.836805555547</v>
      </c>
      <c r="D302" t="s">
        <v>1175</v>
      </c>
      <c r="E302">
        <v>118</v>
      </c>
      <c r="F302" t="s">
        <v>734</v>
      </c>
      <c r="G302" t="str">
        <f>IFERROR(VLOOKUP(Logs_Reseau_Part5[[#This Row],[Cell_ID]],Registre_Maintenance_Part[[ID_Antenne]:[Colonne2]],2,FALSE),"")</f>
        <v>Mongala</v>
      </c>
      <c r="H302">
        <f>IFERROR(VLOOKUP(Logs_Reseau_Part5[[#This Row],[Cell_ID]],Registre_Maintenance_Part[[ID_Antenne]:[Colonne2]],3,FALSE),"")</f>
        <v>-11.407966</v>
      </c>
      <c r="I302">
        <f>IFERROR(VLOOKUP(Logs_Reseau_Part5[[#This Row],[Cell_ID]],Registre_Maintenance_Part[[ID_Antenne]:[Colonne2]],4,FALSE),"")</f>
        <v>28.378274000000001</v>
      </c>
      <c r="J302" t="str">
        <f>IFERROR(VLOOKUP(Logs_Reseau_Part5[[#This Row],[Cell_ID]],Registre_Maintenance_Part[[ID_Antenne]:[Colonne2]],5,FALSE),"")</f>
        <v>4G</v>
      </c>
      <c r="K302" t="str">
        <f>IFERROR(VLOOKUP(Logs_Reseau_Part5[[#This Row],[Cell_ID]],Registre_Maintenance_Part[[ID_Antenne]:[Colonne2]],6,FALSE),"")</f>
        <v>ZTE</v>
      </c>
    </row>
    <row r="303" spans="1:11" x14ac:dyDescent="0.3">
      <c r="A303" t="s">
        <v>1195</v>
      </c>
      <c r="B303" s="1">
        <v>45211.04583333333</v>
      </c>
      <c r="C303" s="2">
        <v>45211.04583333333</v>
      </c>
      <c r="D303" t="s">
        <v>1043</v>
      </c>
      <c r="E303">
        <v>18</v>
      </c>
      <c r="F303" t="s">
        <v>739</v>
      </c>
      <c r="G303" t="str">
        <f>IFERROR(VLOOKUP(Logs_Reseau_Part5[[#This Row],[Cell_ID]],Registre_Maintenance_Part[[ID_Antenne]:[Colonne2]],2,FALSE),"")</f>
        <v>Mongala</v>
      </c>
      <c r="H303">
        <f>IFERROR(VLOOKUP(Logs_Reseau_Part5[[#This Row],[Cell_ID]],Registre_Maintenance_Part[[ID_Antenne]:[Colonne2]],3,FALSE),"")</f>
        <v>-5.3762689999999997</v>
      </c>
      <c r="I303">
        <f>IFERROR(VLOOKUP(Logs_Reseau_Part5[[#This Row],[Cell_ID]],Registre_Maintenance_Part[[ID_Antenne]:[Colonne2]],4,FALSE),"")</f>
        <v>28.189575999999999</v>
      </c>
      <c r="J303" t="str">
        <f>IFERROR(VLOOKUP(Logs_Reseau_Part5[[#This Row],[Cell_ID]],Registre_Maintenance_Part[[ID_Antenne]:[Colonne2]],5,FALSE),"")</f>
        <v>5G</v>
      </c>
      <c r="K303" t="str">
        <f>IFERROR(VLOOKUP(Logs_Reseau_Part5[[#This Row],[Cell_ID]],Registre_Maintenance_Part[[ID_Antenne]:[Colonne2]],6,FALSE),"")</f>
        <v>Huawei</v>
      </c>
    </row>
    <row r="304" spans="1:11" x14ac:dyDescent="0.3">
      <c r="A304" t="s">
        <v>1290</v>
      </c>
      <c r="B304" s="1">
        <v>45214.160416666673</v>
      </c>
      <c r="C304" s="2">
        <v>45214.160416666673</v>
      </c>
      <c r="D304" t="s">
        <v>1175</v>
      </c>
      <c r="E304">
        <v>108</v>
      </c>
      <c r="F304" t="s">
        <v>739</v>
      </c>
      <c r="G304" t="str">
        <f>IFERROR(VLOOKUP(Logs_Reseau_Part5[[#This Row],[Cell_ID]],Registre_Maintenance_Part[[ID_Antenne]:[Colonne2]],2,FALSE),"")</f>
        <v>Mongala</v>
      </c>
      <c r="H304">
        <f>IFERROR(VLOOKUP(Logs_Reseau_Part5[[#This Row],[Cell_ID]],Registre_Maintenance_Part[[ID_Antenne]:[Colonne2]],3,FALSE),"")</f>
        <v>-11.407966</v>
      </c>
      <c r="I304">
        <f>IFERROR(VLOOKUP(Logs_Reseau_Part5[[#This Row],[Cell_ID]],Registre_Maintenance_Part[[ID_Antenne]:[Colonne2]],4,FALSE),"")</f>
        <v>28.378274000000001</v>
      </c>
      <c r="J304" t="str">
        <f>IFERROR(VLOOKUP(Logs_Reseau_Part5[[#This Row],[Cell_ID]],Registre_Maintenance_Part[[ID_Antenne]:[Colonne2]],5,FALSE),"")</f>
        <v>4G</v>
      </c>
      <c r="K304" t="str">
        <f>IFERROR(VLOOKUP(Logs_Reseau_Part5[[#This Row],[Cell_ID]],Registre_Maintenance_Part[[ID_Antenne]:[Colonne2]],6,FALSE),"")</f>
        <v>ZTE</v>
      </c>
    </row>
    <row r="305" spans="1:11" x14ac:dyDescent="0.3">
      <c r="A305" t="s">
        <v>1243</v>
      </c>
      <c r="B305" s="1">
        <v>45215.093055555553</v>
      </c>
      <c r="C305" s="2">
        <v>45215.093055555553</v>
      </c>
      <c r="D305" t="s">
        <v>1260</v>
      </c>
      <c r="E305">
        <v>87</v>
      </c>
      <c r="F305" t="s">
        <v>734</v>
      </c>
      <c r="G305" t="str">
        <f>IFERROR(VLOOKUP(Logs_Reseau_Part5[[#This Row],[Cell_ID]],Registre_Maintenance_Part[[ID_Antenne]:[Colonne2]],2,FALSE),"")</f>
        <v>Mongala</v>
      </c>
      <c r="H305">
        <f>IFERROR(VLOOKUP(Logs_Reseau_Part5[[#This Row],[Cell_ID]],Registre_Maintenance_Part[[ID_Antenne]:[Colonne2]],3,FALSE),"")</f>
        <v>-7.6951369999999999</v>
      </c>
      <c r="I305">
        <f>IFERROR(VLOOKUP(Logs_Reseau_Part5[[#This Row],[Cell_ID]],Registre_Maintenance_Part[[ID_Antenne]:[Colonne2]],4,FALSE),"")</f>
        <v>13.346605</v>
      </c>
      <c r="J305" t="str">
        <f>IFERROR(VLOOKUP(Logs_Reseau_Part5[[#This Row],[Cell_ID]],Registre_Maintenance_Part[[ID_Antenne]:[Colonne2]],5,FALSE),"")</f>
        <v>4G</v>
      </c>
      <c r="K305" t="str">
        <f>IFERROR(VLOOKUP(Logs_Reseau_Part5[[#This Row],[Cell_ID]],Registre_Maintenance_Part[[ID_Antenne]:[Colonne2]],6,FALSE),"")</f>
        <v>Ericsson</v>
      </c>
    </row>
    <row r="306" spans="1:11" x14ac:dyDescent="0.3">
      <c r="A306" t="s">
        <v>1406</v>
      </c>
      <c r="B306" s="1">
        <v>45216.137499999997</v>
      </c>
      <c r="C306" s="2">
        <v>45216.137499999997</v>
      </c>
      <c r="D306" t="s">
        <v>1412</v>
      </c>
      <c r="E306">
        <v>120</v>
      </c>
      <c r="F306" t="s">
        <v>737</v>
      </c>
      <c r="G306" t="str">
        <f>IFERROR(VLOOKUP(Logs_Reseau_Part5[[#This Row],[Cell_ID]],Registre_Maintenance_Part[[ID_Antenne]:[Colonne2]],2,FALSE),"")</f>
        <v>Mongala</v>
      </c>
      <c r="H306">
        <f>IFERROR(VLOOKUP(Logs_Reseau_Part5[[#This Row],[Cell_ID]],Registre_Maintenance_Part[[ID_Antenne]:[Colonne2]],3,FALSE),"")</f>
        <v>-7.2267089999999996</v>
      </c>
      <c r="I306">
        <f>IFERROR(VLOOKUP(Logs_Reseau_Part5[[#This Row],[Cell_ID]],Registre_Maintenance_Part[[ID_Antenne]:[Colonne2]],4,FALSE),"")</f>
        <v>28.421362999999999</v>
      </c>
      <c r="J306" t="str">
        <f>IFERROR(VLOOKUP(Logs_Reseau_Part5[[#This Row],[Cell_ID]],Registre_Maintenance_Part[[ID_Antenne]:[Colonne2]],5,FALSE),"")</f>
        <v>5G</v>
      </c>
      <c r="K306" t="str">
        <f>IFERROR(VLOOKUP(Logs_Reseau_Part5[[#This Row],[Cell_ID]],Registre_Maintenance_Part[[ID_Antenne]:[Colonne2]],6,FALSE),"")</f>
        <v>Ericsson</v>
      </c>
    </row>
    <row r="307" spans="1:11" x14ac:dyDescent="0.3">
      <c r="A307" t="s">
        <v>1026</v>
      </c>
      <c r="B307" s="1">
        <v>45217.89166666667</v>
      </c>
      <c r="C307" s="2">
        <v>45217.89166666667</v>
      </c>
      <c r="D307" t="s">
        <v>1043</v>
      </c>
      <c r="E307">
        <v>108</v>
      </c>
      <c r="F307" t="s">
        <v>739</v>
      </c>
      <c r="G307" t="str">
        <f>IFERROR(VLOOKUP(Logs_Reseau_Part5[[#This Row],[Cell_ID]],Registre_Maintenance_Part[[ID_Antenne]:[Colonne2]],2,FALSE),"")</f>
        <v>Mongala</v>
      </c>
      <c r="H307">
        <f>IFERROR(VLOOKUP(Logs_Reseau_Part5[[#This Row],[Cell_ID]],Registre_Maintenance_Part[[ID_Antenne]:[Colonne2]],3,FALSE),"")</f>
        <v>-5.3762689999999997</v>
      </c>
      <c r="I307">
        <f>IFERROR(VLOOKUP(Logs_Reseau_Part5[[#This Row],[Cell_ID]],Registre_Maintenance_Part[[ID_Antenne]:[Colonne2]],4,FALSE),"")</f>
        <v>28.189575999999999</v>
      </c>
      <c r="J307" t="str">
        <f>IFERROR(VLOOKUP(Logs_Reseau_Part5[[#This Row],[Cell_ID]],Registre_Maintenance_Part[[ID_Antenne]:[Colonne2]],5,FALSE),"")</f>
        <v>5G</v>
      </c>
      <c r="K307" t="str">
        <f>IFERROR(VLOOKUP(Logs_Reseau_Part5[[#This Row],[Cell_ID]],Registre_Maintenance_Part[[ID_Antenne]:[Colonne2]],6,FALSE),"")</f>
        <v>Huawei</v>
      </c>
    </row>
    <row r="308" spans="1:11" x14ac:dyDescent="0.3">
      <c r="A308" t="s">
        <v>1026</v>
      </c>
      <c r="B308" s="1">
        <v>45221.505555555559</v>
      </c>
      <c r="C308" s="2">
        <v>45221.505555555559</v>
      </c>
      <c r="D308" t="s">
        <v>1048</v>
      </c>
      <c r="E308">
        <v>51</v>
      </c>
      <c r="F308" t="s">
        <v>734</v>
      </c>
      <c r="G308" t="str">
        <f>IFERROR(VLOOKUP(Logs_Reseau_Part5[[#This Row],[Cell_ID]],Registre_Maintenance_Part[[ID_Antenne]:[Colonne2]],2,FALSE),"")</f>
        <v>Mongala</v>
      </c>
      <c r="H308">
        <f>IFERROR(VLOOKUP(Logs_Reseau_Part5[[#This Row],[Cell_ID]],Registre_Maintenance_Part[[ID_Antenne]:[Colonne2]],3,FALSE),"")</f>
        <v>-1.231033</v>
      </c>
      <c r="I308">
        <f>IFERROR(VLOOKUP(Logs_Reseau_Part5[[#This Row],[Cell_ID]],Registre_Maintenance_Part[[ID_Antenne]:[Colonne2]],4,FALSE),"")</f>
        <v>28.851388</v>
      </c>
      <c r="J308" t="str">
        <f>IFERROR(VLOOKUP(Logs_Reseau_Part5[[#This Row],[Cell_ID]],Registre_Maintenance_Part[[ID_Antenne]:[Colonne2]],5,FALSE),"")</f>
        <v>3G</v>
      </c>
      <c r="K308" t="str">
        <f>IFERROR(VLOOKUP(Logs_Reseau_Part5[[#This Row],[Cell_ID]],Registre_Maintenance_Part[[ID_Antenne]:[Colonne2]],6,FALSE),"")</f>
        <v>Ericsson</v>
      </c>
    </row>
    <row r="309" spans="1:11" x14ac:dyDescent="0.3">
      <c r="A309" t="s">
        <v>781</v>
      </c>
      <c r="B309" s="1">
        <v>45221.775000000001</v>
      </c>
      <c r="C309" s="2">
        <v>45221.775000000001</v>
      </c>
      <c r="D309" t="s">
        <v>816</v>
      </c>
      <c r="E309">
        <v>24</v>
      </c>
      <c r="F309" t="s">
        <v>734</v>
      </c>
      <c r="G309" t="str">
        <f>IFERROR(VLOOKUP(Logs_Reseau_Part5[[#This Row],[Cell_ID]],Registre_Maintenance_Part[[ID_Antenne]:[Colonne2]],2,FALSE),"")</f>
        <v>Mongala</v>
      </c>
      <c r="H309">
        <f>IFERROR(VLOOKUP(Logs_Reseau_Part5[[#This Row],[Cell_ID]],Registre_Maintenance_Part[[ID_Antenne]:[Colonne2]],3,FALSE),"")</f>
        <v>-11.514188000000001</v>
      </c>
      <c r="I309">
        <f>IFERROR(VLOOKUP(Logs_Reseau_Part5[[#This Row],[Cell_ID]],Registre_Maintenance_Part[[ID_Antenne]:[Colonne2]],4,FALSE),"")</f>
        <v>15.971181</v>
      </c>
      <c r="J309" t="str">
        <f>IFERROR(VLOOKUP(Logs_Reseau_Part5[[#This Row],[Cell_ID]],Registre_Maintenance_Part[[ID_Antenne]:[Colonne2]],5,FALSE),"")</f>
        <v>5G</v>
      </c>
      <c r="K309" t="str">
        <f>IFERROR(VLOOKUP(Logs_Reseau_Part5[[#This Row],[Cell_ID]],Registre_Maintenance_Part[[ID_Antenne]:[Colonne2]],6,FALSE),"")</f>
        <v>Ericsson</v>
      </c>
    </row>
    <row r="310" spans="1:11" x14ac:dyDescent="0.3">
      <c r="A310" t="s">
        <v>1221</v>
      </c>
      <c r="B310" s="1">
        <v>45222.188888888893</v>
      </c>
      <c r="C310" s="2">
        <v>45222.188888888893</v>
      </c>
      <c r="D310" t="s">
        <v>1043</v>
      </c>
      <c r="E310">
        <v>33</v>
      </c>
      <c r="F310" t="s">
        <v>734</v>
      </c>
      <c r="G310" t="str">
        <f>IFERROR(VLOOKUP(Logs_Reseau_Part5[[#This Row],[Cell_ID]],Registre_Maintenance_Part[[ID_Antenne]:[Colonne2]],2,FALSE),"")</f>
        <v>Mongala</v>
      </c>
      <c r="H310">
        <f>IFERROR(VLOOKUP(Logs_Reseau_Part5[[#This Row],[Cell_ID]],Registre_Maintenance_Part[[ID_Antenne]:[Colonne2]],3,FALSE),"")</f>
        <v>-5.3762689999999997</v>
      </c>
      <c r="I310">
        <f>IFERROR(VLOOKUP(Logs_Reseau_Part5[[#This Row],[Cell_ID]],Registre_Maintenance_Part[[ID_Antenne]:[Colonne2]],4,FALSE),"")</f>
        <v>28.189575999999999</v>
      </c>
      <c r="J310" t="str">
        <f>IFERROR(VLOOKUP(Logs_Reseau_Part5[[#This Row],[Cell_ID]],Registre_Maintenance_Part[[ID_Antenne]:[Colonne2]],5,FALSE),"")</f>
        <v>5G</v>
      </c>
      <c r="K310" t="str">
        <f>IFERROR(VLOOKUP(Logs_Reseau_Part5[[#This Row],[Cell_ID]],Registre_Maintenance_Part[[ID_Antenne]:[Colonne2]],6,FALSE),"")</f>
        <v>Huawei</v>
      </c>
    </row>
    <row r="311" spans="1:11" x14ac:dyDescent="0.3">
      <c r="A311" t="s">
        <v>1116</v>
      </c>
      <c r="B311" s="1">
        <v>45223.400694444441</v>
      </c>
      <c r="C311" s="2">
        <v>45223.400694444441</v>
      </c>
      <c r="D311" t="s">
        <v>1048</v>
      </c>
      <c r="E311">
        <v>41</v>
      </c>
      <c r="F311" t="s">
        <v>739</v>
      </c>
      <c r="G311" t="str">
        <f>IFERROR(VLOOKUP(Logs_Reseau_Part5[[#This Row],[Cell_ID]],Registre_Maintenance_Part[[ID_Antenne]:[Colonne2]],2,FALSE),"")</f>
        <v>Mongala</v>
      </c>
      <c r="H311">
        <f>IFERROR(VLOOKUP(Logs_Reseau_Part5[[#This Row],[Cell_ID]],Registre_Maintenance_Part[[ID_Antenne]:[Colonne2]],3,FALSE),"")</f>
        <v>-1.231033</v>
      </c>
      <c r="I311">
        <f>IFERROR(VLOOKUP(Logs_Reseau_Part5[[#This Row],[Cell_ID]],Registre_Maintenance_Part[[ID_Antenne]:[Colonne2]],4,FALSE),"")</f>
        <v>28.851388</v>
      </c>
      <c r="J311" t="str">
        <f>IFERROR(VLOOKUP(Logs_Reseau_Part5[[#This Row],[Cell_ID]],Registre_Maintenance_Part[[ID_Antenne]:[Colonne2]],5,FALSE),"")</f>
        <v>3G</v>
      </c>
      <c r="K311" t="str">
        <f>IFERROR(VLOOKUP(Logs_Reseau_Part5[[#This Row],[Cell_ID]],Registre_Maintenance_Part[[ID_Antenne]:[Colonne2]],6,FALSE),"")</f>
        <v>Ericsson</v>
      </c>
    </row>
    <row r="312" spans="1:11" x14ac:dyDescent="0.3">
      <c r="A312" t="s">
        <v>1363</v>
      </c>
      <c r="B312" s="1">
        <v>45223.759722222218</v>
      </c>
      <c r="C312" s="2">
        <v>45223.759722222218</v>
      </c>
      <c r="D312" t="s">
        <v>1043</v>
      </c>
      <c r="E312">
        <v>78</v>
      </c>
      <c r="F312" t="s">
        <v>737</v>
      </c>
      <c r="G312" t="str">
        <f>IFERROR(VLOOKUP(Logs_Reseau_Part5[[#This Row],[Cell_ID]],Registre_Maintenance_Part[[ID_Antenne]:[Colonne2]],2,FALSE),"")</f>
        <v>Mongala</v>
      </c>
      <c r="H312">
        <f>IFERROR(VLOOKUP(Logs_Reseau_Part5[[#This Row],[Cell_ID]],Registre_Maintenance_Part[[ID_Antenne]:[Colonne2]],3,FALSE),"")</f>
        <v>-5.3762689999999997</v>
      </c>
      <c r="I312">
        <f>IFERROR(VLOOKUP(Logs_Reseau_Part5[[#This Row],[Cell_ID]],Registre_Maintenance_Part[[ID_Antenne]:[Colonne2]],4,FALSE),"")</f>
        <v>28.189575999999999</v>
      </c>
      <c r="J312" t="str">
        <f>IFERROR(VLOOKUP(Logs_Reseau_Part5[[#This Row],[Cell_ID]],Registre_Maintenance_Part[[ID_Antenne]:[Colonne2]],5,FALSE),"")</f>
        <v>5G</v>
      </c>
      <c r="K312" t="str">
        <f>IFERROR(VLOOKUP(Logs_Reseau_Part5[[#This Row],[Cell_ID]],Registre_Maintenance_Part[[ID_Antenne]:[Colonne2]],6,FALSE),"")</f>
        <v>Huawei</v>
      </c>
    </row>
    <row r="313" spans="1:11" x14ac:dyDescent="0.3">
      <c r="A313" t="s">
        <v>1026</v>
      </c>
      <c r="B313" s="1">
        <v>45226.37777777778</v>
      </c>
      <c r="C313" s="2">
        <v>45226.37777777778</v>
      </c>
      <c r="D313" t="s">
        <v>1028</v>
      </c>
      <c r="E313">
        <v>74</v>
      </c>
      <c r="F313" t="s">
        <v>739</v>
      </c>
      <c r="G313" t="str">
        <f>IFERROR(VLOOKUP(Logs_Reseau_Part5[[#This Row],[Cell_ID]],Registre_Maintenance_Part[[ID_Antenne]:[Colonne2]],2,FALSE),"")</f>
        <v>Mongala</v>
      </c>
      <c r="H313">
        <f>IFERROR(VLOOKUP(Logs_Reseau_Part5[[#This Row],[Cell_ID]],Registre_Maintenance_Part[[ID_Antenne]:[Colonne2]],3,FALSE),"")</f>
        <v>4.6809229999999999</v>
      </c>
      <c r="I313">
        <f>IFERROR(VLOOKUP(Logs_Reseau_Part5[[#This Row],[Cell_ID]],Registre_Maintenance_Part[[ID_Antenne]:[Colonne2]],4,FALSE),"")</f>
        <v>28.934242000000001</v>
      </c>
      <c r="J313" t="str">
        <f>IFERROR(VLOOKUP(Logs_Reseau_Part5[[#This Row],[Cell_ID]],Registre_Maintenance_Part[[ID_Antenne]:[Colonne2]],5,FALSE),"")</f>
        <v>5G</v>
      </c>
      <c r="K313" t="str">
        <f>IFERROR(VLOOKUP(Logs_Reseau_Part5[[#This Row],[Cell_ID]],Registre_Maintenance_Part[[ID_Antenne]:[Colonne2]],6,FALSE),"")</f>
        <v>Nokia</v>
      </c>
    </row>
    <row r="314" spans="1:11" x14ac:dyDescent="0.3">
      <c r="A314" t="s">
        <v>1026</v>
      </c>
      <c r="B314" s="1">
        <v>45230.26458333333</v>
      </c>
      <c r="C314" s="2">
        <v>45230.26458333333</v>
      </c>
      <c r="D314" t="s">
        <v>1056</v>
      </c>
      <c r="E314">
        <v>62</v>
      </c>
      <c r="F314" t="s">
        <v>734</v>
      </c>
      <c r="G314" t="str">
        <f>IFERROR(VLOOKUP(Logs_Reseau_Part5[[#This Row],[Cell_ID]],Registre_Maintenance_Part[[ID_Antenne]:[Colonne2]],2,FALSE),"")</f>
        <v>Mongala</v>
      </c>
      <c r="H314">
        <f>IFERROR(VLOOKUP(Logs_Reseau_Part5[[#This Row],[Cell_ID]],Registre_Maintenance_Part[[ID_Antenne]:[Colonne2]],3,FALSE),"")</f>
        <v>3.6344850000000002</v>
      </c>
      <c r="I314">
        <f>IFERROR(VLOOKUP(Logs_Reseau_Part5[[#This Row],[Cell_ID]],Registre_Maintenance_Part[[ID_Antenne]:[Colonne2]],4,FALSE),"")</f>
        <v>12.158348999999999</v>
      </c>
      <c r="J314" t="str">
        <f>IFERROR(VLOOKUP(Logs_Reseau_Part5[[#This Row],[Cell_ID]],Registre_Maintenance_Part[[ID_Antenne]:[Colonne2]],5,FALSE),"")</f>
        <v>5G</v>
      </c>
      <c r="K314" t="str">
        <f>IFERROR(VLOOKUP(Logs_Reseau_Part5[[#This Row],[Cell_ID]],Registre_Maintenance_Part[[ID_Antenne]:[Colonne2]],6,FALSE),"")</f>
        <v>Ericsson</v>
      </c>
    </row>
    <row r="315" spans="1:11" x14ac:dyDescent="0.3">
      <c r="A315" t="s">
        <v>1406</v>
      </c>
      <c r="B315" s="1">
        <v>45201.086111111108</v>
      </c>
      <c r="C315" s="2">
        <v>45201.086111111108</v>
      </c>
      <c r="D315" t="s">
        <v>929</v>
      </c>
      <c r="E315">
        <v>55</v>
      </c>
      <c r="F315" t="s">
        <v>734</v>
      </c>
      <c r="G315" t="str">
        <f>IFERROR(VLOOKUP(Logs_Reseau_Part5[[#This Row],[Cell_ID]],Registre_Maintenance_Part[[ID_Antenne]:[Colonne2]],2,FALSE),"")</f>
        <v>Nord-Kivu</v>
      </c>
      <c r="H315">
        <f>IFERROR(VLOOKUP(Logs_Reseau_Part5[[#This Row],[Cell_ID]],Registre_Maintenance_Part[[ID_Antenne]:[Colonne2]],3,FALSE),"")</f>
        <v>-1.8555980000000001</v>
      </c>
      <c r="I315">
        <f>IFERROR(VLOOKUP(Logs_Reseau_Part5[[#This Row],[Cell_ID]],Registre_Maintenance_Part[[ID_Antenne]:[Colonne2]],4,FALSE),"")</f>
        <v>30.421918000000002</v>
      </c>
      <c r="J315" t="str">
        <f>IFERROR(VLOOKUP(Logs_Reseau_Part5[[#This Row],[Cell_ID]],Registre_Maintenance_Part[[ID_Antenne]:[Colonne2]],5,FALSE),"")</f>
        <v>3G</v>
      </c>
      <c r="K315" t="str">
        <f>IFERROR(VLOOKUP(Logs_Reseau_Part5[[#This Row],[Cell_ID]],Registre_Maintenance_Part[[ID_Antenne]:[Colonne2]],6,FALSE),"")</f>
        <v>ZTE</v>
      </c>
    </row>
    <row r="316" spans="1:11" x14ac:dyDescent="0.3">
      <c r="A316" t="s">
        <v>1363</v>
      </c>
      <c r="B316" s="1">
        <v>45201.212500000001</v>
      </c>
      <c r="C316" s="2">
        <v>45201.212500000001</v>
      </c>
      <c r="D316" t="s">
        <v>799</v>
      </c>
      <c r="E316">
        <v>40</v>
      </c>
      <c r="F316" t="s">
        <v>737</v>
      </c>
      <c r="G316" t="str">
        <f>IFERROR(VLOOKUP(Logs_Reseau_Part5[[#This Row],[Cell_ID]],Registre_Maintenance_Part[[ID_Antenne]:[Colonne2]],2,FALSE),"")</f>
        <v>Nord-Kivu</v>
      </c>
      <c r="H316">
        <f>IFERROR(VLOOKUP(Logs_Reseau_Part5[[#This Row],[Cell_ID]],Registre_Maintenance_Part[[ID_Antenne]:[Colonne2]],3,FALSE),"")</f>
        <v>0.82868600000000003</v>
      </c>
      <c r="I316">
        <f>IFERROR(VLOOKUP(Logs_Reseau_Part5[[#This Row],[Cell_ID]],Registre_Maintenance_Part[[ID_Antenne]:[Colonne2]],4,FALSE),"")</f>
        <v>26.958843999999999</v>
      </c>
      <c r="J316" t="str">
        <f>IFERROR(VLOOKUP(Logs_Reseau_Part5[[#This Row],[Cell_ID]],Registre_Maintenance_Part[[ID_Antenne]:[Colonne2]],5,FALSE),"")</f>
        <v>5G</v>
      </c>
      <c r="K316" t="str">
        <f>IFERROR(VLOOKUP(Logs_Reseau_Part5[[#This Row],[Cell_ID]],Registre_Maintenance_Part[[ID_Antenne]:[Colonne2]],6,FALSE),"")</f>
        <v>ZTE</v>
      </c>
    </row>
    <row r="317" spans="1:11" x14ac:dyDescent="0.3">
      <c r="A317" t="s">
        <v>781</v>
      </c>
      <c r="B317" s="1">
        <v>45201.224999999999</v>
      </c>
      <c r="C317" s="2">
        <v>45201.224999999999</v>
      </c>
      <c r="D317" t="s">
        <v>799</v>
      </c>
      <c r="E317">
        <v>83</v>
      </c>
      <c r="F317" t="s">
        <v>737</v>
      </c>
      <c r="G317" t="str">
        <f>IFERROR(VLOOKUP(Logs_Reseau_Part5[[#This Row],[Cell_ID]],Registre_Maintenance_Part[[ID_Antenne]:[Colonne2]],2,FALSE),"")</f>
        <v>Nord-Kivu</v>
      </c>
      <c r="H317">
        <f>IFERROR(VLOOKUP(Logs_Reseau_Part5[[#This Row],[Cell_ID]],Registre_Maintenance_Part[[ID_Antenne]:[Colonne2]],3,FALSE),"")</f>
        <v>0.82868600000000003</v>
      </c>
      <c r="I317">
        <f>IFERROR(VLOOKUP(Logs_Reseau_Part5[[#This Row],[Cell_ID]],Registre_Maintenance_Part[[ID_Antenne]:[Colonne2]],4,FALSE),"")</f>
        <v>26.958843999999999</v>
      </c>
      <c r="J317" t="str">
        <f>IFERROR(VLOOKUP(Logs_Reseau_Part5[[#This Row],[Cell_ID]],Registre_Maintenance_Part[[ID_Antenne]:[Colonne2]],5,FALSE),"")</f>
        <v>5G</v>
      </c>
      <c r="K317" t="str">
        <f>IFERROR(VLOOKUP(Logs_Reseau_Part5[[#This Row],[Cell_ID]],Registre_Maintenance_Part[[ID_Antenne]:[Colonne2]],6,FALSE),"")</f>
        <v>ZTE</v>
      </c>
    </row>
    <row r="318" spans="1:11" x14ac:dyDescent="0.3">
      <c r="A318" t="s">
        <v>1384</v>
      </c>
      <c r="B318" s="1">
        <v>45201.877083333333</v>
      </c>
      <c r="C318" s="2">
        <v>45201.877083333333</v>
      </c>
      <c r="D318" t="s">
        <v>902</v>
      </c>
      <c r="E318">
        <v>82</v>
      </c>
      <c r="F318" t="s">
        <v>739</v>
      </c>
      <c r="G318" t="str">
        <f>IFERROR(VLOOKUP(Logs_Reseau_Part5[[#This Row],[Cell_ID]],Registre_Maintenance_Part[[ID_Antenne]:[Colonne2]],2,FALSE),"")</f>
        <v>Nord-Kivu</v>
      </c>
      <c r="H318">
        <f>IFERROR(VLOOKUP(Logs_Reseau_Part5[[#This Row],[Cell_ID]],Registre_Maintenance_Part[[ID_Antenne]:[Colonne2]],3,FALSE),"")</f>
        <v>-12.336202</v>
      </c>
      <c r="I318">
        <f>IFERROR(VLOOKUP(Logs_Reseau_Part5[[#This Row],[Cell_ID]],Registre_Maintenance_Part[[ID_Antenne]:[Colonne2]],4,FALSE),"")</f>
        <v>13.693683999999999</v>
      </c>
      <c r="J318" t="str">
        <f>IFERROR(VLOOKUP(Logs_Reseau_Part5[[#This Row],[Cell_ID]],Registre_Maintenance_Part[[ID_Antenne]:[Colonne2]],5,FALSE),"")</f>
        <v>5G</v>
      </c>
      <c r="K318" t="str">
        <f>IFERROR(VLOOKUP(Logs_Reseau_Part5[[#This Row],[Cell_ID]],Registre_Maintenance_Part[[ID_Antenne]:[Colonne2]],6,FALSE),"")</f>
        <v>Huawei</v>
      </c>
    </row>
    <row r="319" spans="1:11" x14ac:dyDescent="0.3">
      <c r="A319" t="s">
        <v>732</v>
      </c>
      <c r="B319" s="1">
        <v>45201.884722222218</v>
      </c>
      <c r="C319" s="2">
        <v>45201.884722222218</v>
      </c>
      <c r="D319" t="s">
        <v>760</v>
      </c>
      <c r="E319">
        <v>54</v>
      </c>
      <c r="F319" t="s">
        <v>739</v>
      </c>
      <c r="G319" t="str">
        <f>IFERROR(VLOOKUP(Logs_Reseau_Part5[[#This Row],[Cell_ID]],Registre_Maintenance_Part[[ID_Antenne]:[Colonne2]],2,FALSE),"")</f>
        <v>Nord-Kivu</v>
      </c>
      <c r="H319">
        <f>IFERROR(VLOOKUP(Logs_Reseau_Part5[[#This Row],[Cell_ID]],Registre_Maintenance_Part[[ID_Antenne]:[Colonne2]],3,FALSE),"")</f>
        <v>4.6287159999999998</v>
      </c>
      <c r="I319">
        <f>IFERROR(VLOOKUP(Logs_Reseau_Part5[[#This Row],[Cell_ID]],Registre_Maintenance_Part[[ID_Antenne]:[Colonne2]],4,FALSE),"")</f>
        <v>19.407077999999998</v>
      </c>
      <c r="J319" t="str">
        <f>IFERROR(VLOOKUP(Logs_Reseau_Part5[[#This Row],[Cell_ID]],Registre_Maintenance_Part[[ID_Antenne]:[Colonne2]],5,FALSE),"")</f>
        <v>4G</v>
      </c>
      <c r="K319" t="str">
        <f>IFERROR(VLOOKUP(Logs_Reseau_Part5[[#This Row],[Cell_ID]],Registre_Maintenance_Part[[ID_Antenne]:[Colonne2]],6,FALSE),"")</f>
        <v>Ericsson</v>
      </c>
    </row>
    <row r="320" spans="1:11" x14ac:dyDescent="0.3">
      <c r="A320" t="s">
        <v>1061</v>
      </c>
      <c r="B320" s="1">
        <v>45202.161805555559</v>
      </c>
      <c r="C320" s="2">
        <v>45202.161805555559</v>
      </c>
      <c r="D320" t="s">
        <v>1064</v>
      </c>
      <c r="E320">
        <v>61</v>
      </c>
      <c r="F320" t="s">
        <v>737</v>
      </c>
      <c r="G320" t="str">
        <f>IFERROR(VLOOKUP(Logs_Reseau_Part5[[#This Row],[Cell_ID]],Registre_Maintenance_Part[[ID_Antenne]:[Colonne2]],2,FALSE),"")</f>
        <v>Nord-Kivu</v>
      </c>
      <c r="H320">
        <f>IFERROR(VLOOKUP(Logs_Reseau_Part5[[#This Row],[Cell_ID]],Registre_Maintenance_Part[[ID_Antenne]:[Colonne2]],3,FALSE),"")</f>
        <v>-6.5529849999999996</v>
      </c>
      <c r="I320">
        <f>IFERROR(VLOOKUP(Logs_Reseau_Part5[[#This Row],[Cell_ID]],Registre_Maintenance_Part[[ID_Antenne]:[Colonne2]],4,FALSE),"")</f>
        <v>21.990606</v>
      </c>
      <c r="J320" t="str">
        <f>IFERROR(VLOOKUP(Logs_Reseau_Part5[[#This Row],[Cell_ID]],Registre_Maintenance_Part[[ID_Antenne]:[Colonne2]],5,FALSE),"")</f>
        <v>3G</v>
      </c>
      <c r="K320" t="str">
        <f>IFERROR(VLOOKUP(Logs_Reseau_Part5[[#This Row],[Cell_ID]],Registre_Maintenance_Part[[ID_Antenne]:[Colonne2]],6,FALSE),"")</f>
        <v>Huawei</v>
      </c>
    </row>
    <row r="321" spans="1:11" x14ac:dyDescent="0.3">
      <c r="A321" t="s">
        <v>825</v>
      </c>
      <c r="B321" s="1">
        <v>45203.997916666667</v>
      </c>
      <c r="C321" s="2">
        <v>45203.997916666667</v>
      </c>
      <c r="D321" t="s">
        <v>841</v>
      </c>
      <c r="E321">
        <v>101</v>
      </c>
      <c r="F321" t="s">
        <v>739</v>
      </c>
      <c r="G321" t="str">
        <f>IFERROR(VLOOKUP(Logs_Reseau_Part5[[#This Row],[Cell_ID]],Registre_Maintenance_Part[[ID_Antenne]:[Colonne2]],2,FALSE),"")</f>
        <v>Nord-Kivu</v>
      </c>
      <c r="H321">
        <f>IFERROR(VLOOKUP(Logs_Reseau_Part5[[#This Row],[Cell_ID]],Registre_Maintenance_Part[[ID_Antenne]:[Colonne2]],3,FALSE),"")</f>
        <v>-6.3148239999999998</v>
      </c>
      <c r="I321">
        <f>IFERROR(VLOOKUP(Logs_Reseau_Part5[[#This Row],[Cell_ID]],Registre_Maintenance_Part[[ID_Antenne]:[Colonne2]],4,FALSE),"")</f>
        <v>24.507498999999999</v>
      </c>
      <c r="J321" t="str">
        <f>IFERROR(VLOOKUP(Logs_Reseau_Part5[[#This Row],[Cell_ID]],Registre_Maintenance_Part[[ID_Antenne]:[Colonne2]],5,FALSE),"")</f>
        <v>3G</v>
      </c>
      <c r="K321" t="str">
        <f>IFERROR(VLOOKUP(Logs_Reseau_Part5[[#This Row],[Cell_ID]],Registre_Maintenance_Part[[ID_Antenne]:[Colonne2]],6,FALSE),"")</f>
        <v>ZTE</v>
      </c>
    </row>
    <row r="322" spans="1:11" x14ac:dyDescent="0.3">
      <c r="A322" t="s">
        <v>1026</v>
      </c>
      <c r="B322" s="1">
        <v>45204.47152777778</v>
      </c>
      <c r="C322" s="2">
        <v>45204.47152777778</v>
      </c>
      <c r="D322" t="s">
        <v>1046</v>
      </c>
      <c r="E322">
        <v>10</v>
      </c>
      <c r="F322" t="s">
        <v>734</v>
      </c>
      <c r="G322" t="str">
        <f>IFERROR(VLOOKUP(Logs_Reseau_Part5[[#This Row],[Cell_ID]],Registre_Maintenance_Part[[ID_Antenne]:[Colonne2]],2,FALSE),"")</f>
        <v>Nord-Kivu</v>
      </c>
      <c r="H322">
        <f>IFERROR(VLOOKUP(Logs_Reseau_Part5[[#This Row],[Cell_ID]],Registre_Maintenance_Part[[ID_Antenne]:[Colonne2]],3,FALSE),"")</f>
        <v>4.9455159999999996</v>
      </c>
      <c r="I322">
        <f>IFERROR(VLOOKUP(Logs_Reseau_Part5[[#This Row],[Cell_ID]],Registre_Maintenance_Part[[ID_Antenne]:[Colonne2]],4,FALSE),"")</f>
        <v>23.647746000000001</v>
      </c>
      <c r="J322" t="str">
        <f>IFERROR(VLOOKUP(Logs_Reseau_Part5[[#This Row],[Cell_ID]],Registre_Maintenance_Part[[ID_Antenne]:[Colonne2]],5,FALSE),"")</f>
        <v>5G</v>
      </c>
      <c r="K322" t="str">
        <f>IFERROR(VLOOKUP(Logs_Reseau_Part5[[#This Row],[Cell_ID]],Registre_Maintenance_Part[[ID_Antenne]:[Colonne2]],6,FALSE),"")</f>
        <v>Huawei</v>
      </c>
    </row>
    <row r="323" spans="1:11" x14ac:dyDescent="0.3">
      <c r="A323" t="s">
        <v>1195</v>
      </c>
      <c r="B323" s="1">
        <v>45204.53125</v>
      </c>
      <c r="C323" s="2">
        <v>45204.53125</v>
      </c>
      <c r="D323" t="s">
        <v>902</v>
      </c>
      <c r="E323">
        <v>47</v>
      </c>
      <c r="F323" t="s">
        <v>734</v>
      </c>
      <c r="G323" t="str">
        <f>IFERROR(VLOOKUP(Logs_Reseau_Part5[[#This Row],[Cell_ID]],Registre_Maintenance_Part[[ID_Antenne]:[Colonne2]],2,FALSE),"")</f>
        <v>Nord-Kivu</v>
      </c>
      <c r="H323">
        <f>IFERROR(VLOOKUP(Logs_Reseau_Part5[[#This Row],[Cell_ID]],Registre_Maintenance_Part[[ID_Antenne]:[Colonne2]],3,FALSE),"")</f>
        <v>-12.336202</v>
      </c>
      <c r="I323">
        <f>IFERROR(VLOOKUP(Logs_Reseau_Part5[[#This Row],[Cell_ID]],Registre_Maintenance_Part[[ID_Antenne]:[Colonne2]],4,FALSE),"")</f>
        <v>13.693683999999999</v>
      </c>
      <c r="J323" t="str">
        <f>IFERROR(VLOOKUP(Logs_Reseau_Part5[[#This Row],[Cell_ID]],Registre_Maintenance_Part[[ID_Antenne]:[Colonne2]],5,FALSE),"")</f>
        <v>5G</v>
      </c>
      <c r="K323" t="str">
        <f>IFERROR(VLOOKUP(Logs_Reseau_Part5[[#This Row],[Cell_ID]],Registre_Maintenance_Part[[ID_Antenne]:[Colonne2]],6,FALSE),"")</f>
        <v>Huawei</v>
      </c>
    </row>
    <row r="324" spans="1:11" x14ac:dyDescent="0.3">
      <c r="A324" t="s">
        <v>1263</v>
      </c>
      <c r="B324" s="1">
        <v>45205.463888888888</v>
      </c>
      <c r="C324" s="2">
        <v>45205.463888888888</v>
      </c>
      <c r="D324" t="s">
        <v>1269</v>
      </c>
      <c r="E324">
        <v>103</v>
      </c>
      <c r="F324" t="s">
        <v>734</v>
      </c>
      <c r="G324" t="str">
        <f>IFERROR(VLOOKUP(Logs_Reseau_Part5[[#This Row],[Cell_ID]],Registre_Maintenance_Part[[ID_Antenne]:[Colonne2]],2,FALSE),"")</f>
        <v>Nord-Kivu</v>
      </c>
      <c r="H324">
        <f>IFERROR(VLOOKUP(Logs_Reseau_Part5[[#This Row],[Cell_ID]],Registre_Maintenance_Part[[ID_Antenne]:[Colonne2]],3,FALSE),"")</f>
        <v>-0.17258100000000001</v>
      </c>
      <c r="I324">
        <f>IFERROR(VLOOKUP(Logs_Reseau_Part5[[#This Row],[Cell_ID]],Registre_Maintenance_Part[[ID_Antenne]:[Colonne2]],4,FALSE),"")</f>
        <v>23.775555000000001</v>
      </c>
      <c r="J324" t="str">
        <f>IFERROR(VLOOKUP(Logs_Reseau_Part5[[#This Row],[Cell_ID]],Registre_Maintenance_Part[[ID_Antenne]:[Colonne2]],5,FALSE),"")</f>
        <v>5G</v>
      </c>
      <c r="K324" t="str">
        <f>IFERROR(VLOOKUP(Logs_Reseau_Part5[[#This Row],[Cell_ID]],Registre_Maintenance_Part[[ID_Antenne]:[Colonne2]],6,FALSE),"")</f>
        <v>Nokia</v>
      </c>
    </row>
    <row r="325" spans="1:11" x14ac:dyDescent="0.3">
      <c r="A325" t="s">
        <v>1116</v>
      </c>
      <c r="B325" s="1">
        <v>45207.960416666669</v>
      </c>
      <c r="C325" s="2">
        <v>45207.960416666669</v>
      </c>
      <c r="D325" t="s">
        <v>902</v>
      </c>
      <c r="E325">
        <v>23</v>
      </c>
      <c r="F325" t="s">
        <v>739</v>
      </c>
      <c r="G325" t="str">
        <f>IFERROR(VLOOKUP(Logs_Reseau_Part5[[#This Row],[Cell_ID]],Registre_Maintenance_Part[[ID_Antenne]:[Colonne2]],2,FALSE),"")</f>
        <v>Nord-Kivu</v>
      </c>
      <c r="H325">
        <f>IFERROR(VLOOKUP(Logs_Reseau_Part5[[#This Row],[Cell_ID]],Registre_Maintenance_Part[[ID_Antenne]:[Colonne2]],3,FALSE),"")</f>
        <v>-12.336202</v>
      </c>
      <c r="I325">
        <f>IFERROR(VLOOKUP(Logs_Reseau_Part5[[#This Row],[Cell_ID]],Registre_Maintenance_Part[[ID_Antenne]:[Colonne2]],4,FALSE),"")</f>
        <v>13.693683999999999</v>
      </c>
      <c r="J325" t="str">
        <f>IFERROR(VLOOKUP(Logs_Reseau_Part5[[#This Row],[Cell_ID]],Registre_Maintenance_Part[[ID_Antenne]:[Colonne2]],5,FALSE),"")</f>
        <v>5G</v>
      </c>
      <c r="K325" t="str">
        <f>IFERROR(VLOOKUP(Logs_Reseau_Part5[[#This Row],[Cell_ID]],Registre_Maintenance_Part[[ID_Antenne]:[Colonne2]],6,FALSE),"")</f>
        <v>Huawei</v>
      </c>
    </row>
    <row r="326" spans="1:11" x14ac:dyDescent="0.3">
      <c r="A326" t="s">
        <v>732</v>
      </c>
      <c r="B326" s="1">
        <v>45207.982638888891</v>
      </c>
      <c r="C326" s="2">
        <v>45207.982638888891</v>
      </c>
      <c r="D326" t="s">
        <v>780</v>
      </c>
      <c r="E326">
        <v>25</v>
      </c>
      <c r="F326" t="s">
        <v>739</v>
      </c>
      <c r="G326" t="str">
        <f>IFERROR(VLOOKUP(Logs_Reseau_Part5[[#This Row],[Cell_ID]],Registre_Maintenance_Part[[ID_Antenne]:[Colonne2]],2,FALSE),"")</f>
        <v>Nord-Kivu</v>
      </c>
      <c r="H326">
        <f>IFERROR(VLOOKUP(Logs_Reseau_Part5[[#This Row],[Cell_ID]],Registre_Maintenance_Part[[ID_Antenne]:[Colonne2]],3,FALSE),"")</f>
        <v>-11.866133</v>
      </c>
      <c r="I326">
        <f>IFERROR(VLOOKUP(Logs_Reseau_Part5[[#This Row],[Cell_ID]],Registre_Maintenance_Part[[ID_Antenne]:[Colonne2]],4,FALSE),"")</f>
        <v>27.068932</v>
      </c>
      <c r="J326" t="str">
        <f>IFERROR(VLOOKUP(Logs_Reseau_Part5[[#This Row],[Cell_ID]],Registre_Maintenance_Part[[ID_Antenne]:[Colonne2]],5,FALSE),"")</f>
        <v>3G</v>
      </c>
      <c r="K326" t="str">
        <f>IFERROR(VLOOKUP(Logs_Reseau_Part5[[#This Row],[Cell_ID]],Registre_Maintenance_Part[[ID_Antenne]:[Colonne2]],6,FALSE),"")</f>
        <v>Huawei</v>
      </c>
    </row>
    <row r="327" spans="1:11" x14ac:dyDescent="0.3">
      <c r="A327" t="s">
        <v>825</v>
      </c>
      <c r="B327" s="1">
        <v>45208.072916666657</v>
      </c>
      <c r="C327" s="2">
        <v>45208.072916666657</v>
      </c>
      <c r="D327" t="s">
        <v>834</v>
      </c>
      <c r="E327">
        <v>68</v>
      </c>
      <c r="F327" t="s">
        <v>734</v>
      </c>
      <c r="G327" t="str">
        <f>IFERROR(VLOOKUP(Logs_Reseau_Part5[[#This Row],[Cell_ID]],Registre_Maintenance_Part[[ID_Antenne]:[Colonne2]],2,FALSE),"")</f>
        <v>Nord-Kivu</v>
      </c>
      <c r="H327">
        <f>IFERROR(VLOOKUP(Logs_Reseau_Part5[[#This Row],[Cell_ID]],Registre_Maintenance_Part[[ID_Antenne]:[Colonne2]],3,FALSE),"")</f>
        <v>1.017161</v>
      </c>
      <c r="I327">
        <f>IFERROR(VLOOKUP(Logs_Reseau_Part5[[#This Row],[Cell_ID]],Registre_Maintenance_Part[[ID_Antenne]:[Colonne2]],4,FALSE),"")</f>
        <v>16.519689</v>
      </c>
      <c r="J327" t="str">
        <f>IFERROR(VLOOKUP(Logs_Reseau_Part5[[#This Row],[Cell_ID]],Registre_Maintenance_Part[[ID_Antenne]:[Colonne2]],5,FALSE),"")</f>
        <v>3G</v>
      </c>
      <c r="K327" t="str">
        <f>IFERROR(VLOOKUP(Logs_Reseau_Part5[[#This Row],[Cell_ID]],Registre_Maintenance_Part[[ID_Antenne]:[Colonne2]],6,FALSE),"")</f>
        <v>Nokia</v>
      </c>
    </row>
    <row r="328" spans="1:11" x14ac:dyDescent="0.3">
      <c r="A328" t="s">
        <v>1061</v>
      </c>
      <c r="B328" s="1">
        <v>45208.959027777782</v>
      </c>
      <c r="C328" s="2">
        <v>45208.959027777782</v>
      </c>
      <c r="D328" t="s">
        <v>799</v>
      </c>
      <c r="E328">
        <v>98</v>
      </c>
      <c r="F328" t="s">
        <v>739</v>
      </c>
      <c r="G328" t="str">
        <f>IFERROR(VLOOKUP(Logs_Reseau_Part5[[#This Row],[Cell_ID]],Registre_Maintenance_Part[[ID_Antenne]:[Colonne2]],2,FALSE),"")</f>
        <v>Nord-Kivu</v>
      </c>
      <c r="H328">
        <f>IFERROR(VLOOKUP(Logs_Reseau_Part5[[#This Row],[Cell_ID]],Registre_Maintenance_Part[[ID_Antenne]:[Colonne2]],3,FALSE),"")</f>
        <v>0.82868600000000003</v>
      </c>
      <c r="I328">
        <f>IFERROR(VLOOKUP(Logs_Reseau_Part5[[#This Row],[Cell_ID]],Registre_Maintenance_Part[[ID_Antenne]:[Colonne2]],4,FALSE),"")</f>
        <v>26.958843999999999</v>
      </c>
      <c r="J328" t="str">
        <f>IFERROR(VLOOKUP(Logs_Reseau_Part5[[#This Row],[Cell_ID]],Registre_Maintenance_Part[[ID_Antenne]:[Colonne2]],5,FALSE),"")</f>
        <v>5G</v>
      </c>
      <c r="K328" t="str">
        <f>IFERROR(VLOOKUP(Logs_Reseau_Part5[[#This Row],[Cell_ID]],Registre_Maintenance_Part[[ID_Antenne]:[Colonne2]],6,FALSE),"")</f>
        <v>ZTE</v>
      </c>
    </row>
    <row r="329" spans="1:11" x14ac:dyDescent="0.3">
      <c r="A329" t="s">
        <v>1167</v>
      </c>
      <c r="B329" s="1">
        <v>45210.39166666667</v>
      </c>
      <c r="C329" s="2">
        <v>45210.39166666667</v>
      </c>
      <c r="D329" t="s">
        <v>834</v>
      </c>
      <c r="E329">
        <v>85</v>
      </c>
      <c r="F329" t="s">
        <v>737</v>
      </c>
      <c r="G329" t="str">
        <f>IFERROR(VLOOKUP(Logs_Reseau_Part5[[#This Row],[Cell_ID]],Registre_Maintenance_Part[[ID_Antenne]:[Colonne2]],2,FALSE),"")</f>
        <v>Nord-Kivu</v>
      </c>
      <c r="H329">
        <f>IFERROR(VLOOKUP(Logs_Reseau_Part5[[#This Row],[Cell_ID]],Registre_Maintenance_Part[[ID_Antenne]:[Colonne2]],3,FALSE),"")</f>
        <v>1.017161</v>
      </c>
      <c r="I329">
        <f>IFERROR(VLOOKUP(Logs_Reseau_Part5[[#This Row],[Cell_ID]],Registre_Maintenance_Part[[ID_Antenne]:[Colonne2]],4,FALSE),"")</f>
        <v>16.519689</v>
      </c>
      <c r="J329" t="str">
        <f>IFERROR(VLOOKUP(Logs_Reseau_Part5[[#This Row],[Cell_ID]],Registre_Maintenance_Part[[ID_Antenne]:[Colonne2]],5,FALSE),"")</f>
        <v>3G</v>
      </c>
      <c r="K329" t="str">
        <f>IFERROR(VLOOKUP(Logs_Reseau_Part5[[#This Row],[Cell_ID]],Registre_Maintenance_Part[[ID_Antenne]:[Colonne2]],6,FALSE),"")</f>
        <v>Nokia</v>
      </c>
    </row>
    <row r="330" spans="1:11" x14ac:dyDescent="0.3">
      <c r="A330" t="s">
        <v>863</v>
      </c>
      <c r="B330" s="1">
        <v>45211.234722222223</v>
      </c>
      <c r="C330" s="2">
        <v>45211.234722222223</v>
      </c>
      <c r="D330" t="s">
        <v>885</v>
      </c>
      <c r="E330">
        <v>62</v>
      </c>
      <c r="F330" t="s">
        <v>739</v>
      </c>
      <c r="G330" t="str">
        <f>IFERROR(VLOOKUP(Logs_Reseau_Part5[[#This Row],[Cell_ID]],Registre_Maintenance_Part[[ID_Antenne]:[Colonne2]],2,FALSE),"")</f>
        <v>Nord-Kivu</v>
      </c>
      <c r="H330">
        <f>IFERROR(VLOOKUP(Logs_Reseau_Part5[[#This Row],[Cell_ID]],Registre_Maintenance_Part[[ID_Antenne]:[Colonne2]],3,FALSE),"")</f>
        <v>-2.3102109999999998</v>
      </c>
      <c r="I330">
        <f>IFERROR(VLOOKUP(Logs_Reseau_Part5[[#This Row],[Cell_ID]],Registre_Maintenance_Part[[ID_Antenne]:[Colonne2]],4,FALSE),"")</f>
        <v>12.362488000000001</v>
      </c>
      <c r="J330" t="str">
        <f>IFERROR(VLOOKUP(Logs_Reseau_Part5[[#This Row],[Cell_ID]],Registre_Maintenance_Part[[ID_Antenne]:[Colonne2]],5,FALSE),"")</f>
        <v>5G</v>
      </c>
      <c r="K330" t="str">
        <f>IFERROR(VLOOKUP(Logs_Reseau_Part5[[#This Row],[Cell_ID]],Registre_Maintenance_Part[[ID_Antenne]:[Colonne2]],6,FALSE),"")</f>
        <v>Nokia</v>
      </c>
    </row>
    <row r="331" spans="1:11" x14ac:dyDescent="0.3">
      <c r="A331" t="s">
        <v>1363</v>
      </c>
      <c r="B331" s="1">
        <v>45211.424305555563</v>
      </c>
      <c r="C331" s="2">
        <v>45211.424305555563</v>
      </c>
      <c r="D331" t="s">
        <v>929</v>
      </c>
      <c r="E331">
        <v>116</v>
      </c>
      <c r="F331" t="s">
        <v>737</v>
      </c>
      <c r="G331" t="str">
        <f>IFERROR(VLOOKUP(Logs_Reseau_Part5[[#This Row],[Cell_ID]],Registre_Maintenance_Part[[ID_Antenne]:[Colonne2]],2,FALSE),"")</f>
        <v>Nord-Kivu</v>
      </c>
      <c r="H331">
        <f>IFERROR(VLOOKUP(Logs_Reseau_Part5[[#This Row],[Cell_ID]],Registre_Maintenance_Part[[ID_Antenne]:[Colonne2]],3,FALSE),"")</f>
        <v>-1.8555980000000001</v>
      </c>
      <c r="I331">
        <f>IFERROR(VLOOKUP(Logs_Reseau_Part5[[#This Row],[Cell_ID]],Registre_Maintenance_Part[[ID_Antenne]:[Colonne2]],4,FALSE),"")</f>
        <v>30.421918000000002</v>
      </c>
      <c r="J331" t="str">
        <f>IFERROR(VLOOKUP(Logs_Reseau_Part5[[#This Row],[Cell_ID]],Registre_Maintenance_Part[[ID_Antenne]:[Colonne2]],5,FALSE),"")</f>
        <v>3G</v>
      </c>
      <c r="K331" t="str">
        <f>IFERROR(VLOOKUP(Logs_Reseau_Part5[[#This Row],[Cell_ID]],Registre_Maintenance_Part[[ID_Antenne]:[Colonne2]],6,FALSE),"")</f>
        <v>ZTE</v>
      </c>
    </row>
    <row r="332" spans="1:11" x14ac:dyDescent="0.3">
      <c r="A332" t="s">
        <v>941</v>
      </c>
      <c r="B332" s="1">
        <v>45211.477083333331</v>
      </c>
      <c r="C332" s="2">
        <v>45211.477083333331</v>
      </c>
      <c r="D332" t="s">
        <v>760</v>
      </c>
      <c r="E332">
        <v>111</v>
      </c>
      <c r="F332" t="s">
        <v>734</v>
      </c>
      <c r="G332" t="str">
        <f>IFERROR(VLOOKUP(Logs_Reseau_Part5[[#This Row],[Cell_ID]],Registre_Maintenance_Part[[ID_Antenne]:[Colonne2]],2,FALSE),"")</f>
        <v>Nord-Kivu</v>
      </c>
      <c r="H332">
        <f>IFERROR(VLOOKUP(Logs_Reseau_Part5[[#This Row],[Cell_ID]],Registre_Maintenance_Part[[ID_Antenne]:[Colonne2]],3,FALSE),"")</f>
        <v>4.6287159999999998</v>
      </c>
      <c r="I332">
        <f>IFERROR(VLOOKUP(Logs_Reseau_Part5[[#This Row],[Cell_ID]],Registre_Maintenance_Part[[ID_Antenne]:[Colonne2]],4,FALSE),"")</f>
        <v>19.407077999999998</v>
      </c>
      <c r="J332" t="str">
        <f>IFERROR(VLOOKUP(Logs_Reseau_Part5[[#This Row],[Cell_ID]],Registre_Maintenance_Part[[ID_Antenne]:[Colonne2]],5,FALSE),"")</f>
        <v>4G</v>
      </c>
      <c r="K332" t="str">
        <f>IFERROR(VLOOKUP(Logs_Reseau_Part5[[#This Row],[Cell_ID]],Registre_Maintenance_Part[[ID_Antenne]:[Colonne2]],6,FALSE),"")</f>
        <v>Ericsson</v>
      </c>
    </row>
    <row r="333" spans="1:11" x14ac:dyDescent="0.3">
      <c r="A333" t="s">
        <v>1384</v>
      </c>
      <c r="B333" s="1">
        <v>45213.907638888893</v>
      </c>
      <c r="C333" s="2">
        <v>45213.907638888893</v>
      </c>
      <c r="D333" t="s">
        <v>1357</v>
      </c>
      <c r="E333">
        <v>52</v>
      </c>
      <c r="F333" t="s">
        <v>734</v>
      </c>
      <c r="G333" t="str">
        <f>IFERROR(VLOOKUP(Logs_Reseau_Part5[[#This Row],[Cell_ID]],Registre_Maintenance_Part[[ID_Antenne]:[Colonne2]],2,FALSE),"")</f>
        <v>Nord-Kivu</v>
      </c>
      <c r="H333">
        <f>IFERROR(VLOOKUP(Logs_Reseau_Part5[[#This Row],[Cell_ID]],Registre_Maintenance_Part[[ID_Antenne]:[Colonne2]],3,FALSE),"")</f>
        <v>-10.298385</v>
      </c>
      <c r="I333">
        <f>IFERROR(VLOOKUP(Logs_Reseau_Part5[[#This Row],[Cell_ID]],Registre_Maintenance_Part[[ID_Antenne]:[Colonne2]],4,FALSE),"")</f>
        <v>29.698117</v>
      </c>
      <c r="J333" t="str">
        <f>IFERROR(VLOOKUP(Logs_Reseau_Part5[[#This Row],[Cell_ID]],Registre_Maintenance_Part[[ID_Antenne]:[Colonne2]],5,FALSE),"")</f>
        <v>5G</v>
      </c>
      <c r="K333" t="str">
        <f>IFERROR(VLOOKUP(Logs_Reseau_Part5[[#This Row],[Cell_ID]],Registre_Maintenance_Part[[ID_Antenne]:[Colonne2]],6,FALSE),"")</f>
        <v>Nokia</v>
      </c>
    </row>
    <row r="334" spans="1:11" x14ac:dyDescent="0.3">
      <c r="A334" t="s">
        <v>1290</v>
      </c>
      <c r="B334" s="1">
        <v>45214.740972222222</v>
      </c>
      <c r="C334" s="2">
        <v>45214.740972222222</v>
      </c>
      <c r="D334" t="s">
        <v>979</v>
      </c>
      <c r="E334">
        <v>8</v>
      </c>
      <c r="F334" t="s">
        <v>734</v>
      </c>
      <c r="G334" t="str">
        <f>IFERROR(VLOOKUP(Logs_Reseau_Part5[[#This Row],[Cell_ID]],Registre_Maintenance_Part[[ID_Antenne]:[Colonne2]],2,FALSE),"")</f>
        <v>Nord-Kivu</v>
      </c>
      <c r="H334">
        <f>IFERROR(VLOOKUP(Logs_Reseau_Part5[[#This Row],[Cell_ID]],Registre_Maintenance_Part[[ID_Antenne]:[Colonne2]],3,FALSE),"")</f>
        <v>-10.846306999999999</v>
      </c>
      <c r="I334">
        <f>IFERROR(VLOOKUP(Logs_Reseau_Part5[[#This Row],[Cell_ID]],Registre_Maintenance_Part[[ID_Antenne]:[Colonne2]],4,FALSE),"")</f>
        <v>19.201827999999999</v>
      </c>
      <c r="J334" t="str">
        <f>IFERROR(VLOOKUP(Logs_Reseau_Part5[[#This Row],[Cell_ID]],Registre_Maintenance_Part[[ID_Antenne]:[Colonne2]],5,FALSE),"")</f>
        <v>4G</v>
      </c>
      <c r="K334" t="str">
        <f>IFERROR(VLOOKUP(Logs_Reseau_Part5[[#This Row],[Cell_ID]],Registre_Maintenance_Part[[ID_Antenne]:[Colonne2]],6,FALSE),"")</f>
        <v>Ericsson</v>
      </c>
    </row>
    <row r="335" spans="1:11" x14ac:dyDescent="0.3">
      <c r="A335" t="s">
        <v>1026</v>
      </c>
      <c r="B335" s="1">
        <v>45215.67291666667</v>
      </c>
      <c r="C335" s="2">
        <v>45215.67291666667</v>
      </c>
      <c r="D335" t="s">
        <v>780</v>
      </c>
      <c r="E335">
        <v>117</v>
      </c>
      <c r="F335" t="s">
        <v>739</v>
      </c>
      <c r="G335" t="str">
        <f>IFERROR(VLOOKUP(Logs_Reseau_Part5[[#This Row],[Cell_ID]],Registre_Maintenance_Part[[ID_Antenne]:[Colonne2]],2,FALSE),"")</f>
        <v>Nord-Kivu</v>
      </c>
      <c r="H335">
        <f>IFERROR(VLOOKUP(Logs_Reseau_Part5[[#This Row],[Cell_ID]],Registre_Maintenance_Part[[ID_Antenne]:[Colonne2]],3,FALSE),"")</f>
        <v>-11.866133</v>
      </c>
      <c r="I335">
        <f>IFERROR(VLOOKUP(Logs_Reseau_Part5[[#This Row],[Cell_ID]],Registre_Maintenance_Part[[ID_Antenne]:[Colonne2]],4,FALSE),"")</f>
        <v>27.068932</v>
      </c>
      <c r="J335" t="str">
        <f>IFERROR(VLOOKUP(Logs_Reseau_Part5[[#This Row],[Cell_ID]],Registre_Maintenance_Part[[ID_Antenne]:[Colonne2]],5,FALSE),"")</f>
        <v>3G</v>
      </c>
      <c r="K335" t="str">
        <f>IFERROR(VLOOKUP(Logs_Reseau_Part5[[#This Row],[Cell_ID]],Registre_Maintenance_Part[[ID_Antenne]:[Colonne2]],6,FALSE),"")</f>
        <v>Huawei</v>
      </c>
    </row>
    <row r="336" spans="1:11" x14ac:dyDescent="0.3">
      <c r="A336" t="s">
        <v>825</v>
      </c>
      <c r="B336" s="1">
        <v>45216.14166666667</v>
      </c>
      <c r="C336" s="2">
        <v>45216.14166666667</v>
      </c>
      <c r="D336" t="s">
        <v>832</v>
      </c>
      <c r="E336">
        <v>94</v>
      </c>
      <c r="F336" t="s">
        <v>734</v>
      </c>
      <c r="G336" t="str">
        <f>IFERROR(VLOOKUP(Logs_Reseau_Part5[[#This Row],[Cell_ID]],Registre_Maintenance_Part[[ID_Antenne]:[Colonne2]],2,FALSE),"")</f>
        <v>Nord-Kivu</v>
      </c>
      <c r="H336">
        <f>IFERROR(VLOOKUP(Logs_Reseau_Part5[[#This Row],[Cell_ID]],Registre_Maintenance_Part[[ID_Antenne]:[Colonne2]],3,FALSE),"")</f>
        <v>1.8103860000000001</v>
      </c>
      <c r="I336">
        <f>IFERROR(VLOOKUP(Logs_Reseau_Part5[[#This Row],[Cell_ID]],Registre_Maintenance_Part[[ID_Antenne]:[Colonne2]],4,FALSE),"")</f>
        <v>15.175582</v>
      </c>
      <c r="J336" t="str">
        <f>IFERROR(VLOOKUP(Logs_Reseau_Part5[[#This Row],[Cell_ID]],Registre_Maintenance_Part[[ID_Antenne]:[Colonne2]],5,FALSE),"")</f>
        <v>3G</v>
      </c>
      <c r="K336" t="str">
        <f>IFERROR(VLOOKUP(Logs_Reseau_Part5[[#This Row],[Cell_ID]],Registre_Maintenance_Part[[ID_Antenne]:[Colonne2]],6,FALSE),"")</f>
        <v>Huawei</v>
      </c>
    </row>
    <row r="337" spans="1:11" x14ac:dyDescent="0.3">
      <c r="A337" t="s">
        <v>1263</v>
      </c>
      <c r="B337" s="1">
        <v>45216.460416666669</v>
      </c>
      <c r="C337" s="2">
        <v>45216.460416666669</v>
      </c>
      <c r="D337" t="s">
        <v>1275</v>
      </c>
      <c r="E337">
        <v>36</v>
      </c>
      <c r="F337" t="s">
        <v>739</v>
      </c>
      <c r="G337" t="str">
        <f>IFERROR(VLOOKUP(Logs_Reseau_Part5[[#This Row],[Cell_ID]],Registre_Maintenance_Part[[ID_Antenne]:[Colonne2]],2,FALSE),"")</f>
        <v>Nord-Kivu</v>
      </c>
      <c r="H337">
        <f>IFERROR(VLOOKUP(Logs_Reseau_Part5[[#This Row],[Cell_ID]],Registre_Maintenance_Part[[ID_Antenne]:[Colonne2]],3,FALSE),"")</f>
        <v>-11.231472</v>
      </c>
      <c r="I337">
        <f>IFERROR(VLOOKUP(Logs_Reseau_Part5[[#This Row],[Cell_ID]],Registre_Maintenance_Part[[ID_Antenne]:[Colonne2]],4,FALSE),"")</f>
        <v>25.388874000000001</v>
      </c>
      <c r="J337" t="str">
        <f>IFERROR(VLOOKUP(Logs_Reseau_Part5[[#This Row],[Cell_ID]],Registre_Maintenance_Part[[ID_Antenne]:[Colonne2]],5,FALSE),"")</f>
        <v>4G</v>
      </c>
      <c r="K337" t="str">
        <f>IFERROR(VLOOKUP(Logs_Reseau_Part5[[#This Row],[Cell_ID]],Registre_Maintenance_Part[[ID_Antenne]:[Colonne2]],6,FALSE),"")</f>
        <v>Huawei</v>
      </c>
    </row>
    <row r="338" spans="1:11" x14ac:dyDescent="0.3">
      <c r="A338" t="s">
        <v>980</v>
      </c>
      <c r="B338" s="1">
        <v>45217.368750000001</v>
      </c>
      <c r="C338" s="2">
        <v>45217.368750000001</v>
      </c>
      <c r="D338" t="s">
        <v>997</v>
      </c>
      <c r="E338">
        <v>8</v>
      </c>
      <c r="F338" t="s">
        <v>734</v>
      </c>
      <c r="G338" t="str">
        <f>IFERROR(VLOOKUP(Logs_Reseau_Part5[[#This Row],[Cell_ID]],Registre_Maintenance_Part[[ID_Antenne]:[Colonne2]],2,FALSE),"")</f>
        <v>Nord-Kivu</v>
      </c>
      <c r="H338">
        <f>IFERROR(VLOOKUP(Logs_Reseau_Part5[[#This Row],[Cell_ID]],Registre_Maintenance_Part[[ID_Antenne]:[Colonne2]],3,FALSE),"")</f>
        <v>-4.1754939999999996</v>
      </c>
      <c r="I338">
        <f>IFERROR(VLOOKUP(Logs_Reseau_Part5[[#This Row],[Cell_ID]],Registre_Maintenance_Part[[ID_Antenne]:[Colonne2]],4,FALSE),"")</f>
        <v>16.704664999999999</v>
      </c>
      <c r="J338" t="str">
        <f>IFERROR(VLOOKUP(Logs_Reseau_Part5[[#This Row],[Cell_ID]],Registre_Maintenance_Part[[ID_Antenne]:[Colonne2]],5,FALSE),"")</f>
        <v>3G</v>
      </c>
      <c r="K338" t="str">
        <f>IFERROR(VLOOKUP(Logs_Reseau_Part5[[#This Row],[Cell_ID]],Registre_Maintenance_Part[[ID_Antenne]:[Colonne2]],6,FALSE),"")</f>
        <v>Ericsson</v>
      </c>
    </row>
    <row r="339" spans="1:11" x14ac:dyDescent="0.3">
      <c r="A339" t="s">
        <v>1406</v>
      </c>
      <c r="B339" s="1">
        <v>45218.331944444442</v>
      </c>
      <c r="C339" s="2">
        <v>45218.331944444442</v>
      </c>
      <c r="D339" t="s">
        <v>929</v>
      </c>
      <c r="E339">
        <v>15</v>
      </c>
      <c r="F339" t="s">
        <v>739</v>
      </c>
      <c r="G339" t="str">
        <f>IFERROR(VLOOKUP(Logs_Reseau_Part5[[#This Row],[Cell_ID]],Registre_Maintenance_Part[[ID_Antenne]:[Colonne2]],2,FALSE),"")</f>
        <v>Nord-Kivu</v>
      </c>
      <c r="H339">
        <f>IFERROR(VLOOKUP(Logs_Reseau_Part5[[#This Row],[Cell_ID]],Registre_Maintenance_Part[[ID_Antenne]:[Colonne2]],3,FALSE),"")</f>
        <v>-1.8555980000000001</v>
      </c>
      <c r="I339">
        <f>IFERROR(VLOOKUP(Logs_Reseau_Part5[[#This Row],[Cell_ID]],Registre_Maintenance_Part[[ID_Antenne]:[Colonne2]],4,FALSE),"")</f>
        <v>30.421918000000002</v>
      </c>
      <c r="J339" t="str">
        <f>IFERROR(VLOOKUP(Logs_Reseau_Part5[[#This Row],[Cell_ID]],Registre_Maintenance_Part[[ID_Antenne]:[Colonne2]],5,FALSE),"")</f>
        <v>3G</v>
      </c>
      <c r="K339" t="str">
        <f>IFERROR(VLOOKUP(Logs_Reseau_Part5[[#This Row],[Cell_ID]],Registre_Maintenance_Part[[ID_Antenne]:[Colonne2]],6,FALSE),"")</f>
        <v>ZTE</v>
      </c>
    </row>
    <row r="340" spans="1:11" x14ac:dyDescent="0.3">
      <c r="A340" t="s">
        <v>1026</v>
      </c>
      <c r="B340" s="1">
        <v>45219.181250000001</v>
      </c>
      <c r="C340" s="2">
        <v>45219.181250000001</v>
      </c>
      <c r="D340" t="s">
        <v>997</v>
      </c>
      <c r="E340">
        <v>97</v>
      </c>
      <c r="F340" t="s">
        <v>737</v>
      </c>
      <c r="G340" t="str">
        <f>IFERROR(VLOOKUP(Logs_Reseau_Part5[[#This Row],[Cell_ID]],Registre_Maintenance_Part[[ID_Antenne]:[Colonne2]],2,FALSE),"")</f>
        <v>Nord-Kivu</v>
      </c>
      <c r="H340">
        <f>IFERROR(VLOOKUP(Logs_Reseau_Part5[[#This Row],[Cell_ID]],Registre_Maintenance_Part[[ID_Antenne]:[Colonne2]],3,FALSE),"")</f>
        <v>-4.1754939999999996</v>
      </c>
      <c r="I340">
        <f>IFERROR(VLOOKUP(Logs_Reseau_Part5[[#This Row],[Cell_ID]],Registre_Maintenance_Part[[ID_Antenne]:[Colonne2]],4,FALSE),"")</f>
        <v>16.704664999999999</v>
      </c>
      <c r="J340" t="str">
        <f>IFERROR(VLOOKUP(Logs_Reseau_Part5[[#This Row],[Cell_ID]],Registre_Maintenance_Part[[ID_Antenne]:[Colonne2]],5,FALSE),"")</f>
        <v>3G</v>
      </c>
      <c r="K340" t="str">
        <f>IFERROR(VLOOKUP(Logs_Reseau_Part5[[#This Row],[Cell_ID]],Registre_Maintenance_Part[[ID_Antenne]:[Colonne2]],6,FALSE),"")</f>
        <v>Ericsson</v>
      </c>
    </row>
    <row r="341" spans="1:11" x14ac:dyDescent="0.3">
      <c r="A341" t="s">
        <v>904</v>
      </c>
      <c r="B341" s="1">
        <v>45221.268750000003</v>
      </c>
      <c r="C341" s="2">
        <v>45221.268750000003</v>
      </c>
      <c r="D341" t="s">
        <v>929</v>
      </c>
      <c r="E341">
        <v>18</v>
      </c>
      <c r="F341" t="s">
        <v>737</v>
      </c>
      <c r="G341" t="str">
        <f>IFERROR(VLOOKUP(Logs_Reseau_Part5[[#This Row],[Cell_ID]],Registre_Maintenance_Part[[ID_Antenne]:[Colonne2]],2,FALSE),"")</f>
        <v>Nord-Kivu</v>
      </c>
      <c r="H341">
        <f>IFERROR(VLOOKUP(Logs_Reseau_Part5[[#This Row],[Cell_ID]],Registre_Maintenance_Part[[ID_Antenne]:[Colonne2]],3,FALSE),"")</f>
        <v>-1.8555980000000001</v>
      </c>
      <c r="I341">
        <f>IFERROR(VLOOKUP(Logs_Reseau_Part5[[#This Row],[Cell_ID]],Registre_Maintenance_Part[[ID_Antenne]:[Colonne2]],4,FALSE),"")</f>
        <v>30.421918000000002</v>
      </c>
      <c r="J341" t="str">
        <f>IFERROR(VLOOKUP(Logs_Reseau_Part5[[#This Row],[Cell_ID]],Registre_Maintenance_Part[[ID_Antenne]:[Colonne2]],5,FALSE),"")</f>
        <v>3G</v>
      </c>
      <c r="K341" t="str">
        <f>IFERROR(VLOOKUP(Logs_Reseau_Part5[[#This Row],[Cell_ID]],Registre_Maintenance_Part[[ID_Antenne]:[Colonne2]],6,FALSE),"")</f>
        <v>ZTE</v>
      </c>
    </row>
    <row r="342" spans="1:11" x14ac:dyDescent="0.3">
      <c r="A342" t="s">
        <v>941</v>
      </c>
      <c r="B342" s="1">
        <v>45222.353472222218</v>
      </c>
      <c r="C342" s="2">
        <v>45222.353472222218</v>
      </c>
      <c r="D342" t="s">
        <v>979</v>
      </c>
      <c r="E342">
        <v>101</v>
      </c>
      <c r="F342" t="s">
        <v>737</v>
      </c>
      <c r="G342" t="str">
        <f>IFERROR(VLOOKUP(Logs_Reseau_Part5[[#This Row],[Cell_ID]],Registre_Maintenance_Part[[ID_Antenne]:[Colonne2]],2,FALSE),"")</f>
        <v>Nord-Kivu</v>
      </c>
      <c r="H342">
        <f>IFERROR(VLOOKUP(Logs_Reseau_Part5[[#This Row],[Cell_ID]],Registre_Maintenance_Part[[ID_Antenne]:[Colonne2]],3,FALSE),"")</f>
        <v>-10.846306999999999</v>
      </c>
      <c r="I342">
        <f>IFERROR(VLOOKUP(Logs_Reseau_Part5[[#This Row],[Cell_ID]],Registre_Maintenance_Part[[ID_Antenne]:[Colonne2]],4,FALSE),"")</f>
        <v>19.201827999999999</v>
      </c>
      <c r="J342" t="str">
        <f>IFERROR(VLOOKUP(Logs_Reseau_Part5[[#This Row],[Cell_ID]],Registre_Maintenance_Part[[ID_Antenne]:[Colonne2]],5,FALSE),"")</f>
        <v>4G</v>
      </c>
      <c r="K342" t="str">
        <f>IFERROR(VLOOKUP(Logs_Reseau_Part5[[#This Row],[Cell_ID]],Registre_Maintenance_Part[[ID_Antenne]:[Colonne2]],6,FALSE),"")</f>
        <v>Ericsson</v>
      </c>
    </row>
    <row r="343" spans="1:11" x14ac:dyDescent="0.3">
      <c r="A343" t="s">
        <v>1221</v>
      </c>
      <c r="B343" s="1">
        <v>45222.597222222219</v>
      </c>
      <c r="C343" s="2">
        <v>45222.597222222219</v>
      </c>
      <c r="D343" t="s">
        <v>929</v>
      </c>
      <c r="E343">
        <v>22</v>
      </c>
      <c r="F343" t="s">
        <v>737</v>
      </c>
      <c r="G343" t="str">
        <f>IFERROR(VLOOKUP(Logs_Reseau_Part5[[#This Row],[Cell_ID]],Registre_Maintenance_Part[[ID_Antenne]:[Colonne2]],2,FALSE),"")</f>
        <v>Nord-Kivu</v>
      </c>
      <c r="H343">
        <f>IFERROR(VLOOKUP(Logs_Reseau_Part5[[#This Row],[Cell_ID]],Registre_Maintenance_Part[[ID_Antenne]:[Colonne2]],3,FALSE),"")</f>
        <v>-1.8555980000000001</v>
      </c>
      <c r="I343">
        <f>IFERROR(VLOOKUP(Logs_Reseau_Part5[[#This Row],[Cell_ID]],Registre_Maintenance_Part[[ID_Antenne]:[Colonne2]],4,FALSE),"")</f>
        <v>30.421918000000002</v>
      </c>
      <c r="J343" t="str">
        <f>IFERROR(VLOOKUP(Logs_Reseau_Part5[[#This Row],[Cell_ID]],Registre_Maintenance_Part[[ID_Antenne]:[Colonne2]],5,FALSE),"")</f>
        <v>3G</v>
      </c>
      <c r="K343" t="str">
        <f>IFERROR(VLOOKUP(Logs_Reseau_Part5[[#This Row],[Cell_ID]],Registre_Maintenance_Part[[ID_Antenne]:[Colonne2]],6,FALSE),"")</f>
        <v>ZTE</v>
      </c>
    </row>
    <row r="344" spans="1:11" x14ac:dyDescent="0.3">
      <c r="A344" t="s">
        <v>1167</v>
      </c>
      <c r="B344" s="1">
        <v>45223.252083333333</v>
      </c>
      <c r="C344" s="2">
        <v>45223.252083333333</v>
      </c>
      <c r="D344" t="s">
        <v>979</v>
      </c>
      <c r="E344">
        <v>12</v>
      </c>
      <c r="F344" t="s">
        <v>737</v>
      </c>
      <c r="G344" t="str">
        <f>IFERROR(VLOOKUP(Logs_Reseau_Part5[[#This Row],[Cell_ID]],Registre_Maintenance_Part[[ID_Antenne]:[Colonne2]],2,FALSE),"")</f>
        <v>Nord-Kivu</v>
      </c>
      <c r="H344">
        <f>IFERROR(VLOOKUP(Logs_Reseau_Part5[[#This Row],[Cell_ID]],Registre_Maintenance_Part[[ID_Antenne]:[Colonne2]],3,FALSE),"")</f>
        <v>-10.846306999999999</v>
      </c>
      <c r="I344">
        <f>IFERROR(VLOOKUP(Logs_Reseau_Part5[[#This Row],[Cell_ID]],Registre_Maintenance_Part[[ID_Antenne]:[Colonne2]],4,FALSE),"")</f>
        <v>19.201827999999999</v>
      </c>
      <c r="J344" t="str">
        <f>IFERROR(VLOOKUP(Logs_Reseau_Part5[[#This Row],[Cell_ID]],Registre_Maintenance_Part[[ID_Antenne]:[Colonne2]],5,FALSE),"")</f>
        <v>4G</v>
      </c>
      <c r="K344" t="str">
        <f>IFERROR(VLOOKUP(Logs_Reseau_Part5[[#This Row],[Cell_ID]],Registre_Maintenance_Part[[ID_Antenne]:[Colonne2]],6,FALSE),"")</f>
        <v>Ericsson</v>
      </c>
    </row>
    <row r="345" spans="1:11" x14ac:dyDescent="0.3">
      <c r="A345" t="s">
        <v>1347</v>
      </c>
      <c r="B345" s="1">
        <v>45224.229861111111</v>
      </c>
      <c r="C345" s="2">
        <v>45224.229861111111</v>
      </c>
      <c r="D345" t="s">
        <v>1357</v>
      </c>
      <c r="E345">
        <v>20</v>
      </c>
      <c r="F345" t="s">
        <v>734</v>
      </c>
      <c r="G345" t="str">
        <f>IFERROR(VLOOKUP(Logs_Reseau_Part5[[#This Row],[Cell_ID]],Registre_Maintenance_Part[[ID_Antenne]:[Colonne2]],2,FALSE),"")</f>
        <v>Nord-Kivu</v>
      </c>
      <c r="H345">
        <f>IFERROR(VLOOKUP(Logs_Reseau_Part5[[#This Row],[Cell_ID]],Registre_Maintenance_Part[[ID_Antenne]:[Colonne2]],3,FALSE),"")</f>
        <v>-10.298385</v>
      </c>
      <c r="I345">
        <f>IFERROR(VLOOKUP(Logs_Reseau_Part5[[#This Row],[Cell_ID]],Registre_Maintenance_Part[[ID_Antenne]:[Colonne2]],4,FALSE),"")</f>
        <v>29.698117</v>
      </c>
      <c r="J345" t="str">
        <f>IFERROR(VLOOKUP(Logs_Reseau_Part5[[#This Row],[Cell_ID]],Registre_Maintenance_Part[[ID_Antenne]:[Colonne2]],5,FALSE),"")</f>
        <v>5G</v>
      </c>
      <c r="K345" t="str">
        <f>IFERROR(VLOOKUP(Logs_Reseau_Part5[[#This Row],[Cell_ID]],Registre_Maintenance_Part[[ID_Antenne]:[Colonne2]],6,FALSE),"")</f>
        <v>Nokia</v>
      </c>
    </row>
    <row r="346" spans="1:11" x14ac:dyDescent="0.3">
      <c r="A346" t="s">
        <v>825</v>
      </c>
      <c r="B346" s="1">
        <v>45225.776388888888</v>
      </c>
      <c r="C346" s="2">
        <v>45225.776388888888</v>
      </c>
      <c r="D346" t="s">
        <v>799</v>
      </c>
      <c r="E346">
        <v>71</v>
      </c>
      <c r="F346" t="s">
        <v>734</v>
      </c>
      <c r="G346" t="str">
        <f>IFERROR(VLOOKUP(Logs_Reseau_Part5[[#This Row],[Cell_ID]],Registre_Maintenance_Part[[ID_Antenne]:[Colonne2]],2,FALSE),"")</f>
        <v>Nord-Kivu</v>
      </c>
      <c r="H346">
        <f>IFERROR(VLOOKUP(Logs_Reseau_Part5[[#This Row],[Cell_ID]],Registre_Maintenance_Part[[ID_Antenne]:[Colonne2]],3,FALSE),"")</f>
        <v>0.82868600000000003</v>
      </c>
      <c r="I346">
        <f>IFERROR(VLOOKUP(Logs_Reseau_Part5[[#This Row],[Cell_ID]],Registre_Maintenance_Part[[ID_Antenne]:[Colonne2]],4,FALSE),"")</f>
        <v>26.958843999999999</v>
      </c>
      <c r="J346" t="str">
        <f>IFERROR(VLOOKUP(Logs_Reseau_Part5[[#This Row],[Cell_ID]],Registre_Maintenance_Part[[ID_Antenne]:[Colonne2]],5,FALSE),"")</f>
        <v>5G</v>
      </c>
      <c r="K346" t="str">
        <f>IFERROR(VLOOKUP(Logs_Reseau_Part5[[#This Row],[Cell_ID]],Registre_Maintenance_Part[[ID_Antenne]:[Colonne2]],6,FALSE),"")</f>
        <v>ZTE</v>
      </c>
    </row>
    <row r="347" spans="1:11" x14ac:dyDescent="0.3">
      <c r="A347" t="s">
        <v>1263</v>
      </c>
      <c r="B347" s="1">
        <v>45229.065972222219</v>
      </c>
      <c r="C347" s="2">
        <v>45229.065972222219</v>
      </c>
      <c r="D347" t="s">
        <v>799</v>
      </c>
      <c r="E347">
        <v>93</v>
      </c>
      <c r="F347" t="s">
        <v>734</v>
      </c>
      <c r="G347" t="str">
        <f>IFERROR(VLOOKUP(Logs_Reseau_Part5[[#This Row],[Cell_ID]],Registre_Maintenance_Part[[ID_Antenne]:[Colonne2]],2,FALSE),"")</f>
        <v>Nord-Kivu</v>
      </c>
      <c r="H347">
        <f>IFERROR(VLOOKUP(Logs_Reseau_Part5[[#This Row],[Cell_ID]],Registre_Maintenance_Part[[ID_Antenne]:[Colonne2]],3,FALSE),"")</f>
        <v>0.82868600000000003</v>
      </c>
      <c r="I347">
        <f>IFERROR(VLOOKUP(Logs_Reseau_Part5[[#This Row],[Cell_ID]],Registre_Maintenance_Part[[ID_Antenne]:[Colonne2]],4,FALSE),"")</f>
        <v>26.958843999999999</v>
      </c>
      <c r="J347" t="str">
        <f>IFERROR(VLOOKUP(Logs_Reseau_Part5[[#This Row],[Cell_ID]],Registre_Maintenance_Part[[ID_Antenne]:[Colonne2]],5,FALSE),"")</f>
        <v>5G</v>
      </c>
      <c r="K347" t="str">
        <f>IFERROR(VLOOKUP(Logs_Reseau_Part5[[#This Row],[Cell_ID]],Registre_Maintenance_Part[[ID_Antenne]:[Colonne2]],6,FALSE),"")</f>
        <v>ZTE</v>
      </c>
    </row>
    <row r="348" spans="1:11" x14ac:dyDescent="0.3">
      <c r="A348" t="s">
        <v>863</v>
      </c>
      <c r="B348" s="1">
        <v>45230.486111111109</v>
      </c>
      <c r="C348" s="2">
        <v>45230.486111111109</v>
      </c>
      <c r="D348" t="s">
        <v>902</v>
      </c>
      <c r="E348">
        <v>38</v>
      </c>
      <c r="F348" t="s">
        <v>734</v>
      </c>
      <c r="G348" t="str">
        <f>IFERROR(VLOOKUP(Logs_Reseau_Part5[[#This Row],[Cell_ID]],Registre_Maintenance_Part[[ID_Antenne]:[Colonne2]],2,FALSE),"")</f>
        <v>Nord-Kivu</v>
      </c>
      <c r="H348">
        <f>IFERROR(VLOOKUP(Logs_Reseau_Part5[[#This Row],[Cell_ID]],Registre_Maintenance_Part[[ID_Antenne]:[Colonne2]],3,FALSE),"")</f>
        <v>-12.336202</v>
      </c>
      <c r="I348">
        <f>IFERROR(VLOOKUP(Logs_Reseau_Part5[[#This Row],[Cell_ID]],Registre_Maintenance_Part[[ID_Antenne]:[Colonne2]],4,FALSE),"")</f>
        <v>13.693683999999999</v>
      </c>
      <c r="J348" t="str">
        <f>IFERROR(VLOOKUP(Logs_Reseau_Part5[[#This Row],[Cell_ID]],Registre_Maintenance_Part[[ID_Antenne]:[Colonne2]],5,FALSE),"")</f>
        <v>5G</v>
      </c>
      <c r="K348" t="str">
        <f>IFERROR(VLOOKUP(Logs_Reseau_Part5[[#This Row],[Cell_ID]],Registre_Maintenance_Part[[ID_Antenne]:[Colonne2]],6,FALSE),"")</f>
        <v>Huawei</v>
      </c>
    </row>
    <row r="349" spans="1:11" x14ac:dyDescent="0.3">
      <c r="A349" t="s">
        <v>1001</v>
      </c>
      <c r="B349" s="1">
        <v>45201.009027777778</v>
      </c>
      <c r="C349" s="2">
        <v>45201.009027777778</v>
      </c>
      <c r="D349" t="s">
        <v>992</v>
      </c>
      <c r="E349">
        <v>56</v>
      </c>
      <c r="F349" t="s">
        <v>737</v>
      </c>
      <c r="G349" t="str">
        <f>IFERROR(VLOOKUP(Logs_Reseau_Part5[[#This Row],[Cell_ID]],Registre_Maintenance_Part[[ID_Antenne]:[Colonne2]],2,FALSE),"")</f>
        <v>Nord-Ubangi</v>
      </c>
      <c r="H349">
        <f>IFERROR(VLOOKUP(Logs_Reseau_Part5[[#This Row],[Cell_ID]],Registre_Maintenance_Part[[ID_Antenne]:[Colonne2]],3,FALSE),"")</f>
        <v>-7.7839049999999999</v>
      </c>
      <c r="I349">
        <f>IFERROR(VLOOKUP(Logs_Reseau_Part5[[#This Row],[Cell_ID]],Registre_Maintenance_Part[[ID_Antenne]:[Colonne2]],4,FALSE),"")</f>
        <v>14.114281999999999</v>
      </c>
      <c r="J349" t="str">
        <f>IFERROR(VLOOKUP(Logs_Reseau_Part5[[#This Row],[Cell_ID]],Registre_Maintenance_Part[[ID_Antenne]:[Colonne2]],5,FALSE),"")</f>
        <v>3G</v>
      </c>
      <c r="K349" t="str">
        <f>IFERROR(VLOOKUP(Logs_Reseau_Part5[[#This Row],[Cell_ID]],Registre_Maintenance_Part[[ID_Antenne]:[Colonne2]],6,FALSE),"")</f>
        <v>ZTE</v>
      </c>
    </row>
    <row r="350" spans="1:11" x14ac:dyDescent="0.3">
      <c r="A350" t="s">
        <v>1363</v>
      </c>
      <c r="B350" s="1">
        <v>45203.517361111109</v>
      </c>
      <c r="C350" s="2">
        <v>45203.517361111109</v>
      </c>
      <c r="D350" t="s">
        <v>765</v>
      </c>
      <c r="E350">
        <v>26</v>
      </c>
      <c r="F350" t="s">
        <v>734</v>
      </c>
      <c r="G350" t="str">
        <f>IFERROR(VLOOKUP(Logs_Reseau_Part5[[#This Row],[Cell_ID]],Registre_Maintenance_Part[[ID_Antenne]:[Colonne2]],2,FALSE),"")</f>
        <v>Nord-Ubangi</v>
      </c>
      <c r="H350">
        <f>IFERROR(VLOOKUP(Logs_Reseau_Part5[[#This Row],[Cell_ID]],Registre_Maintenance_Part[[ID_Antenne]:[Colonne2]],3,FALSE),"")</f>
        <v>-8.1437910000000002</v>
      </c>
      <c r="I350">
        <f>IFERROR(VLOOKUP(Logs_Reseau_Part5[[#This Row],[Cell_ID]],Registre_Maintenance_Part[[ID_Antenne]:[Colonne2]],4,FALSE),"")</f>
        <v>28.946161</v>
      </c>
      <c r="J350" t="str">
        <f>IFERROR(VLOOKUP(Logs_Reseau_Part5[[#This Row],[Cell_ID]],Registre_Maintenance_Part[[ID_Antenne]:[Colonne2]],5,FALSE),"")</f>
        <v>4G</v>
      </c>
      <c r="K350" t="str">
        <f>IFERROR(VLOOKUP(Logs_Reseau_Part5[[#This Row],[Cell_ID]],Registre_Maintenance_Part[[ID_Antenne]:[Colonne2]],6,FALSE),"")</f>
        <v>ZTE</v>
      </c>
    </row>
    <row r="351" spans="1:11" x14ac:dyDescent="0.3">
      <c r="A351" t="s">
        <v>781</v>
      </c>
      <c r="B351" s="1">
        <v>45203.760416666657</v>
      </c>
      <c r="C351" s="2">
        <v>45203.760416666657</v>
      </c>
      <c r="D351" t="s">
        <v>813</v>
      </c>
      <c r="E351">
        <v>18</v>
      </c>
      <c r="F351" t="s">
        <v>739</v>
      </c>
      <c r="G351" t="str">
        <f>IFERROR(VLOOKUP(Logs_Reseau_Part5[[#This Row],[Cell_ID]],Registre_Maintenance_Part[[ID_Antenne]:[Colonne2]],2,FALSE),"")</f>
        <v>Nord-Ubangi</v>
      </c>
      <c r="H351">
        <f>IFERROR(VLOOKUP(Logs_Reseau_Part5[[#This Row],[Cell_ID]],Registre_Maintenance_Part[[ID_Antenne]:[Colonne2]],3,FALSE),"")</f>
        <v>0.94539899999999999</v>
      </c>
      <c r="I351">
        <f>IFERROR(VLOOKUP(Logs_Reseau_Part5[[#This Row],[Cell_ID]],Registre_Maintenance_Part[[ID_Antenne]:[Colonne2]],4,FALSE),"")</f>
        <v>14.401821999999999</v>
      </c>
      <c r="J351" t="str">
        <f>IFERROR(VLOOKUP(Logs_Reseau_Part5[[#This Row],[Cell_ID]],Registre_Maintenance_Part[[ID_Antenne]:[Colonne2]],5,FALSE),"")</f>
        <v>5G</v>
      </c>
      <c r="K351" t="str">
        <f>IFERROR(VLOOKUP(Logs_Reseau_Part5[[#This Row],[Cell_ID]],Registre_Maintenance_Part[[ID_Antenne]:[Colonne2]],6,FALSE),"")</f>
        <v>Nokia</v>
      </c>
    </row>
    <row r="352" spans="1:11" x14ac:dyDescent="0.3">
      <c r="A352" t="s">
        <v>863</v>
      </c>
      <c r="B352" s="1">
        <v>45204.297222222223</v>
      </c>
      <c r="C352" s="2">
        <v>45204.297222222223</v>
      </c>
      <c r="D352" t="s">
        <v>881</v>
      </c>
      <c r="E352">
        <v>111</v>
      </c>
      <c r="F352" t="s">
        <v>737</v>
      </c>
      <c r="G352" t="str">
        <f>IFERROR(VLOOKUP(Logs_Reseau_Part5[[#This Row],[Cell_ID]],Registre_Maintenance_Part[[ID_Antenne]:[Colonne2]],2,FALSE),"")</f>
        <v>Nord-Ubangi</v>
      </c>
      <c r="H352">
        <f>IFERROR(VLOOKUP(Logs_Reseau_Part5[[#This Row],[Cell_ID]],Registre_Maintenance_Part[[ID_Antenne]:[Colonne2]],3,FALSE),"")</f>
        <v>-1.342476</v>
      </c>
      <c r="I352">
        <f>IFERROR(VLOOKUP(Logs_Reseau_Part5[[#This Row],[Cell_ID]],Registre_Maintenance_Part[[ID_Antenne]:[Colonne2]],4,FALSE),"")</f>
        <v>15.986086</v>
      </c>
      <c r="J352" t="str">
        <f>IFERROR(VLOOKUP(Logs_Reseau_Part5[[#This Row],[Cell_ID]],Registre_Maintenance_Part[[ID_Antenne]:[Colonne2]],5,FALSE),"")</f>
        <v>4G</v>
      </c>
      <c r="K352" t="str">
        <f>IFERROR(VLOOKUP(Logs_Reseau_Part5[[#This Row],[Cell_ID]],Registre_Maintenance_Part[[ID_Antenne]:[Colonne2]],6,FALSE),"")</f>
        <v>Ericsson</v>
      </c>
    </row>
    <row r="353" spans="1:11" x14ac:dyDescent="0.3">
      <c r="A353" t="s">
        <v>1290</v>
      </c>
      <c r="B353" s="1">
        <v>45205.013888888891</v>
      </c>
      <c r="C353" s="2">
        <v>45205.013888888891</v>
      </c>
      <c r="D353" t="s">
        <v>765</v>
      </c>
      <c r="E353">
        <v>35</v>
      </c>
      <c r="F353" t="s">
        <v>737</v>
      </c>
      <c r="G353" t="str">
        <f>IFERROR(VLOOKUP(Logs_Reseau_Part5[[#This Row],[Cell_ID]],Registre_Maintenance_Part[[ID_Antenne]:[Colonne2]],2,FALSE),"")</f>
        <v>Nord-Ubangi</v>
      </c>
      <c r="H353">
        <f>IFERROR(VLOOKUP(Logs_Reseau_Part5[[#This Row],[Cell_ID]],Registre_Maintenance_Part[[ID_Antenne]:[Colonne2]],3,FALSE),"")</f>
        <v>-8.1437910000000002</v>
      </c>
      <c r="I353">
        <f>IFERROR(VLOOKUP(Logs_Reseau_Part5[[#This Row],[Cell_ID]],Registre_Maintenance_Part[[ID_Antenne]:[Colonne2]],4,FALSE),"")</f>
        <v>28.946161</v>
      </c>
      <c r="J353" t="str">
        <f>IFERROR(VLOOKUP(Logs_Reseau_Part5[[#This Row],[Cell_ID]],Registre_Maintenance_Part[[ID_Antenne]:[Colonne2]],5,FALSE),"")</f>
        <v>4G</v>
      </c>
      <c r="K353" t="str">
        <f>IFERROR(VLOOKUP(Logs_Reseau_Part5[[#This Row],[Cell_ID]],Registre_Maintenance_Part[[ID_Antenne]:[Colonne2]],6,FALSE),"")</f>
        <v>ZTE</v>
      </c>
    </row>
    <row r="354" spans="1:11" x14ac:dyDescent="0.3">
      <c r="A354" t="s">
        <v>781</v>
      </c>
      <c r="B354" s="1">
        <v>45208.279166666667</v>
      </c>
      <c r="C354" s="2">
        <v>45208.279166666667</v>
      </c>
      <c r="D354" t="s">
        <v>818</v>
      </c>
      <c r="E354">
        <v>41</v>
      </c>
      <c r="F354" t="s">
        <v>737</v>
      </c>
      <c r="G354" t="str">
        <f>IFERROR(VLOOKUP(Logs_Reseau_Part5[[#This Row],[Cell_ID]],Registre_Maintenance_Part[[ID_Antenne]:[Colonne2]],2,FALSE),"")</f>
        <v>Nord-Ubangi</v>
      </c>
      <c r="H354">
        <f>IFERROR(VLOOKUP(Logs_Reseau_Part5[[#This Row],[Cell_ID]],Registre_Maintenance_Part[[ID_Antenne]:[Colonne2]],3,FALSE),"")</f>
        <v>-9.3066320000000005</v>
      </c>
      <c r="I354">
        <f>IFERROR(VLOOKUP(Logs_Reseau_Part5[[#This Row],[Cell_ID]],Registre_Maintenance_Part[[ID_Antenne]:[Colonne2]],4,FALSE),"")</f>
        <v>20.470889</v>
      </c>
      <c r="J354" t="str">
        <f>IFERROR(VLOOKUP(Logs_Reseau_Part5[[#This Row],[Cell_ID]],Registre_Maintenance_Part[[ID_Antenne]:[Colonne2]],5,FALSE),"")</f>
        <v>5G</v>
      </c>
      <c r="K354" t="str">
        <f>IFERROR(VLOOKUP(Logs_Reseau_Part5[[#This Row],[Cell_ID]],Registre_Maintenance_Part[[ID_Antenne]:[Colonne2]],6,FALSE),"")</f>
        <v>ZTE</v>
      </c>
    </row>
    <row r="355" spans="1:11" x14ac:dyDescent="0.3">
      <c r="A355" t="s">
        <v>1195</v>
      </c>
      <c r="B355" s="1">
        <v>45209.659722222219</v>
      </c>
      <c r="C355" s="2">
        <v>45209.659722222219</v>
      </c>
      <c r="D355" t="s">
        <v>992</v>
      </c>
      <c r="E355">
        <v>67</v>
      </c>
      <c r="F355" t="s">
        <v>739</v>
      </c>
      <c r="G355" t="str">
        <f>IFERROR(VLOOKUP(Logs_Reseau_Part5[[#This Row],[Cell_ID]],Registre_Maintenance_Part[[ID_Antenne]:[Colonne2]],2,FALSE),"")</f>
        <v>Nord-Ubangi</v>
      </c>
      <c r="H355">
        <f>IFERROR(VLOOKUP(Logs_Reseau_Part5[[#This Row],[Cell_ID]],Registre_Maintenance_Part[[ID_Antenne]:[Colonne2]],3,FALSE),"")</f>
        <v>-7.7839049999999999</v>
      </c>
      <c r="I355">
        <f>IFERROR(VLOOKUP(Logs_Reseau_Part5[[#This Row],[Cell_ID]],Registre_Maintenance_Part[[ID_Antenne]:[Colonne2]],4,FALSE),"")</f>
        <v>14.114281999999999</v>
      </c>
      <c r="J355" t="str">
        <f>IFERROR(VLOOKUP(Logs_Reseau_Part5[[#This Row],[Cell_ID]],Registre_Maintenance_Part[[ID_Antenne]:[Colonne2]],5,FALSE),"")</f>
        <v>3G</v>
      </c>
      <c r="K355" t="str">
        <f>IFERROR(VLOOKUP(Logs_Reseau_Part5[[#This Row],[Cell_ID]],Registre_Maintenance_Part[[ID_Antenne]:[Colonne2]],6,FALSE),"")</f>
        <v>ZTE</v>
      </c>
    </row>
    <row r="356" spans="1:11" x14ac:dyDescent="0.3">
      <c r="A356" t="s">
        <v>1140</v>
      </c>
      <c r="B356" s="1">
        <v>45210.686111111107</v>
      </c>
      <c r="C356" s="2">
        <v>45210.686111111107</v>
      </c>
      <c r="D356" t="s">
        <v>1159</v>
      </c>
      <c r="E356">
        <v>62</v>
      </c>
      <c r="F356" t="s">
        <v>737</v>
      </c>
      <c r="G356" t="str">
        <f>IFERROR(VLOOKUP(Logs_Reseau_Part5[[#This Row],[Cell_ID]],Registre_Maintenance_Part[[ID_Antenne]:[Colonne2]],2,FALSE),"")</f>
        <v>Nord-Ubangi</v>
      </c>
      <c r="H356">
        <f>IFERROR(VLOOKUP(Logs_Reseau_Part5[[#This Row],[Cell_ID]],Registre_Maintenance_Part[[ID_Antenne]:[Colonne2]],3,FALSE),"")</f>
        <v>8.5490999999999998E-2</v>
      </c>
      <c r="I356">
        <f>IFERROR(VLOOKUP(Logs_Reseau_Part5[[#This Row],[Cell_ID]],Registre_Maintenance_Part[[ID_Antenne]:[Colonne2]],4,FALSE),"")</f>
        <v>26.296129000000001</v>
      </c>
      <c r="J356" t="str">
        <f>IFERROR(VLOOKUP(Logs_Reseau_Part5[[#This Row],[Cell_ID]],Registre_Maintenance_Part[[ID_Antenne]:[Colonne2]],5,FALSE),"")</f>
        <v>3G</v>
      </c>
      <c r="K356" t="str">
        <f>IFERROR(VLOOKUP(Logs_Reseau_Part5[[#This Row],[Cell_ID]],Registre_Maintenance_Part[[ID_Antenne]:[Colonne2]],6,FALSE),"")</f>
        <v>ZTE</v>
      </c>
    </row>
    <row r="357" spans="1:11" x14ac:dyDescent="0.3">
      <c r="A357" t="s">
        <v>1243</v>
      </c>
      <c r="B357" s="1">
        <v>45210.908333333333</v>
      </c>
      <c r="C357" s="2">
        <v>45210.908333333333</v>
      </c>
      <c r="D357" t="s">
        <v>1159</v>
      </c>
      <c r="E357">
        <v>57</v>
      </c>
      <c r="F357" t="s">
        <v>739</v>
      </c>
      <c r="G357" t="str">
        <f>IFERROR(VLOOKUP(Logs_Reseau_Part5[[#This Row],[Cell_ID]],Registre_Maintenance_Part[[ID_Antenne]:[Colonne2]],2,FALSE),"")</f>
        <v>Nord-Ubangi</v>
      </c>
      <c r="H357">
        <f>IFERROR(VLOOKUP(Logs_Reseau_Part5[[#This Row],[Cell_ID]],Registre_Maintenance_Part[[ID_Antenne]:[Colonne2]],3,FALSE),"")</f>
        <v>8.5490999999999998E-2</v>
      </c>
      <c r="I357">
        <f>IFERROR(VLOOKUP(Logs_Reseau_Part5[[#This Row],[Cell_ID]],Registre_Maintenance_Part[[ID_Antenne]:[Colonne2]],4,FALSE),"")</f>
        <v>26.296129000000001</v>
      </c>
      <c r="J357" t="str">
        <f>IFERROR(VLOOKUP(Logs_Reseau_Part5[[#This Row],[Cell_ID]],Registre_Maintenance_Part[[ID_Antenne]:[Colonne2]],5,FALSE),"")</f>
        <v>3G</v>
      </c>
      <c r="K357" t="str">
        <f>IFERROR(VLOOKUP(Logs_Reseau_Part5[[#This Row],[Cell_ID]],Registre_Maintenance_Part[[ID_Antenne]:[Colonne2]],6,FALSE),"")</f>
        <v>ZTE</v>
      </c>
    </row>
    <row r="358" spans="1:11" x14ac:dyDescent="0.3">
      <c r="A358" t="s">
        <v>732</v>
      </c>
      <c r="B358" s="1">
        <v>45211.279166666667</v>
      </c>
      <c r="C358" s="2">
        <v>45211.279166666667</v>
      </c>
      <c r="D358" t="s">
        <v>765</v>
      </c>
      <c r="E358">
        <v>75</v>
      </c>
      <c r="F358" t="s">
        <v>734</v>
      </c>
      <c r="G358" t="str">
        <f>IFERROR(VLOOKUP(Logs_Reseau_Part5[[#This Row],[Cell_ID]],Registre_Maintenance_Part[[ID_Antenne]:[Colonne2]],2,FALSE),"")</f>
        <v>Nord-Ubangi</v>
      </c>
      <c r="H358">
        <f>IFERROR(VLOOKUP(Logs_Reseau_Part5[[#This Row],[Cell_ID]],Registre_Maintenance_Part[[ID_Antenne]:[Colonne2]],3,FALSE),"")</f>
        <v>-8.1437910000000002</v>
      </c>
      <c r="I358">
        <f>IFERROR(VLOOKUP(Logs_Reseau_Part5[[#This Row],[Cell_ID]],Registre_Maintenance_Part[[ID_Antenne]:[Colonne2]],4,FALSE),"")</f>
        <v>28.946161</v>
      </c>
      <c r="J358" t="str">
        <f>IFERROR(VLOOKUP(Logs_Reseau_Part5[[#This Row],[Cell_ID]],Registre_Maintenance_Part[[ID_Antenne]:[Colonne2]],5,FALSE),"")</f>
        <v>4G</v>
      </c>
      <c r="K358" t="str">
        <f>IFERROR(VLOOKUP(Logs_Reseau_Part5[[#This Row],[Cell_ID]],Registre_Maintenance_Part[[ID_Antenne]:[Colonne2]],6,FALSE),"")</f>
        <v>ZTE</v>
      </c>
    </row>
    <row r="359" spans="1:11" x14ac:dyDescent="0.3">
      <c r="A359" t="s">
        <v>1195</v>
      </c>
      <c r="B359" s="1">
        <v>45213.238194444442</v>
      </c>
      <c r="C359" s="2">
        <v>45213.238194444442</v>
      </c>
      <c r="D359" t="s">
        <v>1203</v>
      </c>
      <c r="E359">
        <v>53</v>
      </c>
      <c r="F359" t="s">
        <v>737</v>
      </c>
      <c r="G359" t="str">
        <f>IFERROR(VLOOKUP(Logs_Reseau_Part5[[#This Row],[Cell_ID]],Registre_Maintenance_Part[[ID_Antenne]:[Colonne2]],2,FALSE),"")</f>
        <v>Nord-Ubangi</v>
      </c>
      <c r="H359">
        <f>IFERROR(VLOOKUP(Logs_Reseau_Part5[[#This Row],[Cell_ID]],Registre_Maintenance_Part[[ID_Antenne]:[Colonne2]],3,FALSE),"")</f>
        <v>-8.4985189999999999</v>
      </c>
      <c r="I359">
        <f>IFERROR(VLOOKUP(Logs_Reseau_Part5[[#This Row],[Cell_ID]],Registre_Maintenance_Part[[ID_Antenne]:[Colonne2]],4,FALSE),"")</f>
        <v>12.929456999999999</v>
      </c>
      <c r="J359" t="str">
        <f>IFERROR(VLOOKUP(Logs_Reseau_Part5[[#This Row],[Cell_ID]],Registre_Maintenance_Part[[ID_Antenne]:[Colonne2]],5,FALSE),"")</f>
        <v>4G</v>
      </c>
      <c r="K359" t="str">
        <f>IFERROR(VLOOKUP(Logs_Reseau_Part5[[#This Row],[Cell_ID]],Registre_Maintenance_Part[[ID_Antenne]:[Colonne2]],6,FALSE),"")</f>
        <v>Ericsson</v>
      </c>
    </row>
    <row r="360" spans="1:11" x14ac:dyDescent="0.3">
      <c r="A360" t="s">
        <v>1243</v>
      </c>
      <c r="B360" s="1">
        <v>45214.018750000003</v>
      </c>
      <c r="C360" s="2">
        <v>45214.018750000003</v>
      </c>
      <c r="D360" t="s">
        <v>881</v>
      </c>
      <c r="E360">
        <v>115</v>
      </c>
      <c r="F360" t="s">
        <v>737</v>
      </c>
      <c r="G360" t="str">
        <f>IFERROR(VLOOKUP(Logs_Reseau_Part5[[#This Row],[Cell_ID]],Registre_Maintenance_Part[[ID_Antenne]:[Colonne2]],2,FALSE),"")</f>
        <v>Nord-Ubangi</v>
      </c>
      <c r="H360">
        <f>IFERROR(VLOOKUP(Logs_Reseau_Part5[[#This Row],[Cell_ID]],Registre_Maintenance_Part[[ID_Antenne]:[Colonne2]],3,FALSE),"")</f>
        <v>-1.342476</v>
      </c>
      <c r="I360">
        <f>IFERROR(VLOOKUP(Logs_Reseau_Part5[[#This Row],[Cell_ID]],Registre_Maintenance_Part[[ID_Antenne]:[Colonne2]],4,FALSE),"")</f>
        <v>15.986086</v>
      </c>
      <c r="J360" t="str">
        <f>IFERROR(VLOOKUP(Logs_Reseau_Part5[[#This Row],[Cell_ID]],Registre_Maintenance_Part[[ID_Antenne]:[Colonne2]],5,FALSE),"")</f>
        <v>4G</v>
      </c>
      <c r="K360" t="str">
        <f>IFERROR(VLOOKUP(Logs_Reseau_Part5[[#This Row],[Cell_ID]],Registre_Maintenance_Part[[ID_Antenne]:[Colonne2]],6,FALSE),"")</f>
        <v>Ericsson</v>
      </c>
    </row>
    <row r="361" spans="1:11" x14ac:dyDescent="0.3">
      <c r="A361" t="s">
        <v>1243</v>
      </c>
      <c r="B361" s="1">
        <v>45220.584027777782</v>
      </c>
      <c r="C361" s="2">
        <v>45220.584027777782</v>
      </c>
      <c r="D361" t="s">
        <v>1251</v>
      </c>
      <c r="E361">
        <v>92</v>
      </c>
      <c r="F361" t="s">
        <v>739</v>
      </c>
      <c r="G361" t="str">
        <f>IFERROR(VLOOKUP(Logs_Reseau_Part5[[#This Row],[Cell_ID]],Registre_Maintenance_Part[[ID_Antenne]:[Colonne2]],2,FALSE),"")</f>
        <v>Nord-Ubangi</v>
      </c>
      <c r="H361">
        <f>IFERROR(VLOOKUP(Logs_Reseau_Part5[[#This Row],[Cell_ID]],Registre_Maintenance_Part[[ID_Antenne]:[Colonne2]],3,FALSE),"")</f>
        <v>-11.588665000000001</v>
      </c>
      <c r="I361">
        <f>IFERROR(VLOOKUP(Logs_Reseau_Part5[[#This Row],[Cell_ID]],Registre_Maintenance_Part[[ID_Antenne]:[Colonne2]],4,FALSE),"")</f>
        <v>15.241552</v>
      </c>
      <c r="J361" t="str">
        <f>IFERROR(VLOOKUP(Logs_Reseau_Part5[[#This Row],[Cell_ID]],Registre_Maintenance_Part[[ID_Antenne]:[Colonne2]],5,FALSE),"")</f>
        <v>4G</v>
      </c>
      <c r="K361" t="str">
        <f>IFERROR(VLOOKUP(Logs_Reseau_Part5[[#This Row],[Cell_ID]],Registre_Maintenance_Part[[ID_Antenne]:[Colonne2]],6,FALSE),"")</f>
        <v>Nokia</v>
      </c>
    </row>
    <row r="362" spans="1:11" x14ac:dyDescent="0.3">
      <c r="A362" t="s">
        <v>1001</v>
      </c>
      <c r="B362" s="1">
        <v>45222.415277777778</v>
      </c>
      <c r="C362" s="2">
        <v>45222.415277777778</v>
      </c>
      <c r="D362" t="s">
        <v>1011</v>
      </c>
      <c r="E362">
        <v>73</v>
      </c>
      <c r="F362" t="s">
        <v>734</v>
      </c>
      <c r="G362" t="str">
        <f>IFERROR(VLOOKUP(Logs_Reseau_Part5[[#This Row],[Cell_ID]],Registre_Maintenance_Part[[ID_Antenne]:[Colonne2]],2,FALSE),"")</f>
        <v>Nord-Ubangi</v>
      </c>
      <c r="H362">
        <f>IFERROR(VLOOKUP(Logs_Reseau_Part5[[#This Row],[Cell_ID]],Registre_Maintenance_Part[[ID_Antenne]:[Colonne2]],3,FALSE),"")</f>
        <v>-4.8128659999999996</v>
      </c>
      <c r="I362">
        <f>IFERROR(VLOOKUP(Logs_Reseau_Part5[[#This Row],[Cell_ID]],Registre_Maintenance_Part[[ID_Antenne]:[Colonne2]],4,FALSE),"")</f>
        <v>18.559304999999998</v>
      </c>
      <c r="J362" t="str">
        <f>IFERROR(VLOOKUP(Logs_Reseau_Part5[[#This Row],[Cell_ID]],Registre_Maintenance_Part[[ID_Antenne]:[Colonne2]],5,FALSE),"")</f>
        <v>5G</v>
      </c>
      <c r="K362" t="str">
        <f>IFERROR(VLOOKUP(Logs_Reseau_Part5[[#This Row],[Cell_ID]],Registre_Maintenance_Part[[ID_Antenne]:[Colonne2]],6,FALSE),"")</f>
        <v>ZTE</v>
      </c>
    </row>
    <row r="363" spans="1:11" x14ac:dyDescent="0.3">
      <c r="A363" t="s">
        <v>980</v>
      </c>
      <c r="B363" s="1">
        <v>45225.317361111112</v>
      </c>
      <c r="C363" s="2">
        <v>45225.317361111112</v>
      </c>
      <c r="D363" t="s">
        <v>867</v>
      </c>
      <c r="E363">
        <v>56</v>
      </c>
      <c r="F363" t="s">
        <v>737</v>
      </c>
      <c r="G363" t="str">
        <f>IFERROR(VLOOKUP(Logs_Reseau_Part5[[#This Row],[Cell_ID]],Registre_Maintenance_Part[[ID_Antenne]:[Colonne2]],2,FALSE),"")</f>
        <v>Nord-Ubangi</v>
      </c>
      <c r="H363">
        <f>IFERROR(VLOOKUP(Logs_Reseau_Part5[[#This Row],[Cell_ID]],Registre_Maintenance_Part[[ID_Antenne]:[Colonne2]],3,FALSE),"")</f>
        <v>-7.9987219999999999</v>
      </c>
      <c r="I363">
        <f>IFERROR(VLOOKUP(Logs_Reseau_Part5[[#This Row],[Cell_ID]],Registre_Maintenance_Part[[ID_Antenne]:[Colonne2]],4,FALSE),"")</f>
        <v>12.779335</v>
      </c>
      <c r="J363" t="str">
        <f>IFERROR(VLOOKUP(Logs_Reseau_Part5[[#This Row],[Cell_ID]],Registre_Maintenance_Part[[ID_Antenne]:[Colonne2]],5,FALSE),"")</f>
        <v>5G</v>
      </c>
      <c r="K363" t="str">
        <f>IFERROR(VLOOKUP(Logs_Reseau_Part5[[#This Row],[Cell_ID]],Registre_Maintenance_Part[[ID_Antenne]:[Colonne2]],6,FALSE),"")</f>
        <v>Nokia</v>
      </c>
    </row>
    <row r="364" spans="1:11" x14ac:dyDescent="0.3">
      <c r="A364" t="s">
        <v>1290</v>
      </c>
      <c r="B364" s="1">
        <v>45226.209027777782</v>
      </c>
      <c r="C364" s="2">
        <v>45226.209027777782</v>
      </c>
      <c r="D364" t="s">
        <v>1203</v>
      </c>
      <c r="E364">
        <v>81</v>
      </c>
      <c r="F364" t="s">
        <v>739</v>
      </c>
      <c r="G364" t="str">
        <f>IFERROR(VLOOKUP(Logs_Reseau_Part5[[#This Row],[Cell_ID]],Registre_Maintenance_Part[[ID_Antenne]:[Colonne2]],2,FALSE),"")</f>
        <v>Nord-Ubangi</v>
      </c>
      <c r="H364">
        <f>IFERROR(VLOOKUP(Logs_Reseau_Part5[[#This Row],[Cell_ID]],Registre_Maintenance_Part[[ID_Antenne]:[Colonne2]],3,FALSE),"")</f>
        <v>-8.4985189999999999</v>
      </c>
      <c r="I364">
        <f>IFERROR(VLOOKUP(Logs_Reseau_Part5[[#This Row],[Cell_ID]],Registre_Maintenance_Part[[ID_Antenne]:[Colonne2]],4,FALSE),"")</f>
        <v>12.929456999999999</v>
      </c>
      <c r="J364" t="str">
        <f>IFERROR(VLOOKUP(Logs_Reseau_Part5[[#This Row],[Cell_ID]],Registre_Maintenance_Part[[ID_Antenne]:[Colonne2]],5,FALSE),"")</f>
        <v>4G</v>
      </c>
      <c r="K364" t="str">
        <f>IFERROR(VLOOKUP(Logs_Reseau_Part5[[#This Row],[Cell_ID]],Registre_Maintenance_Part[[ID_Antenne]:[Colonne2]],6,FALSE),"")</f>
        <v>Ericsson</v>
      </c>
    </row>
    <row r="365" spans="1:11" x14ac:dyDescent="0.3">
      <c r="A365" t="s">
        <v>980</v>
      </c>
      <c r="B365" s="1">
        <v>45226.586805555547</v>
      </c>
      <c r="C365" s="2">
        <v>45226.586805555547</v>
      </c>
      <c r="D365" t="s">
        <v>992</v>
      </c>
      <c r="E365">
        <v>33</v>
      </c>
      <c r="F365" t="s">
        <v>739</v>
      </c>
      <c r="G365" t="str">
        <f>IFERROR(VLOOKUP(Logs_Reseau_Part5[[#This Row],[Cell_ID]],Registre_Maintenance_Part[[ID_Antenne]:[Colonne2]],2,FALSE),"")</f>
        <v>Nord-Ubangi</v>
      </c>
      <c r="H365">
        <f>IFERROR(VLOOKUP(Logs_Reseau_Part5[[#This Row],[Cell_ID]],Registre_Maintenance_Part[[ID_Antenne]:[Colonne2]],3,FALSE),"")</f>
        <v>-7.7839049999999999</v>
      </c>
      <c r="I365">
        <f>IFERROR(VLOOKUP(Logs_Reseau_Part5[[#This Row],[Cell_ID]],Registre_Maintenance_Part[[ID_Antenne]:[Colonne2]],4,FALSE),"")</f>
        <v>14.114281999999999</v>
      </c>
      <c r="J365" t="str">
        <f>IFERROR(VLOOKUP(Logs_Reseau_Part5[[#This Row],[Cell_ID]],Registre_Maintenance_Part[[ID_Antenne]:[Colonne2]],5,FALSE),"")</f>
        <v>3G</v>
      </c>
      <c r="K365" t="str">
        <f>IFERROR(VLOOKUP(Logs_Reseau_Part5[[#This Row],[Cell_ID]],Registre_Maintenance_Part[[ID_Antenne]:[Colonne2]],6,FALSE),"")</f>
        <v>ZTE</v>
      </c>
    </row>
    <row r="366" spans="1:11" x14ac:dyDescent="0.3">
      <c r="A366" t="s">
        <v>863</v>
      </c>
      <c r="B366" s="1">
        <v>45226.623611111107</v>
      </c>
      <c r="C366" s="2">
        <v>45226.623611111107</v>
      </c>
      <c r="D366" t="s">
        <v>867</v>
      </c>
      <c r="E366">
        <v>98</v>
      </c>
      <c r="F366" t="s">
        <v>739</v>
      </c>
      <c r="G366" t="str">
        <f>IFERROR(VLOOKUP(Logs_Reseau_Part5[[#This Row],[Cell_ID]],Registre_Maintenance_Part[[ID_Antenne]:[Colonne2]],2,FALSE),"")</f>
        <v>Nord-Ubangi</v>
      </c>
      <c r="H366">
        <f>IFERROR(VLOOKUP(Logs_Reseau_Part5[[#This Row],[Cell_ID]],Registre_Maintenance_Part[[ID_Antenne]:[Colonne2]],3,FALSE),"")</f>
        <v>-7.9987219999999999</v>
      </c>
      <c r="I366">
        <f>IFERROR(VLOOKUP(Logs_Reseau_Part5[[#This Row],[Cell_ID]],Registre_Maintenance_Part[[ID_Antenne]:[Colonne2]],4,FALSE),"")</f>
        <v>12.779335</v>
      </c>
      <c r="J366" t="str">
        <f>IFERROR(VLOOKUP(Logs_Reseau_Part5[[#This Row],[Cell_ID]],Registre_Maintenance_Part[[ID_Antenne]:[Colonne2]],5,FALSE),"")</f>
        <v>5G</v>
      </c>
      <c r="K366" t="str">
        <f>IFERROR(VLOOKUP(Logs_Reseau_Part5[[#This Row],[Cell_ID]],Registre_Maintenance_Part[[ID_Antenne]:[Colonne2]],6,FALSE),"")</f>
        <v>Nokia</v>
      </c>
    </row>
    <row r="367" spans="1:11" x14ac:dyDescent="0.3">
      <c r="A367" t="s">
        <v>1363</v>
      </c>
      <c r="B367" s="1">
        <v>45226.997916666667</v>
      </c>
      <c r="C367" s="2">
        <v>45226.997916666667</v>
      </c>
      <c r="D367" t="s">
        <v>1376</v>
      </c>
      <c r="E367">
        <v>53</v>
      </c>
      <c r="F367" t="s">
        <v>739</v>
      </c>
      <c r="G367" t="str">
        <f>IFERROR(VLOOKUP(Logs_Reseau_Part5[[#This Row],[Cell_ID]],Registre_Maintenance_Part[[ID_Antenne]:[Colonne2]],2,FALSE),"")</f>
        <v>Nord-Ubangi</v>
      </c>
      <c r="H367">
        <f>IFERROR(VLOOKUP(Logs_Reseau_Part5[[#This Row],[Cell_ID]],Registre_Maintenance_Part[[ID_Antenne]:[Colonne2]],3,FALSE),"")</f>
        <v>-7.8373179999999998</v>
      </c>
      <c r="I367">
        <f>IFERROR(VLOOKUP(Logs_Reseau_Part5[[#This Row],[Cell_ID]],Registre_Maintenance_Part[[ID_Antenne]:[Colonne2]],4,FALSE),"")</f>
        <v>20.527591999999999</v>
      </c>
      <c r="J367" t="str">
        <f>IFERROR(VLOOKUP(Logs_Reseau_Part5[[#This Row],[Cell_ID]],Registre_Maintenance_Part[[ID_Antenne]:[Colonne2]],5,FALSE),"")</f>
        <v>4G</v>
      </c>
      <c r="K367" t="str">
        <f>IFERROR(VLOOKUP(Logs_Reseau_Part5[[#This Row],[Cell_ID]],Registre_Maintenance_Part[[ID_Antenne]:[Colonne2]],6,FALSE),"")</f>
        <v>Ericsson</v>
      </c>
    </row>
    <row r="368" spans="1:11" x14ac:dyDescent="0.3">
      <c r="A368" t="s">
        <v>732</v>
      </c>
      <c r="B368" s="1">
        <v>45227.033333333333</v>
      </c>
      <c r="C368" s="2">
        <v>45227.033333333333</v>
      </c>
      <c r="D368" t="s">
        <v>748</v>
      </c>
      <c r="E368">
        <v>68</v>
      </c>
      <c r="F368" t="s">
        <v>739</v>
      </c>
      <c r="G368" t="str">
        <f>IFERROR(VLOOKUP(Logs_Reseau_Part5[[#This Row],[Cell_ID]],Registre_Maintenance_Part[[ID_Antenne]:[Colonne2]],2,FALSE),"")</f>
        <v>Nord-Ubangi</v>
      </c>
      <c r="H368">
        <f>IFERROR(VLOOKUP(Logs_Reseau_Part5[[#This Row],[Cell_ID]],Registre_Maintenance_Part[[ID_Antenne]:[Colonne2]],3,FALSE),"")</f>
        <v>-10.375266999999999</v>
      </c>
      <c r="I368">
        <f>IFERROR(VLOOKUP(Logs_Reseau_Part5[[#This Row],[Cell_ID]],Registre_Maintenance_Part[[ID_Antenne]:[Colonne2]],4,FALSE),"")</f>
        <v>17.993663000000002</v>
      </c>
      <c r="J368" t="str">
        <f>IFERROR(VLOOKUP(Logs_Reseau_Part5[[#This Row],[Cell_ID]],Registre_Maintenance_Part[[ID_Antenne]:[Colonne2]],5,FALSE),"")</f>
        <v>5G</v>
      </c>
      <c r="K368" t="str">
        <f>IFERROR(VLOOKUP(Logs_Reseau_Part5[[#This Row],[Cell_ID]],Registre_Maintenance_Part[[ID_Antenne]:[Colonne2]],6,FALSE),"")</f>
        <v>ZTE</v>
      </c>
    </row>
    <row r="369" spans="1:11" x14ac:dyDescent="0.3">
      <c r="A369" t="s">
        <v>941</v>
      </c>
      <c r="B369" s="1">
        <v>45227.587500000001</v>
      </c>
      <c r="C369" s="2">
        <v>45227.587500000001</v>
      </c>
      <c r="D369" t="s">
        <v>881</v>
      </c>
      <c r="E369">
        <v>50</v>
      </c>
      <c r="F369" t="s">
        <v>737</v>
      </c>
      <c r="G369" t="str">
        <f>IFERROR(VLOOKUP(Logs_Reseau_Part5[[#This Row],[Cell_ID]],Registre_Maintenance_Part[[ID_Antenne]:[Colonne2]],2,FALSE),"")</f>
        <v>Nord-Ubangi</v>
      </c>
      <c r="H369">
        <f>IFERROR(VLOOKUP(Logs_Reseau_Part5[[#This Row],[Cell_ID]],Registre_Maintenance_Part[[ID_Antenne]:[Colonne2]],3,FALSE),"")</f>
        <v>-1.342476</v>
      </c>
      <c r="I369">
        <f>IFERROR(VLOOKUP(Logs_Reseau_Part5[[#This Row],[Cell_ID]],Registre_Maintenance_Part[[ID_Antenne]:[Colonne2]],4,FALSE),"")</f>
        <v>15.986086</v>
      </c>
      <c r="J369" t="str">
        <f>IFERROR(VLOOKUP(Logs_Reseau_Part5[[#This Row],[Cell_ID]],Registre_Maintenance_Part[[ID_Antenne]:[Colonne2]],5,FALSE),"")</f>
        <v>4G</v>
      </c>
      <c r="K369" t="str">
        <f>IFERROR(VLOOKUP(Logs_Reseau_Part5[[#This Row],[Cell_ID]],Registre_Maintenance_Part[[ID_Antenne]:[Colonne2]],6,FALSE),"")</f>
        <v>Ericsson</v>
      </c>
    </row>
    <row r="370" spans="1:11" x14ac:dyDescent="0.3">
      <c r="A370" t="s">
        <v>1116</v>
      </c>
      <c r="B370" s="1">
        <v>45229.722916666673</v>
      </c>
      <c r="C370" s="2">
        <v>45229.722916666673</v>
      </c>
      <c r="D370" t="s">
        <v>881</v>
      </c>
      <c r="E370">
        <v>76</v>
      </c>
      <c r="F370" t="s">
        <v>737</v>
      </c>
      <c r="G370" t="str">
        <f>IFERROR(VLOOKUP(Logs_Reseau_Part5[[#This Row],[Cell_ID]],Registre_Maintenance_Part[[ID_Antenne]:[Colonne2]],2,FALSE),"")</f>
        <v>Nord-Ubangi</v>
      </c>
      <c r="H370">
        <f>IFERROR(VLOOKUP(Logs_Reseau_Part5[[#This Row],[Cell_ID]],Registre_Maintenance_Part[[ID_Antenne]:[Colonne2]],3,FALSE),"")</f>
        <v>-1.342476</v>
      </c>
      <c r="I370">
        <f>IFERROR(VLOOKUP(Logs_Reseau_Part5[[#This Row],[Cell_ID]],Registre_Maintenance_Part[[ID_Antenne]:[Colonne2]],4,FALSE),"")</f>
        <v>15.986086</v>
      </c>
      <c r="J370" t="str">
        <f>IFERROR(VLOOKUP(Logs_Reseau_Part5[[#This Row],[Cell_ID]],Registre_Maintenance_Part[[ID_Antenne]:[Colonne2]],5,FALSE),"")</f>
        <v>4G</v>
      </c>
      <c r="K370" t="str">
        <f>IFERROR(VLOOKUP(Logs_Reseau_Part5[[#This Row],[Cell_ID]],Registre_Maintenance_Part[[ID_Antenne]:[Colonne2]],6,FALSE),"")</f>
        <v>Ericsson</v>
      </c>
    </row>
    <row r="371" spans="1:11" x14ac:dyDescent="0.3">
      <c r="A371" t="s">
        <v>1263</v>
      </c>
      <c r="B371" s="1">
        <v>45229.972222222219</v>
      </c>
      <c r="C371" s="2">
        <v>45229.972222222219</v>
      </c>
      <c r="D371" t="s">
        <v>1203</v>
      </c>
      <c r="E371">
        <v>5</v>
      </c>
      <c r="F371" t="s">
        <v>739</v>
      </c>
      <c r="G371" t="str">
        <f>IFERROR(VLOOKUP(Logs_Reseau_Part5[[#This Row],[Cell_ID]],Registre_Maintenance_Part[[ID_Antenne]:[Colonne2]],2,FALSE),"")</f>
        <v>Nord-Ubangi</v>
      </c>
      <c r="H371">
        <f>IFERROR(VLOOKUP(Logs_Reseau_Part5[[#This Row],[Cell_ID]],Registre_Maintenance_Part[[ID_Antenne]:[Colonne2]],3,FALSE),"")</f>
        <v>-8.4985189999999999</v>
      </c>
      <c r="I371">
        <f>IFERROR(VLOOKUP(Logs_Reseau_Part5[[#This Row],[Cell_ID]],Registre_Maintenance_Part[[ID_Antenne]:[Colonne2]],4,FALSE),"")</f>
        <v>12.929456999999999</v>
      </c>
      <c r="J371" t="str">
        <f>IFERROR(VLOOKUP(Logs_Reseau_Part5[[#This Row],[Cell_ID]],Registre_Maintenance_Part[[ID_Antenne]:[Colonne2]],5,FALSE),"")</f>
        <v>4G</v>
      </c>
      <c r="K371" t="str">
        <f>IFERROR(VLOOKUP(Logs_Reseau_Part5[[#This Row],[Cell_ID]],Registre_Maintenance_Part[[ID_Antenne]:[Colonne2]],6,FALSE),"")</f>
        <v>Ericsson</v>
      </c>
    </row>
    <row r="372" spans="1:11" x14ac:dyDescent="0.3">
      <c r="A372" t="s">
        <v>1167</v>
      </c>
      <c r="B372" s="1">
        <v>45230.009027777778</v>
      </c>
      <c r="C372" s="2">
        <v>45230.009027777778</v>
      </c>
      <c r="D372" t="s">
        <v>813</v>
      </c>
      <c r="E372">
        <v>11</v>
      </c>
      <c r="F372" t="s">
        <v>737</v>
      </c>
      <c r="G372" t="str">
        <f>IFERROR(VLOOKUP(Logs_Reseau_Part5[[#This Row],[Cell_ID]],Registre_Maintenance_Part[[ID_Antenne]:[Colonne2]],2,FALSE),"")</f>
        <v>Nord-Ubangi</v>
      </c>
      <c r="H372">
        <f>IFERROR(VLOOKUP(Logs_Reseau_Part5[[#This Row],[Cell_ID]],Registre_Maintenance_Part[[ID_Antenne]:[Colonne2]],3,FALSE),"")</f>
        <v>0.94539899999999999</v>
      </c>
      <c r="I372">
        <f>IFERROR(VLOOKUP(Logs_Reseau_Part5[[#This Row],[Cell_ID]],Registre_Maintenance_Part[[ID_Antenne]:[Colonne2]],4,FALSE),"")</f>
        <v>14.401821999999999</v>
      </c>
      <c r="J372" t="str">
        <f>IFERROR(VLOOKUP(Logs_Reseau_Part5[[#This Row],[Cell_ID]],Registre_Maintenance_Part[[ID_Antenne]:[Colonne2]],5,FALSE),"")</f>
        <v>5G</v>
      </c>
      <c r="K372" t="str">
        <f>IFERROR(VLOOKUP(Logs_Reseau_Part5[[#This Row],[Cell_ID]],Registre_Maintenance_Part[[ID_Antenne]:[Colonne2]],6,FALSE),"")</f>
        <v>Nokia</v>
      </c>
    </row>
    <row r="373" spans="1:11" x14ac:dyDescent="0.3">
      <c r="A373" t="s">
        <v>1347</v>
      </c>
      <c r="B373" s="1">
        <v>45230.64166666667</v>
      </c>
      <c r="C373" s="2">
        <v>45230.64166666667</v>
      </c>
      <c r="D373" t="s">
        <v>1359</v>
      </c>
      <c r="E373">
        <v>106</v>
      </c>
      <c r="F373" t="s">
        <v>734</v>
      </c>
      <c r="G373" t="str">
        <f>IFERROR(VLOOKUP(Logs_Reseau_Part5[[#This Row],[Cell_ID]],Registre_Maintenance_Part[[ID_Antenne]:[Colonne2]],2,FALSE),"")</f>
        <v>Nord-Ubangi</v>
      </c>
      <c r="H373">
        <f>IFERROR(VLOOKUP(Logs_Reseau_Part5[[#This Row],[Cell_ID]],Registre_Maintenance_Part[[ID_Antenne]:[Colonne2]],3,FALSE),"")</f>
        <v>-6.8149179999999996</v>
      </c>
      <c r="I373">
        <f>IFERROR(VLOOKUP(Logs_Reseau_Part5[[#This Row],[Cell_ID]],Registre_Maintenance_Part[[ID_Antenne]:[Colonne2]],4,FALSE),"")</f>
        <v>23.258102000000001</v>
      </c>
      <c r="J373" t="str">
        <f>IFERROR(VLOOKUP(Logs_Reseau_Part5[[#This Row],[Cell_ID]],Registre_Maintenance_Part[[ID_Antenne]:[Colonne2]],5,FALSE),"")</f>
        <v>5G</v>
      </c>
      <c r="K373" t="str">
        <f>IFERROR(VLOOKUP(Logs_Reseau_Part5[[#This Row],[Cell_ID]],Registre_Maintenance_Part[[ID_Antenne]:[Colonne2]],6,FALSE),"")</f>
        <v>Huawei</v>
      </c>
    </row>
    <row r="374" spans="1:11" x14ac:dyDescent="0.3">
      <c r="A374" t="s">
        <v>1363</v>
      </c>
      <c r="B374" s="1">
        <v>45200.913888888892</v>
      </c>
      <c r="C374" s="2">
        <v>45200.913888888892</v>
      </c>
      <c r="D374" t="s">
        <v>1375</v>
      </c>
      <c r="E374">
        <v>87</v>
      </c>
      <c r="F374" t="s">
        <v>734</v>
      </c>
      <c r="G374" t="str">
        <f>IFERROR(VLOOKUP(Logs_Reseau_Part5[[#This Row],[Cell_ID]],Registre_Maintenance_Part[[ID_Antenne]:[Colonne2]],2,FALSE),"")</f>
        <v>Sankuru</v>
      </c>
      <c r="H374">
        <f>IFERROR(VLOOKUP(Logs_Reseau_Part5[[#This Row],[Cell_ID]],Registre_Maintenance_Part[[ID_Antenne]:[Colonne2]],3,FALSE),"")</f>
        <v>3.175935</v>
      </c>
      <c r="I374">
        <f>IFERROR(VLOOKUP(Logs_Reseau_Part5[[#This Row],[Cell_ID]],Registre_Maintenance_Part[[ID_Antenne]:[Colonne2]],4,FALSE),"")</f>
        <v>16.862832000000001</v>
      </c>
      <c r="J374" t="str">
        <f>IFERROR(VLOOKUP(Logs_Reseau_Part5[[#This Row],[Cell_ID]],Registre_Maintenance_Part[[ID_Antenne]:[Colonne2]],5,FALSE),"")</f>
        <v>5G</v>
      </c>
      <c r="K374" t="str">
        <f>IFERROR(VLOOKUP(Logs_Reseau_Part5[[#This Row],[Cell_ID]],Registre_Maintenance_Part[[ID_Antenne]:[Colonne2]],6,FALSE),"")</f>
        <v>Ericsson</v>
      </c>
    </row>
    <row r="375" spans="1:11" x14ac:dyDescent="0.3">
      <c r="A375" t="s">
        <v>1001</v>
      </c>
      <c r="B375" s="1">
        <v>45205.191666666673</v>
      </c>
      <c r="C375" s="2">
        <v>45205.191666666673</v>
      </c>
      <c r="D375" t="s">
        <v>1012</v>
      </c>
      <c r="E375">
        <v>34</v>
      </c>
      <c r="F375" t="s">
        <v>734</v>
      </c>
      <c r="G375" t="str">
        <f>IFERROR(VLOOKUP(Logs_Reseau_Part5[[#This Row],[Cell_ID]],Registre_Maintenance_Part[[ID_Antenne]:[Colonne2]],2,FALSE),"")</f>
        <v>Sankuru</v>
      </c>
      <c r="H375">
        <f>IFERROR(VLOOKUP(Logs_Reseau_Part5[[#This Row],[Cell_ID]],Registre_Maintenance_Part[[ID_Antenne]:[Colonne2]],3,FALSE),"")</f>
        <v>-4.7886769999999999</v>
      </c>
      <c r="I375">
        <f>IFERROR(VLOOKUP(Logs_Reseau_Part5[[#This Row],[Cell_ID]],Registre_Maintenance_Part[[ID_Antenne]:[Colonne2]],4,FALSE),"")</f>
        <v>23.600221999999999</v>
      </c>
      <c r="J375" t="str">
        <f>IFERROR(VLOOKUP(Logs_Reseau_Part5[[#This Row],[Cell_ID]],Registre_Maintenance_Part[[ID_Antenne]:[Colonne2]],5,FALSE),"")</f>
        <v>3G</v>
      </c>
      <c r="K375" t="str">
        <f>IFERROR(VLOOKUP(Logs_Reseau_Part5[[#This Row],[Cell_ID]],Registre_Maintenance_Part[[ID_Antenne]:[Colonne2]],6,FALSE),"")</f>
        <v>ZTE</v>
      </c>
    </row>
    <row r="376" spans="1:11" x14ac:dyDescent="0.3">
      <c r="A376" t="s">
        <v>1384</v>
      </c>
      <c r="B376" s="1">
        <v>45207.701388888891</v>
      </c>
      <c r="C376" s="2">
        <v>45207.701388888891</v>
      </c>
      <c r="D376" t="s">
        <v>1405</v>
      </c>
      <c r="E376">
        <v>27</v>
      </c>
      <c r="F376" t="s">
        <v>739</v>
      </c>
      <c r="G376" t="str">
        <f>IFERROR(VLOOKUP(Logs_Reseau_Part5[[#This Row],[Cell_ID]],Registre_Maintenance_Part[[ID_Antenne]:[Colonne2]],2,FALSE),"")</f>
        <v>Sankuru</v>
      </c>
      <c r="H376">
        <f>IFERROR(VLOOKUP(Logs_Reseau_Part5[[#This Row],[Cell_ID]],Registre_Maintenance_Part[[ID_Antenne]:[Colonne2]],3,FALSE),"")</f>
        <v>-10.764815</v>
      </c>
      <c r="I376">
        <f>IFERROR(VLOOKUP(Logs_Reseau_Part5[[#This Row],[Cell_ID]],Registre_Maintenance_Part[[ID_Antenne]:[Colonne2]],4,FALSE),"")</f>
        <v>14.602039</v>
      </c>
      <c r="J376" t="str">
        <f>IFERROR(VLOOKUP(Logs_Reseau_Part5[[#This Row],[Cell_ID]],Registre_Maintenance_Part[[ID_Antenne]:[Colonne2]],5,FALSE),"")</f>
        <v>4G</v>
      </c>
      <c r="K376" t="str">
        <f>IFERROR(VLOOKUP(Logs_Reseau_Part5[[#This Row],[Cell_ID]],Registre_Maintenance_Part[[ID_Antenne]:[Colonne2]],6,FALSE),"")</f>
        <v>Nokia</v>
      </c>
    </row>
    <row r="377" spans="1:11" x14ac:dyDescent="0.3">
      <c r="A377" t="s">
        <v>1026</v>
      </c>
      <c r="B377" s="1">
        <v>45209.365277777782</v>
      </c>
      <c r="C377" s="2">
        <v>45209.365277777782</v>
      </c>
      <c r="D377" t="s">
        <v>1044</v>
      </c>
      <c r="E377">
        <v>120</v>
      </c>
      <c r="F377" t="s">
        <v>734</v>
      </c>
      <c r="G377" t="str">
        <f>IFERROR(VLOOKUP(Logs_Reseau_Part5[[#This Row],[Cell_ID]],Registre_Maintenance_Part[[ID_Antenne]:[Colonne2]],2,FALSE),"")</f>
        <v>Sankuru</v>
      </c>
      <c r="H377">
        <f>IFERROR(VLOOKUP(Logs_Reseau_Part5[[#This Row],[Cell_ID]],Registre_Maintenance_Part[[ID_Antenne]:[Colonne2]],3,FALSE),"")</f>
        <v>-1.4110389999999999</v>
      </c>
      <c r="I377">
        <f>IFERROR(VLOOKUP(Logs_Reseau_Part5[[#This Row],[Cell_ID]],Registre_Maintenance_Part[[ID_Antenne]:[Colonne2]],4,FALSE),"")</f>
        <v>21.261644</v>
      </c>
      <c r="J377" t="str">
        <f>IFERROR(VLOOKUP(Logs_Reseau_Part5[[#This Row],[Cell_ID]],Registre_Maintenance_Part[[ID_Antenne]:[Colonne2]],5,FALSE),"")</f>
        <v>4G</v>
      </c>
      <c r="K377" t="str">
        <f>IFERROR(VLOOKUP(Logs_Reseau_Part5[[#This Row],[Cell_ID]],Registre_Maintenance_Part[[ID_Antenne]:[Colonne2]],6,FALSE),"")</f>
        <v>ZTE</v>
      </c>
    </row>
    <row r="378" spans="1:11" x14ac:dyDescent="0.3">
      <c r="A378" t="s">
        <v>1195</v>
      </c>
      <c r="B378" s="1">
        <v>45211.724999999999</v>
      </c>
      <c r="C378" s="2">
        <v>45211.724999999999</v>
      </c>
      <c r="D378" t="s">
        <v>1044</v>
      </c>
      <c r="E378">
        <v>84</v>
      </c>
      <c r="F378" t="s">
        <v>739</v>
      </c>
      <c r="G378" t="str">
        <f>IFERROR(VLOOKUP(Logs_Reseau_Part5[[#This Row],[Cell_ID]],Registre_Maintenance_Part[[ID_Antenne]:[Colonne2]],2,FALSE),"")</f>
        <v>Sankuru</v>
      </c>
      <c r="H378">
        <f>IFERROR(VLOOKUP(Logs_Reseau_Part5[[#This Row],[Cell_ID]],Registre_Maintenance_Part[[ID_Antenne]:[Colonne2]],3,FALSE),"")</f>
        <v>-1.4110389999999999</v>
      </c>
      <c r="I378">
        <f>IFERROR(VLOOKUP(Logs_Reseau_Part5[[#This Row],[Cell_ID]],Registre_Maintenance_Part[[ID_Antenne]:[Colonne2]],4,FALSE),"")</f>
        <v>21.261644</v>
      </c>
      <c r="J378" t="str">
        <f>IFERROR(VLOOKUP(Logs_Reseau_Part5[[#This Row],[Cell_ID]],Registre_Maintenance_Part[[ID_Antenne]:[Colonne2]],5,FALSE),"")</f>
        <v>4G</v>
      </c>
      <c r="K378" t="str">
        <f>IFERROR(VLOOKUP(Logs_Reseau_Part5[[#This Row],[Cell_ID]],Registre_Maintenance_Part[[ID_Antenne]:[Colonne2]],6,FALSE),"")</f>
        <v>ZTE</v>
      </c>
    </row>
    <row r="379" spans="1:11" x14ac:dyDescent="0.3">
      <c r="A379" t="s">
        <v>941</v>
      </c>
      <c r="B379" s="1">
        <v>45213.779861111107</v>
      </c>
      <c r="C379" s="2">
        <v>45213.779861111107</v>
      </c>
      <c r="D379" t="s">
        <v>969</v>
      </c>
      <c r="E379">
        <v>120</v>
      </c>
      <c r="F379" t="s">
        <v>734</v>
      </c>
      <c r="G379" t="str">
        <f>IFERROR(VLOOKUP(Logs_Reseau_Part5[[#This Row],[Cell_ID]],Registre_Maintenance_Part[[ID_Antenne]:[Colonne2]],2,FALSE),"")</f>
        <v>Sankuru</v>
      </c>
      <c r="H379">
        <f>IFERROR(VLOOKUP(Logs_Reseau_Part5[[#This Row],[Cell_ID]],Registre_Maintenance_Part[[ID_Antenne]:[Colonne2]],3,FALSE),"")</f>
        <v>-7.5969509999999998</v>
      </c>
      <c r="I379">
        <f>IFERROR(VLOOKUP(Logs_Reseau_Part5[[#This Row],[Cell_ID]],Registre_Maintenance_Part[[ID_Antenne]:[Colonne2]],4,FALSE),"")</f>
        <v>22.153986</v>
      </c>
      <c r="J379" t="str">
        <f>IFERROR(VLOOKUP(Logs_Reseau_Part5[[#This Row],[Cell_ID]],Registre_Maintenance_Part[[ID_Antenne]:[Colonne2]],5,FALSE),"")</f>
        <v>3G</v>
      </c>
      <c r="K379" t="str">
        <f>IFERROR(VLOOKUP(Logs_Reseau_Part5[[#This Row],[Cell_ID]],Registre_Maintenance_Part[[ID_Antenne]:[Colonne2]],6,FALSE),"")</f>
        <v>Ericsson</v>
      </c>
    </row>
    <row r="380" spans="1:11" x14ac:dyDescent="0.3">
      <c r="A380" t="s">
        <v>1363</v>
      </c>
      <c r="B380" s="1">
        <v>45213.87222222222</v>
      </c>
      <c r="C380" s="2">
        <v>45213.87222222222</v>
      </c>
      <c r="D380" t="s">
        <v>1368</v>
      </c>
      <c r="E380">
        <v>46</v>
      </c>
      <c r="F380" t="s">
        <v>737</v>
      </c>
      <c r="G380" t="str">
        <f>IFERROR(VLOOKUP(Logs_Reseau_Part5[[#This Row],[Cell_ID]],Registre_Maintenance_Part[[ID_Antenne]:[Colonne2]],2,FALSE),"")</f>
        <v>Sankuru</v>
      </c>
      <c r="H380">
        <f>IFERROR(VLOOKUP(Logs_Reseau_Part5[[#This Row],[Cell_ID]],Registre_Maintenance_Part[[ID_Antenne]:[Colonne2]],3,FALSE),"")</f>
        <v>-7.513261</v>
      </c>
      <c r="I380">
        <f>IFERROR(VLOOKUP(Logs_Reseau_Part5[[#This Row],[Cell_ID]],Registre_Maintenance_Part[[ID_Antenne]:[Colonne2]],4,FALSE),"")</f>
        <v>24.338812000000001</v>
      </c>
      <c r="J380" t="str">
        <f>IFERROR(VLOOKUP(Logs_Reseau_Part5[[#This Row],[Cell_ID]],Registre_Maintenance_Part[[ID_Antenne]:[Colonne2]],5,FALSE),"")</f>
        <v>5G</v>
      </c>
      <c r="K380" t="str">
        <f>IFERROR(VLOOKUP(Logs_Reseau_Part5[[#This Row],[Cell_ID]],Registre_Maintenance_Part[[ID_Antenne]:[Colonne2]],6,FALSE),"")</f>
        <v>Huawei</v>
      </c>
    </row>
    <row r="381" spans="1:11" x14ac:dyDescent="0.3">
      <c r="A381" t="s">
        <v>781</v>
      </c>
      <c r="B381" s="1">
        <v>45213.948611111111</v>
      </c>
      <c r="C381" s="2">
        <v>45213.948611111111</v>
      </c>
      <c r="D381" t="s">
        <v>801</v>
      </c>
      <c r="E381">
        <v>72</v>
      </c>
      <c r="F381" t="s">
        <v>737</v>
      </c>
      <c r="G381" t="str">
        <f>IFERROR(VLOOKUP(Logs_Reseau_Part5[[#This Row],[Cell_ID]],Registre_Maintenance_Part[[ID_Antenne]:[Colonne2]],2,FALSE),"")</f>
        <v>Sankuru</v>
      </c>
      <c r="H381">
        <f>IFERROR(VLOOKUP(Logs_Reseau_Part5[[#This Row],[Cell_ID]],Registre_Maintenance_Part[[ID_Antenne]:[Colonne2]],3,FALSE),"")</f>
        <v>-2.7140689999999998</v>
      </c>
      <c r="I381">
        <f>IFERROR(VLOOKUP(Logs_Reseau_Part5[[#This Row],[Cell_ID]],Registre_Maintenance_Part[[ID_Antenne]:[Colonne2]],4,FALSE),"")</f>
        <v>22.222104000000002</v>
      </c>
      <c r="J381" t="str">
        <f>IFERROR(VLOOKUP(Logs_Reseau_Part5[[#This Row],[Cell_ID]],Registre_Maintenance_Part[[ID_Antenne]:[Colonne2]],5,FALSE),"")</f>
        <v>4G</v>
      </c>
      <c r="K381" t="str">
        <f>IFERROR(VLOOKUP(Logs_Reseau_Part5[[#This Row],[Cell_ID]],Registre_Maintenance_Part[[ID_Antenne]:[Colonne2]],6,FALSE),"")</f>
        <v>Nokia</v>
      </c>
    </row>
    <row r="382" spans="1:11" x14ac:dyDescent="0.3">
      <c r="A382" t="s">
        <v>1116</v>
      </c>
      <c r="B382" s="1">
        <v>45215.990277777782</v>
      </c>
      <c r="C382" s="2">
        <v>45215.990277777782</v>
      </c>
      <c r="D382" t="s">
        <v>1044</v>
      </c>
      <c r="E382">
        <v>66</v>
      </c>
      <c r="F382" t="s">
        <v>739</v>
      </c>
      <c r="G382" t="str">
        <f>IFERROR(VLOOKUP(Logs_Reseau_Part5[[#This Row],[Cell_ID]],Registre_Maintenance_Part[[ID_Antenne]:[Colonne2]],2,FALSE),"")</f>
        <v>Sankuru</v>
      </c>
      <c r="H382">
        <f>IFERROR(VLOOKUP(Logs_Reseau_Part5[[#This Row],[Cell_ID]],Registre_Maintenance_Part[[ID_Antenne]:[Colonne2]],3,FALSE),"")</f>
        <v>-1.4110389999999999</v>
      </c>
      <c r="I382">
        <f>IFERROR(VLOOKUP(Logs_Reseau_Part5[[#This Row],[Cell_ID]],Registre_Maintenance_Part[[ID_Antenne]:[Colonne2]],4,FALSE),"")</f>
        <v>21.261644</v>
      </c>
      <c r="J382" t="str">
        <f>IFERROR(VLOOKUP(Logs_Reseau_Part5[[#This Row],[Cell_ID]],Registre_Maintenance_Part[[ID_Antenne]:[Colonne2]],5,FALSE),"")</f>
        <v>4G</v>
      </c>
      <c r="K382" t="str">
        <f>IFERROR(VLOOKUP(Logs_Reseau_Part5[[#This Row],[Cell_ID]],Registre_Maintenance_Part[[ID_Antenne]:[Colonne2]],6,FALSE),"")</f>
        <v>ZTE</v>
      </c>
    </row>
    <row r="383" spans="1:11" x14ac:dyDescent="0.3">
      <c r="A383" t="s">
        <v>1310</v>
      </c>
      <c r="B383" s="1">
        <v>45222.902777777781</v>
      </c>
      <c r="C383" s="2">
        <v>45222.902777777781</v>
      </c>
      <c r="D383" t="s">
        <v>969</v>
      </c>
      <c r="E383">
        <v>31</v>
      </c>
      <c r="F383" t="s">
        <v>739</v>
      </c>
      <c r="G383" t="str">
        <f>IFERROR(VLOOKUP(Logs_Reseau_Part5[[#This Row],[Cell_ID]],Registre_Maintenance_Part[[ID_Antenne]:[Colonne2]],2,FALSE),"")</f>
        <v>Sankuru</v>
      </c>
      <c r="H383">
        <f>IFERROR(VLOOKUP(Logs_Reseau_Part5[[#This Row],[Cell_ID]],Registre_Maintenance_Part[[ID_Antenne]:[Colonne2]],3,FALSE),"")</f>
        <v>-7.5969509999999998</v>
      </c>
      <c r="I383">
        <f>IFERROR(VLOOKUP(Logs_Reseau_Part5[[#This Row],[Cell_ID]],Registre_Maintenance_Part[[ID_Antenne]:[Colonne2]],4,FALSE),"")</f>
        <v>22.153986</v>
      </c>
      <c r="J383" t="str">
        <f>IFERROR(VLOOKUP(Logs_Reseau_Part5[[#This Row],[Cell_ID]],Registre_Maintenance_Part[[ID_Antenne]:[Colonne2]],5,FALSE),"")</f>
        <v>3G</v>
      </c>
      <c r="K383" t="str">
        <f>IFERROR(VLOOKUP(Logs_Reseau_Part5[[#This Row],[Cell_ID]],Registre_Maintenance_Part[[ID_Antenne]:[Colonne2]],6,FALSE),"")</f>
        <v>Ericsson</v>
      </c>
    </row>
    <row r="384" spans="1:11" x14ac:dyDescent="0.3">
      <c r="A384" t="s">
        <v>825</v>
      </c>
      <c r="B384" s="1">
        <v>45223.990972222222</v>
      </c>
      <c r="C384" s="2">
        <v>45223.990972222222</v>
      </c>
      <c r="D384" t="s">
        <v>836</v>
      </c>
      <c r="E384">
        <v>23</v>
      </c>
      <c r="F384" t="s">
        <v>734</v>
      </c>
      <c r="G384" t="str">
        <f>IFERROR(VLOOKUP(Logs_Reseau_Part5[[#This Row],[Cell_ID]],Registre_Maintenance_Part[[ID_Antenne]:[Colonne2]],2,FALSE),"")</f>
        <v>Sankuru</v>
      </c>
      <c r="H384">
        <f>IFERROR(VLOOKUP(Logs_Reseau_Part5[[#This Row],[Cell_ID]],Registre_Maintenance_Part[[ID_Antenne]:[Colonne2]],3,FALSE),"")</f>
        <v>-8.0922239999999999</v>
      </c>
      <c r="I384">
        <f>IFERROR(VLOOKUP(Logs_Reseau_Part5[[#This Row],[Cell_ID]],Registre_Maintenance_Part[[ID_Antenne]:[Colonne2]],4,FALSE),"")</f>
        <v>15.483708</v>
      </c>
      <c r="J384" t="str">
        <f>IFERROR(VLOOKUP(Logs_Reseau_Part5[[#This Row],[Cell_ID]],Registre_Maintenance_Part[[ID_Antenne]:[Colonne2]],5,FALSE),"")</f>
        <v>5G</v>
      </c>
      <c r="K384" t="str">
        <f>IFERROR(VLOOKUP(Logs_Reseau_Part5[[#This Row],[Cell_ID]],Registre_Maintenance_Part[[ID_Antenne]:[Colonne2]],6,FALSE),"")</f>
        <v>Nokia</v>
      </c>
    </row>
    <row r="385" spans="1:11" x14ac:dyDescent="0.3">
      <c r="A385" t="s">
        <v>1310</v>
      </c>
      <c r="B385" s="1">
        <v>45226.224999999999</v>
      </c>
      <c r="C385" s="2">
        <v>45226.224999999999</v>
      </c>
      <c r="D385" t="s">
        <v>1311</v>
      </c>
      <c r="E385">
        <v>11</v>
      </c>
      <c r="F385" t="s">
        <v>737</v>
      </c>
      <c r="G385" t="str">
        <f>IFERROR(VLOOKUP(Logs_Reseau_Part5[[#This Row],[Cell_ID]],Registre_Maintenance_Part[[ID_Antenne]:[Colonne2]],2,FALSE),"")</f>
        <v>Sankuru</v>
      </c>
      <c r="H385">
        <f>IFERROR(VLOOKUP(Logs_Reseau_Part5[[#This Row],[Cell_ID]],Registre_Maintenance_Part[[ID_Antenne]:[Colonne2]],3,FALSE),"")</f>
        <v>-0.157111</v>
      </c>
      <c r="I385">
        <f>IFERROR(VLOOKUP(Logs_Reseau_Part5[[#This Row],[Cell_ID]],Registre_Maintenance_Part[[ID_Antenne]:[Colonne2]],4,FALSE),"")</f>
        <v>25.415125</v>
      </c>
      <c r="J385" t="str">
        <f>IFERROR(VLOOKUP(Logs_Reseau_Part5[[#This Row],[Cell_ID]],Registre_Maintenance_Part[[ID_Antenne]:[Colonne2]],5,FALSE),"")</f>
        <v>4G</v>
      </c>
      <c r="K385" t="str">
        <f>IFERROR(VLOOKUP(Logs_Reseau_Part5[[#This Row],[Cell_ID]],Registre_Maintenance_Part[[ID_Antenne]:[Colonne2]],6,FALSE),"")</f>
        <v>Ericsson</v>
      </c>
    </row>
    <row r="386" spans="1:11" x14ac:dyDescent="0.3">
      <c r="A386" t="s">
        <v>1088</v>
      </c>
      <c r="B386" s="1">
        <v>45228.086111111108</v>
      </c>
      <c r="C386" s="2">
        <v>45228.086111111108</v>
      </c>
      <c r="D386" t="s">
        <v>1097</v>
      </c>
      <c r="E386">
        <v>43</v>
      </c>
      <c r="F386" t="s">
        <v>739</v>
      </c>
      <c r="G386" t="str">
        <f>IFERROR(VLOOKUP(Logs_Reseau_Part5[[#This Row],[Cell_ID]],Registre_Maintenance_Part[[ID_Antenne]:[Colonne2]],2,FALSE),"")</f>
        <v>Sankuru</v>
      </c>
      <c r="H386">
        <f>IFERROR(VLOOKUP(Logs_Reseau_Part5[[#This Row],[Cell_ID]],Registre_Maintenance_Part[[ID_Antenne]:[Colonne2]],3,FALSE),"")</f>
        <v>-6.4883290000000002</v>
      </c>
      <c r="I386">
        <f>IFERROR(VLOOKUP(Logs_Reseau_Part5[[#This Row],[Cell_ID]],Registre_Maintenance_Part[[ID_Antenne]:[Colonne2]],4,FALSE),"")</f>
        <v>25.103404000000001</v>
      </c>
      <c r="J386" t="str">
        <f>IFERROR(VLOOKUP(Logs_Reseau_Part5[[#This Row],[Cell_ID]],Registre_Maintenance_Part[[ID_Antenne]:[Colonne2]],5,FALSE),"")</f>
        <v>5G</v>
      </c>
      <c r="K386" t="str">
        <f>IFERROR(VLOOKUP(Logs_Reseau_Part5[[#This Row],[Cell_ID]],Registre_Maintenance_Part[[ID_Antenne]:[Colonne2]],6,FALSE),"")</f>
        <v>ZTE</v>
      </c>
    </row>
    <row r="387" spans="1:11" x14ac:dyDescent="0.3">
      <c r="A387" t="s">
        <v>980</v>
      </c>
      <c r="B387" s="1">
        <v>45200.493055555547</v>
      </c>
      <c r="C387" s="2">
        <v>45200.493055555547</v>
      </c>
      <c r="D387" t="s">
        <v>999</v>
      </c>
      <c r="E387">
        <v>113</v>
      </c>
      <c r="F387" t="s">
        <v>734</v>
      </c>
      <c r="G387" t="str">
        <f>IFERROR(VLOOKUP(Logs_Reseau_Part5[[#This Row],[Cell_ID]],Registre_Maintenance_Part[[ID_Antenne]:[Colonne2]],2,FALSE),"")</f>
        <v>Sud-Kivu</v>
      </c>
      <c r="H387">
        <f>IFERROR(VLOOKUP(Logs_Reseau_Part5[[#This Row],[Cell_ID]],Registre_Maintenance_Part[[ID_Antenne]:[Colonne2]],3,FALSE),"")</f>
        <v>-1.5419050000000001</v>
      </c>
      <c r="I387">
        <f>IFERROR(VLOOKUP(Logs_Reseau_Part5[[#This Row],[Cell_ID]],Registre_Maintenance_Part[[ID_Antenne]:[Colonne2]],4,FALSE),"")</f>
        <v>14.730632999999999</v>
      </c>
      <c r="J387" t="str">
        <f>IFERROR(VLOOKUP(Logs_Reseau_Part5[[#This Row],[Cell_ID]],Registre_Maintenance_Part[[ID_Antenne]:[Colonne2]],5,FALSE),"")</f>
        <v>3G</v>
      </c>
      <c r="K387" t="str">
        <f>IFERROR(VLOOKUP(Logs_Reseau_Part5[[#This Row],[Cell_ID]],Registre_Maintenance_Part[[ID_Antenne]:[Colonne2]],6,FALSE),"")</f>
        <v>ZTE</v>
      </c>
    </row>
    <row r="388" spans="1:11" x14ac:dyDescent="0.3">
      <c r="A388" t="s">
        <v>1001</v>
      </c>
      <c r="B388" s="1">
        <v>45200.832638888889</v>
      </c>
      <c r="C388" s="2">
        <v>45200.832638888889</v>
      </c>
      <c r="D388" t="s">
        <v>1009</v>
      </c>
      <c r="E388">
        <v>27</v>
      </c>
      <c r="F388" t="s">
        <v>734</v>
      </c>
      <c r="G388" t="str">
        <f>IFERROR(VLOOKUP(Logs_Reseau_Part5[[#This Row],[Cell_ID]],Registre_Maintenance_Part[[ID_Antenne]:[Colonne2]],2,FALSE),"")</f>
        <v>Sud-Kivu</v>
      </c>
      <c r="H388">
        <f>IFERROR(VLOOKUP(Logs_Reseau_Part5[[#This Row],[Cell_ID]],Registre_Maintenance_Part[[ID_Antenne]:[Colonne2]],3,FALSE),"")</f>
        <v>1.2419519999999999</v>
      </c>
      <c r="I388">
        <f>IFERROR(VLOOKUP(Logs_Reseau_Part5[[#This Row],[Cell_ID]],Registre_Maintenance_Part[[ID_Antenne]:[Colonne2]],4,FALSE),"")</f>
        <v>25.261382999999999</v>
      </c>
      <c r="J388" t="str">
        <f>IFERROR(VLOOKUP(Logs_Reseau_Part5[[#This Row],[Cell_ID]],Registre_Maintenance_Part[[ID_Antenne]:[Colonne2]],5,FALSE),"")</f>
        <v>4G</v>
      </c>
      <c r="K388" t="str">
        <f>IFERROR(VLOOKUP(Logs_Reseau_Part5[[#This Row],[Cell_ID]],Registre_Maintenance_Part[[ID_Antenne]:[Colonne2]],6,FALSE),"")</f>
        <v>Huawei</v>
      </c>
    </row>
    <row r="389" spans="1:11" x14ac:dyDescent="0.3">
      <c r="A389" t="s">
        <v>1221</v>
      </c>
      <c r="B389" s="1">
        <v>45203.224305555559</v>
      </c>
      <c r="C389" s="2">
        <v>45203.224305555559</v>
      </c>
      <c r="D389" t="s">
        <v>845</v>
      </c>
      <c r="E389">
        <v>102</v>
      </c>
      <c r="F389" t="s">
        <v>739</v>
      </c>
      <c r="G389" t="str">
        <f>IFERROR(VLOOKUP(Logs_Reseau_Part5[[#This Row],[Cell_ID]],Registre_Maintenance_Part[[ID_Antenne]:[Colonne2]],2,FALSE),"")</f>
        <v>Sud-Kivu</v>
      </c>
      <c r="H389">
        <f>IFERROR(VLOOKUP(Logs_Reseau_Part5[[#This Row],[Cell_ID]],Registre_Maintenance_Part[[ID_Antenne]:[Colonne2]],3,FALSE),"")</f>
        <v>-9.4702129999999993</v>
      </c>
      <c r="I389">
        <f>IFERROR(VLOOKUP(Logs_Reseau_Part5[[#This Row],[Cell_ID]],Registre_Maintenance_Part[[ID_Antenne]:[Colonne2]],4,FALSE),"")</f>
        <v>12.826158</v>
      </c>
      <c r="J389" t="str">
        <f>IFERROR(VLOOKUP(Logs_Reseau_Part5[[#This Row],[Cell_ID]],Registre_Maintenance_Part[[ID_Antenne]:[Colonne2]],5,FALSE),"")</f>
        <v>3G</v>
      </c>
      <c r="K389" t="str">
        <f>IFERROR(VLOOKUP(Logs_Reseau_Part5[[#This Row],[Cell_ID]],Registre_Maintenance_Part[[ID_Antenne]:[Colonne2]],6,FALSE),"")</f>
        <v>Ericsson</v>
      </c>
    </row>
    <row r="390" spans="1:11" x14ac:dyDescent="0.3">
      <c r="A390" t="s">
        <v>980</v>
      </c>
      <c r="B390" s="1">
        <v>45205.154166666667</v>
      </c>
      <c r="C390" s="2">
        <v>45205.154166666667</v>
      </c>
      <c r="D390" t="s">
        <v>821</v>
      </c>
      <c r="E390">
        <v>12</v>
      </c>
      <c r="F390" t="s">
        <v>734</v>
      </c>
      <c r="G390" t="str">
        <f>IFERROR(VLOOKUP(Logs_Reseau_Part5[[#This Row],[Cell_ID]],Registre_Maintenance_Part[[ID_Antenne]:[Colonne2]],2,FALSE),"")</f>
        <v>Sud-Kivu</v>
      </c>
      <c r="H390">
        <f>IFERROR(VLOOKUP(Logs_Reseau_Part5[[#This Row],[Cell_ID]],Registre_Maintenance_Part[[ID_Antenne]:[Colonne2]],3,FALSE),"")</f>
        <v>-5.2526849999999996</v>
      </c>
      <c r="I390">
        <f>IFERROR(VLOOKUP(Logs_Reseau_Part5[[#This Row],[Cell_ID]],Registre_Maintenance_Part[[ID_Antenne]:[Colonne2]],4,FALSE),"")</f>
        <v>12.374528</v>
      </c>
      <c r="J390" t="str">
        <f>IFERROR(VLOOKUP(Logs_Reseau_Part5[[#This Row],[Cell_ID]],Registre_Maintenance_Part[[ID_Antenne]:[Colonne2]],5,FALSE),"")</f>
        <v>3G</v>
      </c>
      <c r="K390" t="str">
        <f>IFERROR(VLOOKUP(Logs_Reseau_Part5[[#This Row],[Cell_ID]],Registre_Maintenance_Part[[ID_Antenne]:[Colonne2]],6,FALSE),"")</f>
        <v>Nokia</v>
      </c>
    </row>
    <row r="391" spans="1:11" x14ac:dyDescent="0.3">
      <c r="A391" t="s">
        <v>1221</v>
      </c>
      <c r="B391" s="1">
        <v>45205.440972222219</v>
      </c>
      <c r="C391" s="2">
        <v>45205.440972222219</v>
      </c>
      <c r="D391" t="s">
        <v>1232</v>
      </c>
      <c r="E391">
        <v>115</v>
      </c>
      <c r="F391" t="s">
        <v>737</v>
      </c>
      <c r="G391" t="str">
        <f>IFERROR(VLOOKUP(Logs_Reseau_Part5[[#This Row],[Cell_ID]],Registre_Maintenance_Part[[ID_Antenne]:[Colonne2]],2,FALSE),"")</f>
        <v>Sud-Kivu</v>
      </c>
      <c r="H391">
        <f>IFERROR(VLOOKUP(Logs_Reseau_Part5[[#This Row],[Cell_ID]],Registre_Maintenance_Part[[ID_Antenne]:[Colonne2]],3,FALSE),"")</f>
        <v>-1.3024210000000001</v>
      </c>
      <c r="I391">
        <f>IFERROR(VLOOKUP(Logs_Reseau_Part5[[#This Row],[Cell_ID]],Registre_Maintenance_Part[[ID_Antenne]:[Colonne2]],4,FALSE),"")</f>
        <v>13.601914000000001</v>
      </c>
      <c r="J391" t="str">
        <f>IFERROR(VLOOKUP(Logs_Reseau_Part5[[#This Row],[Cell_ID]],Registre_Maintenance_Part[[ID_Antenne]:[Colonne2]],5,FALSE),"")</f>
        <v>3G</v>
      </c>
      <c r="K391" t="str">
        <f>IFERROR(VLOOKUP(Logs_Reseau_Part5[[#This Row],[Cell_ID]],Registre_Maintenance_Part[[ID_Antenne]:[Colonne2]],6,FALSE),"")</f>
        <v>Huawei</v>
      </c>
    </row>
    <row r="392" spans="1:11" x14ac:dyDescent="0.3">
      <c r="A392" t="s">
        <v>1243</v>
      </c>
      <c r="B392" s="1">
        <v>45206.636805555558</v>
      </c>
      <c r="C392" s="2">
        <v>45206.636805555558</v>
      </c>
      <c r="D392" t="s">
        <v>1248</v>
      </c>
      <c r="E392">
        <v>32</v>
      </c>
      <c r="F392" t="s">
        <v>739</v>
      </c>
      <c r="G392" t="str">
        <f>IFERROR(VLOOKUP(Logs_Reseau_Part5[[#This Row],[Cell_ID]],Registre_Maintenance_Part[[ID_Antenne]:[Colonne2]],2,FALSE),"")</f>
        <v>Sud-Kivu</v>
      </c>
      <c r="H392">
        <f>IFERROR(VLOOKUP(Logs_Reseau_Part5[[#This Row],[Cell_ID]],Registre_Maintenance_Part[[ID_Antenne]:[Colonne2]],3,FALSE),"")</f>
        <v>-11.514817000000001</v>
      </c>
      <c r="I392">
        <f>IFERROR(VLOOKUP(Logs_Reseau_Part5[[#This Row],[Cell_ID]],Registre_Maintenance_Part[[ID_Antenne]:[Colonne2]],4,FALSE),"")</f>
        <v>24.891375</v>
      </c>
      <c r="J392" t="str">
        <f>IFERROR(VLOOKUP(Logs_Reseau_Part5[[#This Row],[Cell_ID]],Registre_Maintenance_Part[[ID_Antenne]:[Colonne2]],5,FALSE),"")</f>
        <v>3G</v>
      </c>
      <c r="K392" t="str">
        <f>IFERROR(VLOOKUP(Logs_Reseau_Part5[[#This Row],[Cell_ID]],Registre_Maintenance_Part[[ID_Antenne]:[Colonne2]],6,FALSE),"")</f>
        <v>Nokia</v>
      </c>
    </row>
    <row r="393" spans="1:11" x14ac:dyDescent="0.3">
      <c r="A393" t="s">
        <v>1263</v>
      </c>
      <c r="B393" s="1">
        <v>45208.10833333333</v>
      </c>
      <c r="C393" s="2">
        <v>45208.10833333333</v>
      </c>
      <c r="D393" t="s">
        <v>1285</v>
      </c>
      <c r="E393">
        <v>102</v>
      </c>
      <c r="F393" t="s">
        <v>737</v>
      </c>
      <c r="G393" t="str">
        <f>IFERROR(VLOOKUP(Logs_Reseau_Part5[[#This Row],[Cell_ID]],Registre_Maintenance_Part[[ID_Antenne]:[Colonne2]],2,FALSE),"")</f>
        <v>Sud-Kivu</v>
      </c>
      <c r="H393">
        <f>IFERROR(VLOOKUP(Logs_Reseau_Part5[[#This Row],[Cell_ID]],Registre_Maintenance_Part[[ID_Antenne]:[Colonne2]],3,FALSE),"")</f>
        <v>-1.4700059999999999</v>
      </c>
      <c r="I393">
        <f>IFERROR(VLOOKUP(Logs_Reseau_Part5[[#This Row],[Cell_ID]],Registre_Maintenance_Part[[ID_Antenne]:[Colonne2]],4,FALSE),"")</f>
        <v>18.680958</v>
      </c>
      <c r="J393" t="str">
        <f>IFERROR(VLOOKUP(Logs_Reseau_Part5[[#This Row],[Cell_ID]],Registre_Maintenance_Part[[ID_Antenne]:[Colonne2]],5,FALSE),"")</f>
        <v>3G</v>
      </c>
      <c r="K393" t="str">
        <f>IFERROR(VLOOKUP(Logs_Reseau_Part5[[#This Row],[Cell_ID]],Registre_Maintenance_Part[[ID_Antenne]:[Colonne2]],6,FALSE),"")</f>
        <v>Huawei</v>
      </c>
    </row>
    <row r="394" spans="1:11" x14ac:dyDescent="0.3">
      <c r="A394" t="s">
        <v>1243</v>
      </c>
      <c r="B394" s="1">
        <v>45210.49722222222</v>
      </c>
      <c r="C394" s="2">
        <v>45210.49722222222</v>
      </c>
      <c r="D394" t="s">
        <v>966</v>
      </c>
      <c r="E394">
        <v>75</v>
      </c>
      <c r="F394" t="s">
        <v>739</v>
      </c>
      <c r="G394" t="str">
        <f>IFERROR(VLOOKUP(Logs_Reseau_Part5[[#This Row],[Cell_ID]],Registre_Maintenance_Part[[ID_Antenne]:[Colonne2]],2,FALSE),"")</f>
        <v>Sud-Kivu</v>
      </c>
      <c r="H394">
        <f>IFERROR(VLOOKUP(Logs_Reseau_Part5[[#This Row],[Cell_ID]],Registre_Maintenance_Part[[ID_Antenne]:[Colonne2]],3,FALSE),"")</f>
        <v>-9.3900009999999998</v>
      </c>
      <c r="I394">
        <f>IFERROR(VLOOKUP(Logs_Reseau_Part5[[#This Row],[Cell_ID]],Registre_Maintenance_Part[[ID_Antenne]:[Colonne2]],4,FALSE),"")</f>
        <v>30.001517</v>
      </c>
      <c r="J394" t="str">
        <f>IFERROR(VLOOKUP(Logs_Reseau_Part5[[#This Row],[Cell_ID]],Registre_Maintenance_Part[[ID_Antenne]:[Colonne2]],5,FALSE),"")</f>
        <v>3G</v>
      </c>
      <c r="K394" t="str">
        <f>IFERROR(VLOOKUP(Logs_Reseau_Part5[[#This Row],[Cell_ID]],Registre_Maintenance_Part[[ID_Antenne]:[Colonne2]],6,FALSE),"")</f>
        <v>Nokia</v>
      </c>
    </row>
    <row r="395" spans="1:11" x14ac:dyDescent="0.3">
      <c r="A395" t="s">
        <v>1167</v>
      </c>
      <c r="B395" s="1">
        <v>45211.106944444437</v>
      </c>
      <c r="C395" s="2">
        <v>45211.106944444437</v>
      </c>
      <c r="D395" t="s">
        <v>821</v>
      </c>
      <c r="E395">
        <v>87</v>
      </c>
      <c r="F395" t="s">
        <v>739</v>
      </c>
      <c r="G395" t="str">
        <f>IFERROR(VLOOKUP(Logs_Reseau_Part5[[#This Row],[Cell_ID]],Registre_Maintenance_Part[[ID_Antenne]:[Colonne2]],2,FALSE),"")</f>
        <v>Sud-Kivu</v>
      </c>
      <c r="H395">
        <f>IFERROR(VLOOKUP(Logs_Reseau_Part5[[#This Row],[Cell_ID]],Registre_Maintenance_Part[[ID_Antenne]:[Colonne2]],3,FALSE),"")</f>
        <v>-5.2526849999999996</v>
      </c>
      <c r="I395">
        <f>IFERROR(VLOOKUP(Logs_Reseau_Part5[[#This Row],[Cell_ID]],Registre_Maintenance_Part[[ID_Antenne]:[Colonne2]],4,FALSE),"")</f>
        <v>12.374528</v>
      </c>
      <c r="J395" t="str">
        <f>IFERROR(VLOOKUP(Logs_Reseau_Part5[[#This Row],[Cell_ID]],Registre_Maintenance_Part[[ID_Antenne]:[Colonne2]],5,FALSE),"")</f>
        <v>3G</v>
      </c>
      <c r="K395" t="str">
        <f>IFERROR(VLOOKUP(Logs_Reseau_Part5[[#This Row],[Cell_ID]],Registre_Maintenance_Part[[ID_Antenne]:[Colonne2]],6,FALSE),"")</f>
        <v>Nokia</v>
      </c>
    </row>
    <row r="396" spans="1:11" x14ac:dyDescent="0.3">
      <c r="A396" t="s">
        <v>1195</v>
      </c>
      <c r="B396" s="1">
        <v>45211.128472222219</v>
      </c>
      <c r="C396" s="2">
        <v>45211.128472222219</v>
      </c>
      <c r="D396" t="s">
        <v>1208</v>
      </c>
      <c r="E396">
        <v>110</v>
      </c>
      <c r="F396" t="s">
        <v>737</v>
      </c>
      <c r="G396" t="str">
        <f>IFERROR(VLOOKUP(Logs_Reseau_Part5[[#This Row],[Cell_ID]],Registre_Maintenance_Part[[ID_Antenne]:[Colonne2]],2,FALSE),"")</f>
        <v>Sud-Kivu</v>
      </c>
      <c r="H396">
        <f>IFERROR(VLOOKUP(Logs_Reseau_Part5[[#This Row],[Cell_ID]],Registre_Maintenance_Part[[ID_Antenne]:[Colonne2]],3,FALSE),"")</f>
        <v>2.453036</v>
      </c>
      <c r="I396">
        <f>IFERROR(VLOOKUP(Logs_Reseau_Part5[[#This Row],[Cell_ID]],Registre_Maintenance_Part[[ID_Antenne]:[Colonne2]],4,FALSE),"")</f>
        <v>20.555484</v>
      </c>
      <c r="J396" t="str">
        <f>IFERROR(VLOOKUP(Logs_Reseau_Part5[[#This Row],[Cell_ID]],Registre_Maintenance_Part[[ID_Antenne]:[Colonne2]],5,FALSE),"")</f>
        <v>5G</v>
      </c>
      <c r="K396" t="str">
        <f>IFERROR(VLOOKUP(Logs_Reseau_Part5[[#This Row],[Cell_ID]],Registre_Maintenance_Part[[ID_Antenne]:[Colonne2]],6,FALSE),"")</f>
        <v>Ericsson</v>
      </c>
    </row>
    <row r="397" spans="1:11" x14ac:dyDescent="0.3">
      <c r="A397" t="s">
        <v>1001</v>
      </c>
      <c r="B397" s="1">
        <v>45213.342361111107</v>
      </c>
      <c r="C397" s="2">
        <v>45213.342361111107</v>
      </c>
      <c r="D397" t="s">
        <v>1022</v>
      </c>
      <c r="E397">
        <v>63</v>
      </c>
      <c r="F397" t="s">
        <v>737</v>
      </c>
      <c r="G397" t="str">
        <f>IFERROR(VLOOKUP(Logs_Reseau_Part5[[#This Row],[Cell_ID]],Registre_Maintenance_Part[[ID_Antenne]:[Colonne2]],2,FALSE),"")</f>
        <v>Sud-Kivu</v>
      </c>
      <c r="H397">
        <f>IFERROR(VLOOKUP(Logs_Reseau_Part5[[#This Row],[Cell_ID]],Registre_Maintenance_Part[[ID_Antenne]:[Colonne2]],3,FALSE),"")</f>
        <v>0.31740800000000002</v>
      </c>
      <c r="I397">
        <f>IFERROR(VLOOKUP(Logs_Reseau_Part5[[#This Row],[Cell_ID]],Registre_Maintenance_Part[[ID_Antenne]:[Colonne2]],4,FALSE),"")</f>
        <v>27.197666999999999</v>
      </c>
      <c r="J397" t="str">
        <f>IFERROR(VLOOKUP(Logs_Reseau_Part5[[#This Row],[Cell_ID]],Registre_Maintenance_Part[[ID_Antenne]:[Colonne2]],5,FALSE),"")</f>
        <v>5G</v>
      </c>
      <c r="K397" t="str">
        <f>IFERROR(VLOOKUP(Logs_Reseau_Part5[[#This Row],[Cell_ID]],Registre_Maintenance_Part[[ID_Antenne]:[Colonne2]],6,FALSE),"")</f>
        <v>Nokia</v>
      </c>
    </row>
    <row r="398" spans="1:11" x14ac:dyDescent="0.3">
      <c r="A398" t="s">
        <v>1290</v>
      </c>
      <c r="B398" s="1">
        <v>45214.168055555558</v>
      </c>
      <c r="C398" s="2">
        <v>45214.168055555558</v>
      </c>
      <c r="D398" t="s">
        <v>1303</v>
      </c>
      <c r="E398">
        <v>106</v>
      </c>
      <c r="F398" t="s">
        <v>734</v>
      </c>
      <c r="G398" t="str">
        <f>IFERROR(VLOOKUP(Logs_Reseau_Part5[[#This Row],[Cell_ID]],Registre_Maintenance_Part[[ID_Antenne]:[Colonne2]],2,FALSE),"")</f>
        <v>Sud-Kivu</v>
      </c>
      <c r="H398">
        <f>IFERROR(VLOOKUP(Logs_Reseau_Part5[[#This Row],[Cell_ID]],Registre_Maintenance_Part[[ID_Antenne]:[Colonne2]],3,FALSE),"")</f>
        <v>-11.207139</v>
      </c>
      <c r="I398">
        <f>IFERROR(VLOOKUP(Logs_Reseau_Part5[[#This Row],[Cell_ID]],Registre_Maintenance_Part[[ID_Antenne]:[Colonne2]],4,FALSE),"")</f>
        <v>18.702511999999999</v>
      </c>
      <c r="J398" t="str">
        <f>IFERROR(VLOOKUP(Logs_Reseau_Part5[[#This Row],[Cell_ID]],Registre_Maintenance_Part[[ID_Antenne]:[Colonne2]],5,FALSE),"")</f>
        <v>5G</v>
      </c>
      <c r="K398" t="str">
        <f>IFERROR(VLOOKUP(Logs_Reseau_Part5[[#This Row],[Cell_ID]],Registre_Maintenance_Part[[ID_Antenne]:[Colonne2]],6,FALSE),"")</f>
        <v>Ericsson</v>
      </c>
    </row>
    <row r="399" spans="1:11" x14ac:dyDescent="0.3">
      <c r="A399" t="s">
        <v>1140</v>
      </c>
      <c r="B399" s="1">
        <v>45216.275000000001</v>
      </c>
      <c r="C399" s="2">
        <v>45216.275000000001</v>
      </c>
      <c r="D399" t="s">
        <v>1158</v>
      </c>
      <c r="E399">
        <v>119</v>
      </c>
      <c r="F399" t="s">
        <v>739</v>
      </c>
      <c r="G399" t="str">
        <f>IFERROR(VLOOKUP(Logs_Reseau_Part5[[#This Row],[Cell_ID]],Registre_Maintenance_Part[[ID_Antenne]:[Colonne2]],2,FALSE),"")</f>
        <v>Sud-Kivu</v>
      </c>
      <c r="H399">
        <f>IFERROR(VLOOKUP(Logs_Reseau_Part5[[#This Row],[Cell_ID]],Registre_Maintenance_Part[[ID_Antenne]:[Colonne2]],3,FALSE),"")</f>
        <v>2.4414509999999998</v>
      </c>
      <c r="I399">
        <f>IFERROR(VLOOKUP(Logs_Reseau_Part5[[#This Row],[Cell_ID]],Registre_Maintenance_Part[[ID_Antenne]:[Colonne2]],4,FALSE),"")</f>
        <v>30.167489</v>
      </c>
      <c r="J399" t="str">
        <f>IFERROR(VLOOKUP(Logs_Reseau_Part5[[#This Row],[Cell_ID]],Registre_Maintenance_Part[[ID_Antenne]:[Colonne2]],5,FALSE),"")</f>
        <v>5G</v>
      </c>
      <c r="K399" t="str">
        <f>IFERROR(VLOOKUP(Logs_Reseau_Part5[[#This Row],[Cell_ID]],Registre_Maintenance_Part[[ID_Antenne]:[Colonne2]],6,FALSE),"")</f>
        <v>Nokia</v>
      </c>
    </row>
    <row r="400" spans="1:11" x14ac:dyDescent="0.3">
      <c r="A400" t="s">
        <v>1406</v>
      </c>
      <c r="B400" s="1">
        <v>45217.02847222222</v>
      </c>
      <c r="C400" s="2">
        <v>45217.02847222222</v>
      </c>
      <c r="D400" t="s">
        <v>1047</v>
      </c>
      <c r="E400">
        <v>120</v>
      </c>
      <c r="F400" t="s">
        <v>739</v>
      </c>
      <c r="G400" t="str">
        <f>IFERROR(VLOOKUP(Logs_Reseau_Part5[[#This Row],[Cell_ID]],Registre_Maintenance_Part[[ID_Antenne]:[Colonne2]],2,FALSE),"")</f>
        <v>Sud-Kivu</v>
      </c>
      <c r="H400">
        <f>IFERROR(VLOOKUP(Logs_Reseau_Part5[[#This Row],[Cell_ID]],Registre_Maintenance_Part[[ID_Antenne]:[Colonne2]],3,FALSE),"")</f>
        <v>-4.1694589999999998</v>
      </c>
      <c r="I400">
        <f>IFERROR(VLOOKUP(Logs_Reseau_Part5[[#This Row],[Cell_ID]],Registre_Maintenance_Part[[ID_Antenne]:[Colonne2]],4,FALSE),"")</f>
        <v>23.376487000000001</v>
      </c>
      <c r="J400" t="str">
        <f>IFERROR(VLOOKUP(Logs_Reseau_Part5[[#This Row],[Cell_ID]],Registre_Maintenance_Part[[ID_Antenne]:[Colonne2]],5,FALSE),"")</f>
        <v>3G</v>
      </c>
      <c r="K400" t="str">
        <f>IFERROR(VLOOKUP(Logs_Reseau_Part5[[#This Row],[Cell_ID]],Registre_Maintenance_Part[[ID_Antenne]:[Colonne2]],6,FALSE),"")</f>
        <v>Nokia</v>
      </c>
    </row>
    <row r="401" spans="1:11" x14ac:dyDescent="0.3">
      <c r="A401" t="s">
        <v>825</v>
      </c>
      <c r="B401" s="1">
        <v>45217.175000000003</v>
      </c>
      <c r="C401" s="2">
        <v>45217.175000000003</v>
      </c>
      <c r="D401" t="s">
        <v>845</v>
      </c>
      <c r="E401">
        <v>18</v>
      </c>
      <c r="F401" t="s">
        <v>739</v>
      </c>
      <c r="G401" t="str">
        <f>IFERROR(VLOOKUP(Logs_Reseau_Part5[[#This Row],[Cell_ID]],Registre_Maintenance_Part[[ID_Antenne]:[Colonne2]],2,FALSE),"")</f>
        <v>Sud-Kivu</v>
      </c>
      <c r="H401">
        <f>IFERROR(VLOOKUP(Logs_Reseau_Part5[[#This Row],[Cell_ID]],Registre_Maintenance_Part[[ID_Antenne]:[Colonne2]],3,FALSE),"")</f>
        <v>-9.4702129999999993</v>
      </c>
      <c r="I401">
        <f>IFERROR(VLOOKUP(Logs_Reseau_Part5[[#This Row],[Cell_ID]],Registre_Maintenance_Part[[ID_Antenne]:[Colonne2]],4,FALSE),"")</f>
        <v>12.826158</v>
      </c>
      <c r="J401" t="str">
        <f>IFERROR(VLOOKUP(Logs_Reseau_Part5[[#This Row],[Cell_ID]],Registre_Maintenance_Part[[ID_Antenne]:[Colonne2]],5,FALSE),"")</f>
        <v>3G</v>
      </c>
      <c r="K401" t="str">
        <f>IFERROR(VLOOKUP(Logs_Reseau_Part5[[#This Row],[Cell_ID]],Registre_Maintenance_Part[[ID_Antenne]:[Colonne2]],6,FALSE),"")</f>
        <v>Ericsson</v>
      </c>
    </row>
    <row r="402" spans="1:11" x14ac:dyDescent="0.3">
      <c r="A402" t="s">
        <v>1332</v>
      </c>
      <c r="B402" s="1">
        <v>45218.007638888892</v>
      </c>
      <c r="C402" s="2">
        <v>45218.007638888892</v>
      </c>
      <c r="D402" t="s">
        <v>845</v>
      </c>
      <c r="E402">
        <v>44</v>
      </c>
      <c r="F402" t="s">
        <v>737</v>
      </c>
      <c r="G402" t="str">
        <f>IFERROR(VLOOKUP(Logs_Reseau_Part5[[#This Row],[Cell_ID]],Registre_Maintenance_Part[[ID_Antenne]:[Colonne2]],2,FALSE),"")</f>
        <v>Sud-Kivu</v>
      </c>
      <c r="H402">
        <f>IFERROR(VLOOKUP(Logs_Reseau_Part5[[#This Row],[Cell_ID]],Registre_Maintenance_Part[[ID_Antenne]:[Colonne2]],3,FALSE),"")</f>
        <v>-9.4702129999999993</v>
      </c>
      <c r="I402">
        <f>IFERROR(VLOOKUP(Logs_Reseau_Part5[[#This Row],[Cell_ID]],Registre_Maintenance_Part[[ID_Antenne]:[Colonne2]],4,FALSE),"")</f>
        <v>12.826158</v>
      </c>
      <c r="J402" t="str">
        <f>IFERROR(VLOOKUP(Logs_Reseau_Part5[[#This Row],[Cell_ID]],Registre_Maintenance_Part[[ID_Antenne]:[Colonne2]],5,FALSE),"")</f>
        <v>3G</v>
      </c>
      <c r="K402" t="str">
        <f>IFERROR(VLOOKUP(Logs_Reseau_Part5[[#This Row],[Cell_ID]],Registre_Maintenance_Part[[ID_Antenne]:[Colonne2]],6,FALSE),"")</f>
        <v>Ericsson</v>
      </c>
    </row>
    <row r="403" spans="1:11" x14ac:dyDescent="0.3">
      <c r="A403" t="s">
        <v>1140</v>
      </c>
      <c r="B403" s="1">
        <v>45218.127083333333</v>
      </c>
      <c r="C403" s="2">
        <v>45218.127083333333</v>
      </c>
      <c r="D403" t="s">
        <v>1009</v>
      </c>
      <c r="E403">
        <v>58</v>
      </c>
      <c r="F403" t="s">
        <v>737</v>
      </c>
      <c r="G403" t="str">
        <f>IFERROR(VLOOKUP(Logs_Reseau_Part5[[#This Row],[Cell_ID]],Registre_Maintenance_Part[[ID_Antenne]:[Colonne2]],2,FALSE),"")</f>
        <v>Sud-Kivu</v>
      </c>
      <c r="H403">
        <f>IFERROR(VLOOKUP(Logs_Reseau_Part5[[#This Row],[Cell_ID]],Registre_Maintenance_Part[[ID_Antenne]:[Colonne2]],3,FALSE),"")</f>
        <v>1.2419519999999999</v>
      </c>
      <c r="I403">
        <f>IFERROR(VLOOKUP(Logs_Reseau_Part5[[#This Row],[Cell_ID]],Registre_Maintenance_Part[[ID_Antenne]:[Colonne2]],4,FALSE),"")</f>
        <v>25.261382999999999</v>
      </c>
      <c r="J403" t="str">
        <f>IFERROR(VLOOKUP(Logs_Reseau_Part5[[#This Row],[Cell_ID]],Registre_Maintenance_Part[[ID_Antenne]:[Colonne2]],5,FALSE),"")</f>
        <v>4G</v>
      </c>
      <c r="K403" t="str">
        <f>IFERROR(VLOOKUP(Logs_Reseau_Part5[[#This Row],[Cell_ID]],Registre_Maintenance_Part[[ID_Antenne]:[Colonne2]],6,FALSE),"")</f>
        <v>Huawei</v>
      </c>
    </row>
    <row r="404" spans="1:11" x14ac:dyDescent="0.3">
      <c r="A404" t="s">
        <v>1347</v>
      </c>
      <c r="B404" s="1">
        <v>45218.589583333327</v>
      </c>
      <c r="C404" s="2">
        <v>45218.589583333327</v>
      </c>
      <c r="D404" t="s">
        <v>1248</v>
      </c>
      <c r="E404">
        <v>21</v>
      </c>
      <c r="F404" t="s">
        <v>734</v>
      </c>
      <c r="G404" t="str">
        <f>IFERROR(VLOOKUP(Logs_Reseau_Part5[[#This Row],[Cell_ID]],Registre_Maintenance_Part[[ID_Antenne]:[Colonne2]],2,FALSE),"")</f>
        <v>Sud-Kivu</v>
      </c>
      <c r="H404">
        <f>IFERROR(VLOOKUP(Logs_Reseau_Part5[[#This Row],[Cell_ID]],Registre_Maintenance_Part[[ID_Antenne]:[Colonne2]],3,FALSE),"")</f>
        <v>-11.514817000000001</v>
      </c>
      <c r="I404">
        <f>IFERROR(VLOOKUP(Logs_Reseau_Part5[[#This Row],[Cell_ID]],Registre_Maintenance_Part[[ID_Antenne]:[Colonne2]],4,FALSE),"")</f>
        <v>24.891375</v>
      </c>
      <c r="J404" t="str">
        <f>IFERROR(VLOOKUP(Logs_Reseau_Part5[[#This Row],[Cell_ID]],Registre_Maintenance_Part[[ID_Antenne]:[Colonne2]],5,FALSE),"")</f>
        <v>3G</v>
      </c>
      <c r="K404" t="str">
        <f>IFERROR(VLOOKUP(Logs_Reseau_Part5[[#This Row],[Cell_ID]],Registre_Maintenance_Part[[ID_Antenne]:[Colonne2]],6,FALSE),"")</f>
        <v>Nokia</v>
      </c>
    </row>
    <row r="405" spans="1:11" x14ac:dyDescent="0.3">
      <c r="A405" t="s">
        <v>1243</v>
      </c>
      <c r="B405" s="1">
        <v>45220.469444444447</v>
      </c>
      <c r="C405" s="2">
        <v>45220.469444444447</v>
      </c>
      <c r="D405" t="s">
        <v>999</v>
      </c>
      <c r="E405">
        <v>17</v>
      </c>
      <c r="F405" t="s">
        <v>737</v>
      </c>
      <c r="G405" t="str">
        <f>IFERROR(VLOOKUP(Logs_Reseau_Part5[[#This Row],[Cell_ID]],Registre_Maintenance_Part[[ID_Antenne]:[Colonne2]],2,FALSE),"")</f>
        <v>Sud-Kivu</v>
      </c>
      <c r="H405">
        <f>IFERROR(VLOOKUP(Logs_Reseau_Part5[[#This Row],[Cell_ID]],Registre_Maintenance_Part[[ID_Antenne]:[Colonne2]],3,FALSE),"")</f>
        <v>-1.5419050000000001</v>
      </c>
      <c r="I405">
        <f>IFERROR(VLOOKUP(Logs_Reseau_Part5[[#This Row],[Cell_ID]],Registre_Maintenance_Part[[ID_Antenne]:[Colonne2]],4,FALSE),"")</f>
        <v>14.730632999999999</v>
      </c>
      <c r="J405" t="str">
        <f>IFERROR(VLOOKUP(Logs_Reseau_Part5[[#This Row],[Cell_ID]],Registre_Maintenance_Part[[ID_Antenne]:[Colonne2]],5,FALSE),"")</f>
        <v>3G</v>
      </c>
      <c r="K405" t="str">
        <f>IFERROR(VLOOKUP(Logs_Reseau_Part5[[#This Row],[Cell_ID]],Registre_Maintenance_Part[[ID_Antenne]:[Colonne2]],6,FALSE),"")</f>
        <v>ZTE</v>
      </c>
    </row>
    <row r="406" spans="1:11" x14ac:dyDescent="0.3">
      <c r="A406" t="s">
        <v>1290</v>
      </c>
      <c r="B406" s="1">
        <v>45220.618750000001</v>
      </c>
      <c r="C406" s="2">
        <v>45220.618750000001</v>
      </c>
      <c r="D406" t="s">
        <v>1285</v>
      </c>
      <c r="E406">
        <v>79</v>
      </c>
      <c r="F406" t="s">
        <v>734</v>
      </c>
      <c r="G406" t="str">
        <f>IFERROR(VLOOKUP(Logs_Reseau_Part5[[#This Row],[Cell_ID]],Registre_Maintenance_Part[[ID_Antenne]:[Colonne2]],2,FALSE),"")</f>
        <v>Sud-Kivu</v>
      </c>
      <c r="H406">
        <f>IFERROR(VLOOKUP(Logs_Reseau_Part5[[#This Row],[Cell_ID]],Registre_Maintenance_Part[[ID_Antenne]:[Colonne2]],3,FALSE),"")</f>
        <v>-1.4700059999999999</v>
      </c>
      <c r="I406">
        <f>IFERROR(VLOOKUP(Logs_Reseau_Part5[[#This Row],[Cell_ID]],Registre_Maintenance_Part[[ID_Antenne]:[Colonne2]],4,FALSE),"")</f>
        <v>18.680958</v>
      </c>
      <c r="J406" t="str">
        <f>IFERROR(VLOOKUP(Logs_Reseau_Part5[[#This Row],[Cell_ID]],Registre_Maintenance_Part[[ID_Antenne]:[Colonne2]],5,FALSE),"")</f>
        <v>3G</v>
      </c>
      <c r="K406" t="str">
        <f>IFERROR(VLOOKUP(Logs_Reseau_Part5[[#This Row],[Cell_ID]],Registre_Maintenance_Part[[ID_Antenne]:[Colonne2]],6,FALSE),"")</f>
        <v>Huawei</v>
      </c>
    </row>
    <row r="407" spans="1:11" x14ac:dyDescent="0.3">
      <c r="A407" t="s">
        <v>781</v>
      </c>
      <c r="B407" s="1">
        <v>45221.84652777778</v>
      </c>
      <c r="C407" s="2">
        <v>45221.84652777778</v>
      </c>
      <c r="D407" t="s">
        <v>821</v>
      </c>
      <c r="E407">
        <v>96</v>
      </c>
      <c r="F407" t="s">
        <v>739</v>
      </c>
      <c r="G407" t="str">
        <f>IFERROR(VLOOKUP(Logs_Reseau_Part5[[#This Row],[Cell_ID]],Registre_Maintenance_Part[[ID_Antenne]:[Colonne2]],2,FALSE),"")</f>
        <v>Sud-Kivu</v>
      </c>
      <c r="H407">
        <f>IFERROR(VLOOKUP(Logs_Reseau_Part5[[#This Row],[Cell_ID]],Registre_Maintenance_Part[[ID_Antenne]:[Colonne2]],3,FALSE),"")</f>
        <v>-5.2526849999999996</v>
      </c>
      <c r="I407">
        <f>IFERROR(VLOOKUP(Logs_Reseau_Part5[[#This Row],[Cell_ID]],Registre_Maintenance_Part[[ID_Antenne]:[Colonne2]],4,FALSE),"")</f>
        <v>12.374528</v>
      </c>
      <c r="J407" t="str">
        <f>IFERROR(VLOOKUP(Logs_Reseau_Part5[[#This Row],[Cell_ID]],Registre_Maintenance_Part[[ID_Antenne]:[Colonne2]],5,FALSE),"")</f>
        <v>3G</v>
      </c>
      <c r="K407" t="str">
        <f>IFERROR(VLOOKUP(Logs_Reseau_Part5[[#This Row],[Cell_ID]],Registre_Maintenance_Part[[ID_Antenne]:[Colonne2]],6,FALSE),"")</f>
        <v>Nokia</v>
      </c>
    </row>
    <row r="408" spans="1:11" x14ac:dyDescent="0.3">
      <c r="A408" t="s">
        <v>1026</v>
      </c>
      <c r="B408" s="1">
        <v>45225.147222222222</v>
      </c>
      <c r="C408" s="2">
        <v>45225.147222222222</v>
      </c>
      <c r="D408" t="s">
        <v>1060</v>
      </c>
      <c r="E408">
        <v>44</v>
      </c>
      <c r="F408" t="s">
        <v>734</v>
      </c>
      <c r="G408" t="str">
        <f>IFERROR(VLOOKUP(Logs_Reseau_Part5[[#This Row],[Cell_ID]],Registre_Maintenance_Part[[ID_Antenne]:[Colonne2]],2,FALSE),"")</f>
        <v>Sud-Kivu</v>
      </c>
      <c r="H408">
        <f>IFERROR(VLOOKUP(Logs_Reseau_Part5[[#This Row],[Cell_ID]],Registre_Maintenance_Part[[ID_Antenne]:[Colonne2]],3,FALSE),"")</f>
        <v>4.2904629999999999</v>
      </c>
      <c r="I408">
        <f>IFERROR(VLOOKUP(Logs_Reseau_Part5[[#This Row],[Cell_ID]],Registre_Maintenance_Part[[ID_Antenne]:[Colonne2]],4,FALSE),"")</f>
        <v>26.354195000000001</v>
      </c>
      <c r="J408" t="str">
        <f>IFERROR(VLOOKUP(Logs_Reseau_Part5[[#This Row],[Cell_ID]],Registre_Maintenance_Part[[ID_Antenne]:[Colonne2]],5,FALSE),"")</f>
        <v>3G</v>
      </c>
      <c r="K408" t="str">
        <f>IFERROR(VLOOKUP(Logs_Reseau_Part5[[#This Row],[Cell_ID]],Registre_Maintenance_Part[[ID_Antenne]:[Colonne2]],6,FALSE),"")</f>
        <v>Ericsson</v>
      </c>
    </row>
    <row r="409" spans="1:11" x14ac:dyDescent="0.3">
      <c r="A409" t="s">
        <v>1384</v>
      </c>
      <c r="B409" s="1">
        <v>45227.447916666657</v>
      </c>
      <c r="C409" s="2">
        <v>45227.447916666657</v>
      </c>
      <c r="D409" t="s">
        <v>1158</v>
      </c>
      <c r="E409">
        <v>84</v>
      </c>
      <c r="F409" t="s">
        <v>737</v>
      </c>
      <c r="G409" t="str">
        <f>IFERROR(VLOOKUP(Logs_Reseau_Part5[[#This Row],[Cell_ID]],Registre_Maintenance_Part[[ID_Antenne]:[Colonne2]],2,FALSE),"")</f>
        <v>Sud-Kivu</v>
      </c>
      <c r="H409">
        <f>IFERROR(VLOOKUP(Logs_Reseau_Part5[[#This Row],[Cell_ID]],Registre_Maintenance_Part[[ID_Antenne]:[Colonne2]],3,FALSE),"")</f>
        <v>2.4414509999999998</v>
      </c>
      <c r="I409">
        <f>IFERROR(VLOOKUP(Logs_Reseau_Part5[[#This Row],[Cell_ID]],Registre_Maintenance_Part[[ID_Antenne]:[Colonne2]],4,FALSE),"")</f>
        <v>30.167489</v>
      </c>
      <c r="J409" t="str">
        <f>IFERROR(VLOOKUP(Logs_Reseau_Part5[[#This Row],[Cell_ID]],Registre_Maintenance_Part[[ID_Antenne]:[Colonne2]],5,FALSE),"")</f>
        <v>5G</v>
      </c>
      <c r="K409" t="str">
        <f>IFERROR(VLOOKUP(Logs_Reseau_Part5[[#This Row],[Cell_ID]],Registre_Maintenance_Part[[ID_Antenne]:[Colonne2]],6,FALSE),"")</f>
        <v>Nokia</v>
      </c>
    </row>
    <row r="410" spans="1:11" x14ac:dyDescent="0.3">
      <c r="A410" t="s">
        <v>941</v>
      </c>
      <c r="B410" s="1">
        <v>45228.001388888893</v>
      </c>
      <c r="C410" s="2">
        <v>45228.001388888893</v>
      </c>
      <c r="D410" t="s">
        <v>966</v>
      </c>
      <c r="E410">
        <v>100</v>
      </c>
      <c r="F410" t="s">
        <v>737</v>
      </c>
      <c r="G410" t="str">
        <f>IFERROR(VLOOKUP(Logs_Reseau_Part5[[#This Row],[Cell_ID]],Registre_Maintenance_Part[[ID_Antenne]:[Colonne2]],2,FALSE),"")</f>
        <v>Sud-Kivu</v>
      </c>
      <c r="H410">
        <f>IFERROR(VLOOKUP(Logs_Reseau_Part5[[#This Row],[Cell_ID]],Registre_Maintenance_Part[[ID_Antenne]:[Colonne2]],3,FALSE),"")</f>
        <v>-9.3900009999999998</v>
      </c>
      <c r="I410">
        <f>IFERROR(VLOOKUP(Logs_Reseau_Part5[[#This Row],[Cell_ID]],Registre_Maintenance_Part[[ID_Antenne]:[Colonne2]],4,FALSE),"")</f>
        <v>30.001517</v>
      </c>
      <c r="J410" t="str">
        <f>IFERROR(VLOOKUP(Logs_Reseau_Part5[[#This Row],[Cell_ID]],Registre_Maintenance_Part[[ID_Antenne]:[Colonne2]],5,FALSE),"")</f>
        <v>3G</v>
      </c>
      <c r="K410" t="str">
        <f>IFERROR(VLOOKUP(Logs_Reseau_Part5[[#This Row],[Cell_ID]],Registre_Maintenance_Part[[ID_Antenne]:[Colonne2]],6,FALSE),"")</f>
        <v>Nokia</v>
      </c>
    </row>
    <row r="411" spans="1:11" x14ac:dyDescent="0.3">
      <c r="A411" t="s">
        <v>1026</v>
      </c>
      <c r="B411" s="1">
        <v>45230.863888888889</v>
      </c>
      <c r="C411" s="2">
        <v>45230.863888888889</v>
      </c>
      <c r="D411" t="s">
        <v>1047</v>
      </c>
      <c r="E411">
        <v>57</v>
      </c>
      <c r="F411" t="s">
        <v>734</v>
      </c>
      <c r="G411" t="str">
        <f>IFERROR(VLOOKUP(Logs_Reseau_Part5[[#This Row],[Cell_ID]],Registre_Maintenance_Part[[ID_Antenne]:[Colonne2]],2,FALSE),"")</f>
        <v>Sud-Kivu</v>
      </c>
      <c r="H411">
        <f>IFERROR(VLOOKUP(Logs_Reseau_Part5[[#This Row],[Cell_ID]],Registre_Maintenance_Part[[ID_Antenne]:[Colonne2]],3,FALSE),"")</f>
        <v>-4.1694589999999998</v>
      </c>
      <c r="I411">
        <f>IFERROR(VLOOKUP(Logs_Reseau_Part5[[#This Row],[Cell_ID]],Registre_Maintenance_Part[[ID_Antenne]:[Colonne2]],4,FALSE),"")</f>
        <v>23.376487000000001</v>
      </c>
      <c r="J411" t="str">
        <f>IFERROR(VLOOKUP(Logs_Reseau_Part5[[#This Row],[Cell_ID]],Registre_Maintenance_Part[[ID_Antenne]:[Colonne2]],5,FALSE),"")</f>
        <v>3G</v>
      </c>
      <c r="K411" t="str">
        <f>IFERROR(VLOOKUP(Logs_Reseau_Part5[[#This Row],[Cell_ID]],Registre_Maintenance_Part[[ID_Antenne]:[Colonne2]],6,FALSE),"")</f>
        <v>Nokia</v>
      </c>
    </row>
    <row r="412" spans="1:11" x14ac:dyDescent="0.3">
      <c r="A412" t="s">
        <v>1195</v>
      </c>
      <c r="B412" s="1">
        <v>45205.178472222222</v>
      </c>
      <c r="C412" s="2">
        <v>45205.178472222222</v>
      </c>
      <c r="D412" t="s">
        <v>1217</v>
      </c>
      <c r="E412">
        <v>42</v>
      </c>
      <c r="F412" t="s">
        <v>737</v>
      </c>
      <c r="G412" t="str">
        <f>IFERROR(VLOOKUP(Logs_Reseau_Part5[[#This Row],[Cell_ID]],Registre_Maintenance_Part[[ID_Antenne]:[Colonne2]],2,FALSE),"")</f>
        <v>Sud-Ubangi</v>
      </c>
      <c r="H412">
        <f>IFERROR(VLOOKUP(Logs_Reseau_Part5[[#This Row],[Cell_ID]],Registre_Maintenance_Part[[ID_Antenne]:[Colonne2]],3,FALSE),"")</f>
        <v>3.611561</v>
      </c>
      <c r="I412">
        <f>IFERROR(VLOOKUP(Logs_Reseau_Part5[[#This Row],[Cell_ID]],Registre_Maintenance_Part[[ID_Antenne]:[Colonne2]],4,FALSE),"")</f>
        <v>17.725974999999998</v>
      </c>
      <c r="J412" t="str">
        <f>IFERROR(VLOOKUP(Logs_Reseau_Part5[[#This Row],[Cell_ID]],Registre_Maintenance_Part[[ID_Antenne]:[Colonne2]],5,FALSE),"")</f>
        <v>3G</v>
      </c>
      <c r="K412" t="str">
        <f>IFERROR(VLOOKUP(Logs_Reseau_Part5[[#This Row],[Cell_ID]],Registre_Maintenance_Part[[ID_Antenne]:[Colonne2]],6,FALSE),"")</f>
        <v>ZTE</v>
      </c>
    </row>
    <row r="413" spans="1:11" x14ac:dyDescent="0.3">
      <c r="A413" t="s">
        <v>863</v>
      </c>
      <c r="B413" s="1">
        <v>45209.901388888888</v>
      </c>
      <c r="C413" s="2">
        <v>45209.901388888888</v>
      </c>
      <c r="D413" t="s">
        <v>895</v>
      </c>
      <c r="E413">
        <v>68</v>
      </c>
      <c r="F413" t="s">
        <v>737</v>
      </c>
      <c r="G413" t="str">
        <f>IFERROR(VLOOKUP(Logs_Reseau_Part5[[#This Row],[Cell_ID]],Registre_Maintenance_Part[[ID_Antenne]:[Colonne2]],2,FALSE),"")</f>
        <v>Sud-Ubangi</v>
      </c>
      <c r="H413">
        <f>IFERROR(VLOOKUP(Logs_Reseau_Part5[[#This Row],[Cell_ID]],Registre_Maintenance_Part[[ID_Antenne]:[Colonne2]],3,FALSE),"")</f>
        <v>-8.3241560000000003</v>
      </c>
      <c r="I413">
        <f>IFERROR(VLOOKUP(Logs_Reseau_Part5[[#This Row],[Cell_ID]],Registre_Maintenance_Part[[ID_Antenne]:[Colonne2]],4,FALSE),"")</f>
        <v>19.543866000000001</v>
      </c>
      <c r="J413" t="str">
        <f>IFERROR(VLOOKUP(Logs_Reseau_Part5[[#This Row],[Cell_ID]],Registre_Maintenance_Part[[ID_Antenne]:[Colonne2]],5,FALSE),"")</f>
        <v>4G</v>
      </c>
      <c r="K413" t="str">
        <f>IFERROR(VLOOKUP(Logs_Reseau_Part5[[#This Row],[Cell_ID]],Registre_Maintenance_Part[[ID_Antenne]:[Colonne2]],6,FALSE),"")</f>
        <v>ZTE</v>
      </c>
    </row>
    <row r="414" spans="1:11" x14ac:dyDescent="0.3">
      <c r="A414" t="s">
        <v>941</v>
      </c>
      <c r="B414" s="1">
        <v>45210.280555555553</v>
      </c>
      <c r="C414" s="2">
        <v>45210.280555555553</v>
      </c>
      <c r="D414" t="s">
        <v>943</v>
      </c>
      <c r="E414">
        <v>43</v>
      </c>
      <c r="F414" t="s">
        <v>737</v>
      </c>
      <c r="G414" t="str">
        <f>IFERROR(VLOOKUP(Logs_Reseau_Part5[[#This Row],[Cell_ID]],Registre_Maintenance_Part[[ID_Antenne]:[Colonne2]],2,FALSE),"")</f>
        <v>Sud-Ubangi</v>
      </c>
      <c r="H414">
        <f>IFERROR(VLOOKUP(Logs_Reseau_Part5[[#This Row],[Cell_ID]],Registre_Maintenance_Part[[ID_Antenne]:[Colonne2]],3,FALSE),"")</f>
        <v>-12.342053999999999</v>
      </c>
      <c r="I414">
        <f>IFERROR(VLOOKUP(Logs_Reseau_Part5[[#This Row],[Cell_ID]],Registre_Maintenance_Part[[ID_Antenne]:[Colonne2]],4,FALSE),"")</f>
        <v>18.756862000000002</v>
      </c>
      <c r="J414" t="str">
        <f>IFERROR(VLOOKUP(Logs_Reseau_Part5[[#This Row],[Cell_ID]],Registre_Maintenance_Part[[ID_Antenne]:[Colonne2]],5,FALSE),"")</f>
        <v>3G</v>
      </c>
      <c r="K414" t="str">
        <f>IFERROR(VLOOKUP(Logs_Reseau_Part5[[#This Row],[Cell_ID]],Registre_Maintenance_Part[[ID_Antenne]:[Colonne2]],6,FALSE),"")</f>
        <v>Ericsson</v>
      </c>
    </row>
    <row r="415" spans="1:11" x14ac:dyDescent="0.3">
      <c r="A415" t="s">
        <v>1061</v>
      </c>
      <c r="B415" s="1">
        <v>45211.098611111112</v>
      </c>
      <c r="C415" s="2">
        <v>45211.098611111112</v>
      </c>
      <c r="D415" t="s">
        <v>1073</v>
      </c>
      <c r="E415">
        <v>59</v>
      </c>
      <c r="F415" t="s">
        <v>739</v>
      </c>
      <c r="G415" t="str">
        <f>IFERROR(VLOOKUP(Logs_Reseau_Part5[[#This Row],[Cell_ID]],Registre_Maintenance_Part[[ID_Antenne]:[Colonne2]],2,FALSE),"")</f>
        <v>Sud-Ubangi</v>
      </c>
      <c r="H415">
        <f>IFERROR(VLOOKUP(Logs_Reseau_Part5[[#This Row],[Cell_ID]],Registre_Maintenance_Part[[ID_Antenne]:[Colonne2]],3,FALSE),"")</f>
        <v>-11.387295999999999</v>
      </c>
      <c r="I415">
        <f>IFERROR(VLOOKUP(Logs_Reseau_Part5[[#This Row],[Cell_ID]],Registre_Maintenance_Part[[ID_Antenne]:[Colonne2]],4,FALSE),"")</f>
        <v>19.384257999999999</v>
      </c>
      <c r="J415" t="str">
        <f>IFERROR(VLOOKUP(Logs_Reseau_Part5[[#This Row],[Cell_ID]],Registre_Maintenance_Part[[ID_Antenne]:[Colonne2]],5,FALSE),"")</f>
        <v>3G</v>
      </c>
      <c r="K415" t="str">
        <f>IFERROR(VLOOKUP(Logs_Reseau_Part5[[#This Row],[Cell_ID]],Registre_Maintenance_Part[[ID_Antenne]:[Colonne2]],6,FALSE),"")</f>
        <v>Huawei</v>
      </c>
    </row>
    <row r="416" spans="1:11" x14ac:dyDescent="0.3">
      <c r="A416" t="s">
        <v>1363</v>
      </c>
      <c r="B416" s="1">
        <v>45211.904861111107</v>
      </c>
      <c r="C416" s="2">
        <v>45211.904861111107</v>
      </c>
      <c r="D416" t="s">
        <v>943</v>
      </c>
      <c r="E416">
        <v>45</v>
      </c>
      <c r="F416" t="s">
        <v>739</v>
      </c>
      <c r="G416" t="str">
        <f>IFERROR(VLOOKUP(Logs_Reseau_Part5[[#This Row],[Cell_ID]],Registre_Maintenance_Part[[ID_Antenne]:[Colonne2]],2,FALSE),"")</f>
        <v>Sud-Ubangi</v>
      </c>
      <c r="H416">
        <f>IFERROR(VLOOKUP(Logs_Reseau_Part5[[#This Row],[Cell_ID]],Registre_Maintenance_Part[[ID_Antenne]:[Colonne2]],3,FALSE),"")</f>
        <v>-12.342053999999999</v>
      </c>
      <c r="I416">
        <f>IFERROR(VLOOKUP(Logs_Reseau_Part5[[#This Row],[Cell_ID]],Registre_Maintenance_Part[[ID_Antenne]:[Colonne2]],4,FALSE),"")</f>
        <v>18.756862000000002</v>
      </c>
      <c r="J416" t="str">
        <f>IFERROR(VLOOKUP(Logs_Reseau_Part5[[#This Row],[Cell_ID]],Registre_Maintenance_Part[[ID_Antenne]:[Colonne2]],5,FALSE),"")</f>
        <v>3G</v>
      </c>
      <c r="K416" t="str">
        <f>IFERROR(VLOOKUP(Logs_Reseau_Part5[[#This Row],[Cell_ID]],Registre_Maintenance_Part[[ID_Antenne]:[Colonne2]],6,FALSE),"")</f>
        <v>Ericsson</v>
      </c>
    </row>
    <row r="417" spans="1:11" x14ac:dyDescent="0.3">
      <c r="A417" t="s">
        <v>1167</v>
      </c>
      <c r="B417" s="1">
        <v>45213.066666666673</v>
      </c>
      <c r="C417" s="2">
        <v>45213.066666666673</v>
      </c>
      <c r="D417" t="s">
        <v>1073</v>
      </c>
      <c r="E417">
        <v>63</v>
      </c>
      <c r="F417" t="s">
        <v>734</v>
      </c>
      <c r="G417" t="str">
        <f>IFERROR(VLOOKUP(Logs_Reseau_Part5[[#This Row],[Cell_ID]],Registre_Maintenance_Part[[ID_Antenne]:[Colonne2]],2,FALSE),"")</f>
        <v>Sud-Ubangi</v>
      </c>
      <c r="H417">
        <f>IFERROR(VLOOKUP(Logs_Reseau_Part5[[#This Row],[Cell_ID]],Registre_Maintenance_Part[[ID_Antenne]:[Colonne2]],3,FALSE),"")</f>
        <v>-11.387295999999999</v>
      </c>
      <c r="I417">
        <f>IFERROR(VLOOKUP(Logs_Reseau_Part5[[#This Row],[Cell_ID]],Registre_Maintenance_Part[[ID_Antenne]:[Colonne2]],4,FALSE),"")</f>
        <v>19.384257999999999</v>
      </c>
      <c r="J417" t="str">
        <f>IFERROR(VLOOKUP(Logs_Reseau_Part5[[#This Row],[Cell_ID]],Registre_Maintenance_Part[[ID_Antenne]:[Colonne2]],5,FALSE),"")</f>
        <v>3G</v>
      </c>
      <c r="K417" t="str">
        <f>IFERROR(VLOOKUP(Logs_Reseau_Part5[[#This Row],[Cell_ID]],Registre_Maintenance_Part[[ID_Antenne]:[Colonne2]],6,FALSE),"")</f>
        <v>Huawei</v>
      </c>
    </row>
    <row r="418" spans="1:11" x14ac:dyDescent="0.3">
      <c r="A418" t="s">
        <v>781</v>
      </c>
      <c r="B418" s="1">
        <v>45214.457638888889</v>
      </c>
      <c r="C418" s="2">
        <v>45214.457638888889</v>
      </c>
      <c r="D418" t="s">
        <v>822</v>
      </c>
      <c r="E418">
        <v>48</v>
      </c>
      <c r="F418" t="s">
        <v>739</v>
      </c>
      <c r="G418" t="str">
        <f>IFERROR(VLOOKUP(Logs_Reseau_Part5[[#This Row],[Cell_ID]],Registre_Maintenance_Part[[ID_Antenne]:[Colonne2]],2,FALSE),"")</f>
        <v>Sud-Ubangi</v>
      </c>
      <c r="H418">
        <f>IFERROR(VLOOKUP(Logs_Reseau_Part5[[#This Row],[Cell_ID]],Registre_Maintenance_Part[[ID_Antenne]:[Colonne2]],3,FALSE),"")</f>
        <v>-9.3652239999999995</v>
      </c>
      <c r="I418">
        <f>IFERROR(VLOOKUP(Logs_Reseau_Part5[[#This Row],[Cell_ID]],Registre_Maintenance_Part[[ID_Antenne]:[Colonne2]],4,FALSE),"")</f>
        <v>22.593423999999999</v>
      </c>
      <c r="J418" t="str">
        <f>IFERROR(VLOOKUP(Logs_Reseau_Part5[[#This Row],[Cell_ID]],Registre_Maintenance_Part[[ID_Antenne]:[Colonne2]],5,FALSE),"")</f>
        <v>5G</v>
      </c>
      <c r="K418" t="str">
        <f>IFERROR(VLOOKUP(Logs_Reseau_Part5[[#This Row],[Cell_ID]],Registre_Maintenance_Part[[ID_Antenne]:[Colonne2]],6,FALSE),"")</f>
        <v>Nokia</v>
      </c>
    </row>
    <row r="419" spans="1:11" x14ac:dyDescent="0.3">
      <c r="A419" t="s">
        <v>1026</v>
      </c>
      <c r="B419" s="1">
        <v>45214.774305555547</v>
      </c>
      <c r="C419" s="2">
        <v>45214.774305555547</v>
      </c>
      <c r="D419" t="s">
        <v>812</v>
      </c>
      <c r="E419">
        <v>118</v>
      </c>
      <c r="F419" t="s">
        <v>734</v>
      </c>
      <c r="G419" t="str">
        <f>IFERROR(VLOOKUP(Logs_Reseau_Part5[[#This Row],[Cell_ID]],Registre_Maintenance_Part[[ID_Antenne]:[Colonne2]],2,FALSE),"")</f>
        <v>Sud-Ubangi</v>
      </c>
      <c r="H419">
        <f>IFERROR(VLOOKUP(Logs_Reseau_Part5[[#This Row],[Cell_ID]],Registre_Maintenance_Part[[ID_Antenne]:[Colonne2]],3,FALSE),"")</f>
        <v>-10.914952</v>
      </c>
      <c r="I419">
        <f>IFERROR(VLOOKUP(Logs_Reseau_Part5[[#This Row],[Cell_ID]],Registre_Maintenance_Part[[ID_Antenne]:[Colonne2]],4,FALSE),"")</f>
        <v>26.409648000000001</v>
      </c>
      <c r="J419" t="str">
        <f>IFERROR(VLOOKUP(Logs_Reseau_Part5[[#This Row],[Cell_ID]],Registre_Maintenance_Part[[ID_Antenne]:[Colonne2]],5,FALSE),"")</f>
        <v>4G</v>
      </c>
      <c r="K419" t="str">
        <f>IFERROR(VLOOKUP(Logs_Reseau_Part5[[#This Row],[Cell_ID]],Registre_Maintenance_Part[[ID_Antenne]:[Colonne2]],6,FALSE),"")</f>
        <v>Huawei</v>
      </c>
    </row>
    <row r="420" spans="1:11" x14ac:dyDescent="0.3">
      <c r="A420" t="s">
        <v>781</v>
      </c>
      <c r="B420" s="1">
        <v>45216.673611111109</v>
      </c>
      <c r="C420" s="2">
        <v>45216.673611111109</v>
      </c>
      <c r="D420" t="s">
        <v>808</v>
      </c>
      <c r="E420">
        <v>117</v>
      </c>
      <c r="F420" t="s">
        <v>734</v>
      </c>
      <c r="G420" t="str">
        <f>IFERROR(VLOOKUP(Logs_Reseau_Part5[[#This Row],[Cell_ID]],Registre_Maintenance_Part[[ID_Antenne]:[Colonne2]],2,FALSE),"")</f>
        <v>Sud-Ubangi</v>
      </c>
      <c r="H420">
        <f>IFERROR(VLOOKUP(Logs_Reseau_Part5[[#This Row],[Cell_ID]],Registre_Maintenance_Part[[ID_Antenne]:[Colonne2]],3,FALSE),"")</f>
        <v>-12.141233</v>
      </c>
      <c r="I420">
        <f>IFERROR(VLOOKUP(Logs_Reseau_Part5[[#This Row],[Cell_ID]],Registre_Maintenance_Part[[ID_Antenne]:[Colonne2]],4,FALSE),"")</f>
        <v>15.179043999999999</v>
      </c>
      <c r="J420" t="str">
        <f>IFERROR(VLOOKUP(Logs_Reseau_Part5[[#This Row],[Cell_ID]],Registre_Maintenance_Part[[ID_Antenne]:[Colonne2]],5,FALSE),"")</f>
        <v>5G</v>
      </c>
      <c r="K420" t="str">
        <f>IFERROR(VLOOKUP(Logs_Reseau_Part5[[#This Row],[Cell_ID]],Registre_Maintenance_Part[[ID_Antenne]:[Colonne2]],6,FALSE),"")</f>
        <v>Ericsson</v>
      </c>
    </row>
    <row r="421" spans="1:11" x14ac:dyDescent="0.3">
      <c r="A421" t="s">
        <v>941</v>
      </c>
      <c r="B421" s="1">
        <v>45216.76458333333</v>
      </c>
      <c r="C421" s="2">
        <v>45216.76458333333</v>
      </c>
      <c r="D421" t="s">
        <v>812</v>
      </c>
      <c r="E421">
        <v>53</v>
      </c>
      <c r="F421" t="s">
        <v>737</v>
      </c>
      <c r="G421" t="str">
        <f>IFERROR(VLOOKUP(Logs_Reseau_Part5[[#This Row],[Cell_ID]],Registre_Maintenance_Part[[ID_Antenne]:[Colonne2]],2,FALSE),"")</f>
        <v>Sud-Ubangi</v>
      </c>
      <c r="H421">
        <f>IFERROR(VLOOKUP(Logs_Reseau_Part5[[#This Row],[Cell_ID]],Registre_Maintenance_Part[[ID_Antenne]:[Colonne2]],3,FALSE),"")</f>
        <v>-10.914952</v>
      </c>
      <c r="I421">
        <f>IFERROR(VLOOKUP(Logs_Reseau_Part5[[#This Row],[Cell_ID]],Registre_Maintenance_Part[[ID_Antenne]:[Colonne2]],4,FALSE),"")</f>
        <v>26.409648000000001</v>
      </c>
      <c r="J421" t="str">
        <f>IFERROR(VLOOKUP(Logs_Reseau_Part5[[#This Row],[Cell_ID]],Registre_Maintenance_Part[[ID_Antenne]:[Colonne2]],5,FALSE),"")</f>
        <v>4G</v>
      </c>
      <c r="K421" t="str">
        <f>IFERROR(VLOOKUP(Logs_Reseau_Part5[[#This Row],[Cell_ID]],Registre_Maintenance_Part[[ID_Antenne]:[Colonne2]],6,FALSE),"")</f>
        <v>Huawei</v>
      </c>
    </row>
    <row r="422" spans="1:11" x14ac:dyDescent="0.3">
      <c r="A422" t="s">
        <v>1384</v>
      </c>
      <c r="B422" s="1">
        <v>45219.438888888893</v>
      </c>
      <c r="C422" s="2">
        <v>45219.438888888893</v>
      </c>
      <c r="D422" t="s">
        <v>1390</v>
      </c>
      <c r="E422">
        <v>105</v>
      </c>
      <c r="F422" t="s">
        <v>737</v>
      </c>
      <c r="G422" t="str">
        <f>IFERROR(VLOOKUP(Logs_Reseau_Part5[[#This Row],[Cell_ID]],Registre_Maintenance_Part[[ID_Antenne]:[Colonne2]],2,FALSE),"")</f>
        <v>Sud-Ubangi</v>
      </c>
      <c r="H422">
        <f>IFERROR(VLOOKUP(Logs_Reseau_Part5[[#This Row],[Cell_ID]],Registre_Maintenance_Part[[ID_Antenne]:[Colonne2]],3,FALSE),"")</f>
        <v>-0.54908599999999996</v>
      </c>
      <c r="I422">
        <f>IFERROR(VLOOKUP(Logs_Reseau_Part5[[#This Row],[Cell_ID]],Registre_Maintenance_Part[[ID_Antenne]:[Colonne2]],4,FALSE),"")</f>
        <v>14.816867</v>
      </c>
      <c r="J422" t="str">
        <f>IFERROR(VLOOKUP(Logs_Reseau_Part5[[#This Row],[Cell_ID]],Registre_Maintenance_Part[[ID_Antenne]:[Colonne2]],5,FALSE),"")</f>
        <v>5G</v>
      </c>
      <c r="K422" t="str">
        <f>IFERROR(VLOOKUP(Logs_Reseau_Part5[[#This Row],[Cell_ID]],Registre_Maintenance_Part[[ID_Antenne]:[Colonne2]],6,FALSE),"")</f>
        <v>ZTE</v>
      </c>
    </row>
    <row r="423" spans="1:11" x14ac:dyDescent="0.3">
      <c r="A423" t="s">
        <v>1140</v>
      </c>
      <c r="B423" s="1">
        <v>45220.488888888889</v>
      </c>
      <c r="C423" s="2">
        <v>45220.488888888889</v>
      </c>
      <c r="D423" t="s">
        <v>822</v>
      </c>
      <c r="E423">
        <v>49</v>
      </c>
      <c r="F423" t="s">
        <v>739</v>
      </c>
      <c r="G423" t="str">
        <f>IFERROR(VLOOKUP(Logs_Reseau_Part5[[#This Row],[Cell_ID]],Registre_Maintenance_Part[[ID_Antenne]:[Colonne2]],2,FALSE),"")</f>
        <v>Sud-Ubangi</v>
      </c>
      <c r="H423">
        <f>IFERROR(VLOOKUP(Logs_Reseau_Part5[[#This Row],[Cell_ID]],Registre_Maintenance_Part[[ID_Antenne]:[Colonne2]],3,FALSE),"")</f>
        <v>-9.3652239999999995</v>
      </c>
      <c r="I423">
        <f>IFERROR(VLOOKUP(Logs_Reseau_Part5[[#This Row],[Cell_ID]],Registre_Maintenance_Part[[ID_Antenne]:[Colonne2]],4,FALSE),"")</f>
        <v>22.593423999999999</v>
      </c>
      <c r="J423" t="str">
        <f>IFERROR(VLOOKUP(Logs_Reseau_Part5[[#This Row],[Cell_ID]],Registre_Maintenance_Part[[ID_Antenne]:[Colonne2]],5,FALSE),"")</f>
        <v>5G</v>
      </c>
      <c r="K423" t="str">
        <f>IFERROR(VLOOKUP(Logs_Reseau_Part5[[#This Row],[Cell_ID]],Registre_Maintenance_Part[[ID_Antenne]:[Colonne2]],6,FALSE),"")</f>
        <v>Nokia</v>
      </c>
    </row>
    <row r="424" spans="1:11" x14ac:dyDescent="0.3">
      <c r="A424" t="s">
        <v>1167</v>
      </c>
      <c r="B424" s="1">
        <v>45223.554166666669</v>
      </c>
      <c r="C424" s="2">
        <v>45223.554166666669</v>
      </c>
      <c r="D424" t="s">
        <v>1190</v>
      </c>
      <c r="E424">
        <v>86</v>
      </c>
      <c r="F424" t="s">
        <v>737</v>
      </c>
      <c r="G424" t="str">
        <f>IFERROR(VLOOKUP(Logs_Reseau_Part5[[#This Row],[Cell_ID]],Registre_Maintenance_Part[[ID_Antenne]:[Colonne2]],2,FALSE),"")</f>
        <v>Sud-Ubangi</v>
      </c>
      <c r="H424">
        <f>IFERROR(VLOOKUP(Logs_Reseau_Part5[[#This Row],[Cell_ID]],Registre_Maintenance_Part[[ID_Antenne]:[Colonne2]],3,FALSE),"")</f>
        <v>-12.050063</v>
      </c>
      <c r="I424">
        <f>IFERROR(VLOOKUP(Logs_Reseau_Part5[[#This Row],[Cell_ID]],Registre_Maintenance_Part[[ID_Antenne]:[Colonne2]],4,FALSE),"")</f>
        <v>26.636987999999999</v>
      </c>
      <c r="J424" t="str">
        <f>IFERROR(VLOOKUP(Logs_Reseau_Part5[[#This Row],[Cell_ID]],Registre_Maintenance_Part[[ID_Antenne]:[Colonne2]],5,FALSE),"")</f>
        <v>3G</v>
      </c>
      <c r="K424" t="str">
        <f>IFERROR(VLOOKUP(Logs_Reseau_Part5[[#This Row],[Cell_ID]],Registre_Maintenance_Part[[ID_Antenne]:[Colonne2]],6,FALSE),"")</f>
        <v>Nokia</v>
      </c>
    </row>
    <row r="425" spans="1:11" x14ac:dyDescent="0.3">
      <c r="A425" t="s">
        <v>1088</v>
      </c>
      <c r="B425" s="1">
        <v>45225.625694444447</v>
      </c>
      <c r="C425" s="2">
        <v>45225.625694444447</v>
      </c>
      <c r="D425" t="s">
        <v>1094</v>
      </c>
      <c r="E425">
        <v>108</v>
      </c>
      <c r="F425" t="s">
        <v>739</v>
      </c>
      <c r="G425" t="str">
        <f>IFERROR(VLOOKUP(Logs_Reseau_Part5[[#This Row],[Cell_ID]],Registre_Maintenance_Part[[ID_Antenne]:[Colonne2]],2,FALSE),"")</f>
        <v>Sud-Ubangi</v>
      </c>
      <c r="H425">
        <f>IFERROR(VLOOKUP(Logs_Reseau_Part5[[#This Row],[Cell_ID]],Registre_Maintenance_Part[[ID_Antenne]:[Colonne2]],3,FALSE),"")</f>
        <v>-10.611184</v>
      </c>
      <c r="I425">
        <f>IFERROR(VLOOKUP(Logs_Reseau_Part5[[#This Row],[Cell_ID]],Registre_Maintenance_Part[[ID_Antenne]:[Colonne2]],4,FALSE),"")</f>
        <v>23.022268</v>
      </c>
      <c r="J425" t="str">
        <f>IFERROR(VLOOKUP(Logs_Reseau_Part5[[#This Row],[Cell_ID]],Registre_Maintenance_Part[[ID_Antenne]:[Colonne2]],5,FALSE),"")</f>
        <v>5G</v>
      </c>
      <c r="K425" t="str">
        <f>IFERROR(VLOOKUP(Logs_Reseau_Part5[[#This Row],[Cell_ID]],Registre_Maintenance_Part[[ID_Antenne]:[Colonne2]],6,FALSE),"")</f>
        <v>ZTE</v>
      </c>
    </row>
    <row r="426" spans="1:11" x14ac:dyDescent="0.3">
      <c r="A426" t="s">
        <v>781</v>
      </c>
      <c r="B426" s="1">
        <v>45227.309027777781</v>
      </c>
      <c r="C426" s="2">
        <v>45227.309027777781</v>
      </c>
      <c r="D426" t="s">
        <v>812</v>
      </c>
      <c r="E426">
        <v>118</v>
      </c>
      <c r="F426" t="s">
        <v>739</v>
      </c>
      <c r="G426" t="str">
        <f>IFERROR(VLOOKUP(Logs_Reseau_Part5[[#This Row],[Cell_ID]],Registre_Maintenance_Part[[ID_Antenne]:[Colonne2]],2,FALSE),"")</f>
        <v>Sud-Ubangi</v>
      </c>
      <c r="H426">
        <f>IFERROR(VLOOKUP(Logs_Reseau_Part5[[#This Row],[Cell_ID]],Registre_Maintenance_Part[[ID_Antenne]:[Colonne2]],3,FALSE),"")</f>
        <v>-10.914952</v>
      </c>
      <c r="I426">
        <f>IFERROR(VLOOKUP(Logs_Reseau_Part5[[#This Row],[Cell_ID]],Registre_Maintenance_Part[[ID_Antenne]:[Colonne2]],4,FALSE),"")</f>
        <v>26.409648000000001</v>
      </c>
      <c r="J426" t="str">
        <f>IFERROR(VLOOKUP(Logs_Reseau_Part5[[#This Row],[Cell_ID]],Registre_Maintenance_Part[[ID_Antenne]:[Colonne2]],5,FALSE),"")</f>
        <v>4G</v>
      </c>
      <c r="K426" t="str">
        <f>IFERROR(VLOOKUP(Logs_Reseau_Part5[[#This Row],[Cell_ID]],Registre_Maintenance_Part[[ID_Antenne]:[Colonne2]],6,FALSE),"")</f>
        <v>Huawei</v>
      </c>
    </row>
    <row r="427" spans="1:11" x14ac:dyDescent="0.3">
      <c r="A427" t="s">
        <v>1310</v>
      </c>
      <c r="B427" s="1">
        <v>45227.751388888893</v>
      </c>
      <c r="C427" s="2">
        <v>45227.751388888893</v>
      </c>
      <c r="D427" t="s">
        <v>1190</v>
      </c>
      <c r="E427">
        <v>42</v>
      </c>
      <c r="F427" t="s">
        <v>734</v>
      </c>
      <c r="G427" t="str">
        <f>IFERROR(VLOOKUP(Logs_Reseau_Part5[[#This Row],[Cell_ID]],Registre_Maintenance_Part[[ID_Antenne]:[Colonne2]],2,FALSE),"")</f>
        <v>Sud-Ubangi</v>
      </c>
      <c r="H427">
        <f>IFERROR(VLOOKUP(Logs_Reseau_Part5[[#This Row],[Cell_ID]],Registre_Maintenance_Part[[ID_Antenne]:[Colonne2]],3,FALSE),"")</f>
        <v>-12.050063</v>
      </c>
      <c r="I427">
        <f>IFERROR(VLOOKUP(Logs_Reseau_Part5[[#This Row],[Cell_ID]],Registre_Maintenance_Part[[ID_Antenne]:[Colonne2]],4,FALSE),"")</f>
        <v>26.636987999999999</v>
      </c>
      <c r="J427" t="str">
        <f>IFERROR(VLOOKUP(Logs_Reseau_Part5[[#This Row],[Cell_ID]],Registre_Maintenance_Part[[ID_Antenne]:[Colonne2]],5,FALSE),"")</f>
        <v>3G</v>
      </c>
      <c r="K427" t="str">
        <f>IFERROR(VLOOKUP(Logs_Reseau_Part5[[#This Row],[Cell_ID]],Registre_Maintenance_Part[[ID_Antenne]:[Colonne2]],6,FALSE),"")</f>
        <v>Nokia</v>
      </c>
    </row>
    <row r="428" spans="1:11" x14ac:dyDescent="0.3">
      <c r="A428" t="s">
        <v>980</v>
      </c>
      <c r="B428" s="1">
        <v>45202.717361111107</v>
      </c>
      <c r="C428" s="2">
        <v>45202.717361111107</v>
      </c>
      <c r="D428" t="s">
        <v>995</v>
      </c>
      <c r="E428">
        <v>115</v>
      </c>
      <c r="F428" t="s">
        <v>739</v>
      </c>
      <c r="G428" t="str">
        <f>IFERROR(VLOOKUP(Logs_Reseau_Part5[[#This Row],[Cell_ID]],Registre_Maintenance_Part[[ID_Antenne]:[Colonne2]],2,FALSE),"")</f>
        <v>Tanganyika</v>
      </c>
      <c r="H428">
        <f>IFERROR(VLOOKUP(Logs_Reseau_Part5[[#This Row],[Cell_ID]],Registre_Maintenance_Part[[ID_Antenne]:[Colonne2]],3,FALSE),"")</f>
        <v>-1.5936220000000001</v>
      </c>
      <c r="I428">
        <f>IFERROR(VLOOKUP(Logs_Reseau_Part5[[#This Row],[Cell_ID]],Registre_Maintenance_Part[[ID_Antenne]:[Colonne2]],4,FALSE),"")</f>
        <v>14.928856</v>
      </c>
      <c r="J428" t="str">
        <f>IFERROR(VLOOKUP(Logs_Reseau_Part5[[#This Row],[Cell_ID]],Registre_Maintenance_Part[[ID_Antenne]:[Colonne2]],5,FALSE),"")</f>
        <v>5G</v>
      </c>
      <c r="K428" t="str">
        <f>IFERROR(VLOOKUP(Logs_Reseau_Part5[[#This Row],[Cell_ID]],Registre_Maintenance_Part[[ID_Antenne]:[Colonne2]],6,FALSE),"")</f>
        <v>Ericsson</v>
      </c>
    </row>
    <row r="429" spans="1:11" x14ac:dyDescent="0.3">
      <c r="A429" t="s">
        <v>1026</v>
      </c>
      <c r="B429" s="1">
        <v>45202.779166666667</v>
      </c>
      <c r="C429" s="2">
        <v>45202.779166666667</v>
      </c>
      <c r="D429" t="s">
        <v>1045</v>
      </c>
      <c r="E429">
        <v>61</v>
      </c>
      <c r="F429" t="s">
        <v>739</v>
      </c>
      <c r="G429" t="str">
        <f>IFERROR(VLOOKUP(Logs_Reseau_Part5[[#This Row],[Cell_ID]],Registre_Maintenance_Part[[ID_Antenne]:[Colonne2]],2,FALSE),"")</f>
        <v>Tanganyika</v>
      </c>
      <c r="H429">
        <f>IFERROR(VLOOKUP(Logs_Reseau_Part5[[#This Row],[Cell_ID]],Registre_Maintenance_Part[[ID_Antenne]:[Colonne2]],3,FALSE),"")</f>
        <v>-12.229338</v>
      </c>
      <c r="I429">
        <f>IFERROR(VLOOKUP(Logs_Reseau_Part5[[#This Row],[Cell_ID]],Registre_Maintenance_Part[[ID_Antenne]:[Colonne2]],4,FALSE),"")</f>
        <v>29.587834999999998</v>
      </c>
      <c r="J429" t="str">
        <f>IFERROR(VLOOKUP(Logs_Reseau_Part5[[#This Row],[Cell_ID]],Registre_Maintenance_Part[[ID_Antenne]:[Colonne2]],5,FALSE),"")</f>
        <v>4G</v>
      </c>
      <c r="K429" t="str">
        <f>IFERROR(VLOOKUP(Logs_Reseau_Part5[[#This Row],[Cell_ID]],Registre_Maintenance_Part[[ID_Antenne]:[Colonne2]],6,FALSE),"")</f>
        <v>Nokia</v>
      </c>
    </row>
    <row r="430" spans="1:11" x14ac:dyDescent="0.3">
      <c r="A430" t="s">
        <v>732</v>
      </c>
      <c r="B430" s="1">
        <v>45203.032638888893</v>
      </c>
      <c r="C430" s="2">
        <v>45203.032638888893</v>
      </c>
      <c r="D430" t="s">
        <v>733</v>
      </c>
      <c r="E430">
        <v>73</v>
      </c>
      <c r="F430" t="s">
        <v>734</v>
      </c>
      <c r="G430" t="str">
        <f>IFERROR(VLOOKUP(Logs_Reseau_Part5[[#This Row],[Cell_ID]],Registre_Maintenance_Part[[ID_Antenne]:[Colonne2]],2,FALSE),"")</f>
        <v>Tanganyika</v>
      </c>
      <c r="H430">
        <f>IFERROR(VLOOKUP(Logs_Reseau_Part5[[#This Row],[Cell_ID]],Registre_Maintenance_Part[[ID_Antenne]:[Colonne2]],3,FALSE),"")</f>
        <v>-11.144149000000001</v>
      </c>
      <c r="I430">
        <f>IFERROR(VLOOKUP(Logs_Reseau_Part5[[#This Row],[Cell_ID]],Registre_Maintenance_Part[[ID_Antenne]:[Colonne2]],4,FALSE),"")</f>
        <v>27.244658999999999</v>
      </c>
      <c r="J430" t="str">
        <f>IFERROR(VLOOKUP(Logs_Reseau_Part5[[#This Row],[Cell_ID]],Registre_Maintenance_Part[[ID_Antenne]:[Colonne2]],5,FALSE),"")</f>
        <v>4G</v>
      </c>
      <c r="K430" t="str">
        <f>IFERROR(VLOOKUP(Logs_Reseau_Part5[[#This Row],[Cell_ID]],Registre_Maintenance_Part[[ID_Antenne]:[Colonne2]],6,FALSE),"")</f>
        <v>Nokia</v>
      </c>
    </row>
    <row r="431" spans="1:11" x14ac:dyDescent="0.3">
      <c r="A431" t="s">
        <v>1221</v>
      </c>
      <c r="B431" s="1">
        <v>45203.304861111108</v>
      </c>
      <c r="C431" s="2">
        <v>45203.304861111108</v>
      </c>
      <c r="D431" t="s">
        <v>1143</v>
      </c>
      <c r="E431">
        <v>106</v>
      </c>
      <c r="F431" t="s">
        <v>737</v>
      </c>
      <c r="G431" t="str">
        <f>IFERROR(VLOOKUP(Logs_Reseau_Part5[[#This Row],[Cell_ID]],Registre_Maintenance_Part[[ID_Antenne]:[Colonne2]],2,FALSE),"")</f>
        <v>Tanganyika</v>
      </c>
      <c r="H431">
        <f>IFERROR(VLOOKUP(Logs_Reseau_Part5[[#This Row],[Cell_ID]],Registre_Maintenance_Part[[ID_Antenne]:[Colonne2]],3,FALSE),"")</f>
        <v>-11.793894</v>
      </c>
      <c r="I431">
        <f>IFERROR(VLOOKUP(Logs_Reseau_Part5[[#This Row],[Cell_ID]],Registre_Maintenance_Part[[ID_Antenne]:[Colonne2]],4,FALSE),"")</f>
        <v>20.433340999999999</v>
      </c>
      <c r="J431" t="str">
        <f>IFERROR(VLOOKUP(Logs_Reseau_Part5[[#This Row],[Cell_ID]],Registre_Maintenance_Part[[ID_Antenne]:[Colonne2]],5,FALSE),"")</f>
        <v>5G</v>
      </c>
      <c r="K431" t="str">
        <f>IFERROR(VLOOKUP(Logs_Reseau_Part5[[#This Row],[Cell_ID]],Registre_Maintenance_Part[[ID_Antenne]:[Colonne2]],6,FALSE),"")</f>
        <v>Nokia</v>
      </c>
    </row>
    <row r="432" spans="1:11" x14ac:dyDescent="0.3">
      <c r="A432" t="s">
        <v>781</v>
      </c>
      <c r="B432" s="1">
        <v>45205.353472222218</v>
      </c>
      <c r="C432" s="2">
        <v>45205.353472222218</v>
      </c>
      <c r="D432" t="s">
        <v>792</v>
      </c>
      <c r="E432">
        <v>52</v>
      </c>
      <c r="F432" t="s">
        <v>737</v>
      </c>
      <c r="G432" t="str">
        <f>IFERROR(VLOOKUP(Logs_Reseau_Part5[[#This Row],[Cell_ID]],Registre_Maintenance_Part[[ID_Antenne]:[Colonne2]],2,FALSE),"")</f>
        <v>Tanganyika</v>
      </c>
      <c r="H432">
        <f>IFERROR(VLOOKUP(Logs_Reseau_Part5[[#This Row],[Cell_ID]],Registre_Maintenance_Part[[ID_Antenne]:[Colonne2]],3,FALSE),"")</f>
        <v>3.1362930000000002</v>
      </c>
      <c r="I432">
        <f>IFERROR(VLOOKUP(Logs_Reseau_Part5[[#This Row],[Cell_ID]],Registre_Maintenance_Part[[ID_Antenne]:[Colonne2]],4,FALSE),"")</f>
        <v>16.190878000000001</v>
      </c>
      <c r="J432" t="str">
        <f>IFERROR(VLOOKUP(Logs_Reseau_Part5[[#This Row],[Cell_ID]],Registre_Maintenance_Part[[ID_Antenne]:[Colonne2]],5,FALSE),"")</f>
        <v>3G</v>
      </c>
      <c r="K432" t="str">
        <f>IFERROR(VLOOKUP(Logs_Reseau_Part5[[#This Row],[Cell_ID]],Registre_Maintenance_Part[[ID_Antenne]:[Colonne2]],6,FALSE),"")</f>
        <v>Nokia</v>
      </c>
    </row>
    <row r="433" spans="1:11" x14ac:dyDescent="0.3">
      <c r="A433" t="s">
        <v>904</v>
      </c>
      <c r="B433" s="1">
        <v>45207.368055555547</v>
      </c>
      <c r="C433" s="2">
        <v>45207.368055555547</v>
      </c>
      <c r="D433" t="s">
        <v>927</v>
      </c>
      <c r="E433">
        <v>46</v>
      </c>
      <c r="F433" t="s">
        <v>734</v>
      </c>
      <c r="G433" t="str">
        <f>IFERROR(VLOOKUP(Logs_Reseau_Part5[[#This Row],[Cell_ID]],Registre_Maintenance_Part[[ID_Antenne]:[Colonne2]],2,FALSE),"")</f>
        <v>Tanganyika</v>
      </c>
      <c r="H433">
        <f>IFERROR(VLOOKUP(Logs_Reseau_Part5[[#This Row],[Cell_ID]],Registre_Maintenance_Part[[ID_Antenne]:[Colonne2]],3,FALSE),"")</f>
        <v>-10.481026999999999</v>
      </c>
      <c r="I433">
        <f>IFERROR(VLOOKUP(Logs_Reseau_Part5[[#This Row],[Cell_ID]],Registre_Maintenance_Part[[ID_Antenne]:[Colonne2]],4,FALSE),"")</f>
        <v>18.160464000000001</v>
      </c>
      <c r="J433" t="str">
        <f>IFERROR(VLOOKUP(Logs_Reseau_Part5[[#This Row],[Cell_ID]],Registre_Maintenance_Part[[ID_Antenne]:[Colonne2]],5,FALSE),"")</f>
        <v>5G</v>
      </c>
      <c r="K433" t="str">
        <f>IFERROR(VLOOKUP(Logs_Reseau_Part5[[#This Row],[Cell_ID]],Registre_Maintenance_Part[[ID_Antenne]:[Colonne2]],6,FALSE),"")</f>
        <v>Huawei</v>
      </c>
    </row>
    <row r="434" spans="1:11" x14ac:dyDescent="0.3">
      <c r="A434" t="s">
        <v>732</v>
      </c>
      <c r="B434" s="1">
        <v>45210.051388888889</v>
      </c>
      <c r="C434" s="2">
        <v>45210.051388888889</v>
      </c>
      <c r="D434" t="s">
        <v>773</v>
      </c>
      <c r="E434">
        <v>73</v>
      </c>
      <c r="F434" t="s">
        <v>734</v>
      </c>
      <c r="G434" t="str">
        <f>IFERROR(VLOOKUP(Logs_Reseau_Part5[[#This Row],[Cell_ID]],Registre_Maintenance_Part[[ID_Antenne]:[Colonne2]],2,FALSE),"")</f>
        <v>Tanganyika</v>
      </c>
      <c r="H434">
        <f>IFERROR(VLOOKUP(Logs_Reseau_Part5[[#This Row],[Cell_ID]],Registre_Maintenance_Part[[ID_Antenne]:[Colonne2]],3,FALSE),"")</f>
        <v>-10.776204</v>
      </c>
      <c r="I434">
        <f>IFERROR(VLOOKUP(Logs_Reseau_Part5[[#This Row],[Cell_ID]],Registre_Maintenance_Part[[ID_Antenne]:[Colonne2]],4,FALSE),"")</f>
        <v>24.672934000000001</v>
      </c>
      <c r="J434" t="str">
        <f>IFERROR(VLOOKUP(Logs_Reseau_Part5[[#This Row],[Cell_ID]],Registre_Maintenance_Part[[ID_Antenne]:[Colonne2]],5,FALSE),"")</f>
        <v>4G</v>
      </c>
      <c r="K434" t="str">
        <f>IFERROR(VLOOKUP(Logs_Reseau_Part5[[#This Row],[Cell_ID]],Registre_Maintenance_Part[[ID_Antenne]:[Colonne2]],6,FALSE),"")</f>
        <v>Ericsson</v>
      </c>
    </row>
    <row r="435" spans="1:11" x14ac:dyDescent="0.3">
      <c r="A435" t="s">
        <v>1061</v>
      </c>
      <c r="B435" s="1">
        <v>45210.168055555558</v>
      </c>
      <c r="C435" s="2">
        <v>45210.168055555558</v>
      </c>
      <c r="D435" t="s">
        <v>1076</v>
      </c>
      <c r="E435">
        <v>110</v>
      </c>
      <c r="F435" t="s">
        <v>734</v>
      </c>
      <c r="G435" t="str">
        <f>IFERROR(VLOOKUP(Logs_Reseau_Part5[[#This Row],[Cell_ID]],Registre_Maintenance_Part[[ID_Antenne]:[Colonne2]],2,FALSE),"")</f>
        <v>Tanganyika</v>
      </c>
      <c r="H435">
        <f>IFERROR(VLOOKUP(Logs_Reseau_Part5[[#This Row],[Cell_ID]],Registre_Maintenance_Part[[ID_Antenne]:[Colonne2]],3,FALSE),"")</f>
        <v>-9.9565739999999998</v>
      </c>
      <c r="I435">
        <f>IFERROR(VLOOKUP(Logs_Reseau_Part5[[#This Row],[Cell_ID]],Registre_Maintenance_Part[[ID_Antenne]:[Colonne2]],4,FALSE),"")</f>
        <v>21.017202000000001</v>
      </c>
      <c r="J435" t="str">
        <f>IFERROR(VLOOKUP(Logs_Reseau_Part5[[#This Row],[Cell_ID]],Registre_Maintenance_Part[[ID_Antenne]:[Colonne2]],5,FALSE),"")</f>
        <v>4G</v>
      </c>
      <c r="K435" t="str">
        <f>IFERROR(VLOOKUP(Logs_Reseau_Part5[[#This Row],[Cell_ID]],Registre_Maintenance_Part[[ID_Antenne]:[Colonne2]],6,FALSE),"")</f>
        <v>Huawei</v>
      </c>
    </row>
    <row r="436" spans="1:11" x14ac:dyDescent="0.3">
      <c r="A436" t="s">
        <v>732</v>
      </c>
      <c r="B436" s="1">
        <v>45211.224305555559</v>
      </c>
      <c r="C436" s="2">
        <v>45211.224305555559</v>
      </c>
      <c r="D436" t="s">
        <v>764</v>
      </c>
      <c r="E436">
        <v>37</v>
      </c>
      <c r="F436" t="s">
        <v>734</v>
      </c>
      <c r="G436" t="str">
        <f>IFERROR(VLOOKUP(Logs_Reseau_Part5[[#This Row],[Cell_ID]],Registre_Maintenance_Part[[ID_Antenne]:[Colonne2]],2,FALSE),"")</f>
        <v>Tanganyika</v>
      </c>
      <c r="H436">
        <f>IFERROR(VLOOKUP(Logs_Reseau_Part5[[#This Row],[Cell_ID]],Registre_Maintenance_Part[[ID_Antenne]:[Colonne2]],3,FALSE),"")</f>
        <v>-2.4662510000000002</v>
      </c>
      <c r="I436">
        <f>IFERROR(VLOOKUP(Logs_Reseau_Part5[[#This Row],[Cell_ID]],Registre_Maintenance_Part[[ID_Antenne]:[Colonne2]],4,FALSE),"")</f>
        <v>18.007998000000001</v>
      </c>
      <c r="J436" t="str">
        <f>IFERROR(VLOOKUP(Logs_Reseau_Part5[[#This Row],[Cell_ID]],Registre_Maintenance_Part[[ID_Antenne]:[Colonne2]],5,FALSE),"")</f>
        <v>5G</v>
      </c>
      <c r="K436" t="str">
        <f>IFERROR(VLOOKUP(Logs_Reseau_Part5[[#This Row],[Cell_ID]],Registre_Maintenance_Part[[ID_Antenne]:[Colonne2]],6,FALSE),"")</f>
        <v>Ericsson</v>
      </c>
    </row>
    <row r="437" spans="1:11" x14ac:dyDescent="0.3">
      <c r="A437" t="s">
        <v>732</v>
      </c>
      <c r="B437" s="1">
        <v>45212.140277777777</v>
      </c>
      <c r="C437" s="2">
        <v>45212.140277777777</v>
      </c>
      <c r="D437" t="s">
        <v>753</v>
      </c>
      <c r="E437">
        <v>19</v>
      </c>
      <c r="F437" t="s">
        <v>737</v>
      </c>
      <c r="G437" t="str">
        <f>IFERROR(VLOOKUP(Logs_Reseau_Part5[[#This Row],[Cell_ID]],Registre_Maintenance_Part[[ID_Antenne]:[Colonne2]],2,FALSE),"")</f>
        <v>Tanganyika</v>
      </c>
      <c r="H437">
        <f>IFERROR(VLOOKUP(Logs_Reseau_Part5[[#This Row],[Cell_ID]],Registre_Maintenance_Part[[ID_Antenne]:[Colonne2]],3,FALSE),"")</f>
        <v>-9.4708620000000003</v>
      </c>
      <c r="I437">
        <f>IFERROR(VLOOKUP(Logs_Reseau_Part5[[#This Row],[Cell_ID]],Registre_Maintenance_Part[[ID_Antenne]:[Colonne2]],4,FALSE),"")</f>
        <v>29.234387999999999</v>
      </c>
      <c r="J437" t="str">
        <f>IFERROR(VLOOKUP(Logs_Reseau_Part5[[#This Row],[Cell_ID]],Registre_Maintenance_Part[[ID_Antenne]:[Colonne2]],5,FALSE),"")</f>
        <v>3G</v>
      </c>
      <c r="K437" t="str">
        <f>IFERROR(VLOOKUP(Logs_Reseau_Part5[[#This Row],[Cell_ID]],Registre_Maintenance_Part[[ID_Antenne]:[Colonne2]],6,FALSE),"")</f>
        <v>ZTE</v>
      </c>
    </row>
    <row r="438" spans="1:11" x14ac:dyDescent="0.3">
      <c r="A438" t="s">
        <v>1116</v>
      </c>
      <c r="B438" s="1">
        <v>45214.43472222222</v>
      </c>
      <c r="C438" s="2">
        <v>45214.43472222222</v>
      </c>
      <c r="D438" t="s">
        <v>773</v>
      </c>
      <c r="E438">
        <v>61</v>
      </c>
      <c r="F438" t="s">
        <v>739</v>
      </c>
      <c r="G438" t="str">
        <f>IFERROR(VLOOKUP(Logs_Reseau_Part5[[#This Row],[Cell_ID]],Registre_Maintenance_Part[[ID_Antenne]:[Colonne2]],2,FALSE),"")</f>
        <v>Tanganyika</v>
      </c>
      <c r="H438">
        <f>IFERROR(VLOOKUP(Logs_Reseau_Part5[[#This Row],[Cell_ID]],Registre_Maintenance_Part[[ID_Antenne]:[Colonne2]],3,FALSE),"")</f>
        <v>-10.776204</v>
      </c>
      <c r="I438">
        <f>IFERROR(VLOOKUP(Logs_Reseau_Part5[[#This Row],[Cell_ID]],Registre_Maintenance_Part[[ID_Antenne]:[Colonne2]],4,FALSE),"")</f>
        <v>24.672934000000001</v>
      </c>
      <c r="J438" t="str">
        <f>IFERROR(VLOOKUP(Logs_Reseau_Part5[[#This Row],[Cell_ID]],Registre_Maintenance_Part[[ID_Antenne]:[Colonne2]],5,FALSE),"")</f>
        <v>4G</v>
      </c>
      <c r="K438" t="str">
        <f>IFERROR(VLOOKUP(Logs_Reseau_Part5[[#This Row],[Cell_ID]],Registre_Maintenance_Part[[ID_Antenne]:[Colonne2]],6,FALSE),"")</f>
        <v>Ericsson</v>
      </c>
    </row>
    <row r="439" spans="1:11" x14ac:dyDescent="0.3">
      <c r="A439" t="s">
        <v>1140</v>
      </c>
      <c r="B439" s="1">
        <v>45215.457638888889</v>
      </c>
      <c r="C439" s="2">
        <v>45215.457638888889</v>
      </c>
      <c r="D439" t="s">
        <v>1143</v>
      </c>
      <c r="E439">
        <v>100</v>
      </c>
      <c r="F439" t="s">
        <v>734</v>
      </c>
      <c r="G439" t="str">
        <f>IFERROR(VLOOKUP(Logs_Reseau_Part5[[#This Row],[Cell_ID]],Registre_Maintenance_Part[[ID_Antenne]:[Colonne2]],2,FALSE),"")</f>
        <v>Tanganyika</v>
      </c>
      <c r="H439">
        <f>IFERROR(VLOOKUP(Logs_Reseau_Part5[[#This Row],[Cell_ID]],Registre_Maintenance_Part[[ID_Antenne]:[Colonne2]],3,FALSE),"")</f>
        <v>-11.793894</v>
      </c>
      <c r="I439">
        <f>IFERROR(VLOOKUP(Logs_Reseau_Part5[[#This Row],[Cell_ID]],Registre_Maintenance_Part[[ID_Antenne]:[Colonne2]],4,FALSE),"")</f>
        <v>20.433340999999999</v>
      </c>
      <c r="J439" t="str">
        <f>IFERROR(VLOOKUP(Logs_Reseau_Part5[[#This Row],[Cell_ID]],Registre_Maintenance_Part[[ID_Antenne]:[Colonne2]],5,FALSE),"")</f>
        <v>5G</v>
      </c>
      <c r="K439" t="str">
        <f>IFERROR(VLOOKUP(Logs_Reseau_Part5[[#This Row],[Cell_ID]],Registre_Maintenance_Part[[ID_Antenne]:[Colonne2]],6,FALSE),"")</f>
        <v>Nokia</v>
      </c>
    </row>
    <row r="440" spans="1:11" x14ac:dyDescent="0.3">
      <c r="A440" t="s">
        <v>1384</v>
      </c>
      <c r="B440" s="1">
        <v>45220.724999999999</v>
      </c>
      <c r="C440" s="2">
        <v>45220.724999999999</v>
      </c>
      <c r="D440" t="s">
        <v>854</v>
      </c>
      <c r="E440">
        <v>28</v>
      </c>
      <c r="F440" t="s">
        <v>739</v>
      </c>
      <c r="G440" t="str">
        <f>IFERROR(VLOOKUP(Logs_Reseau_Part5[[#This Row],[Cell_ID]],Registre_Maintenance_Part[[ID_Antenne]:[Colonne2]],2,FALSE),"")</f>
        <v>Tanganyika</v>
      </c>
      <c r="H440">
        <f>IFERROR(VLOOKUP(Logs_Reseau_Part5[[#This Row],[Cell_ID]],Registre_Maintenance_Part[[ID_Antenne]:[Colonne2]],3,FALSE),"")</f>
        <v>-9.002459</v>
      </c>
      <c r="I440">
        <f>IFERROR(VLOOKUP(Logs_Reseau_Part5[[#This Row],[Cell_ID]],Registre_Maintenance_Part[[ID_Antenne]:[Colonne2]],4,FALSE),"")</f>
        <v>25.182109000000001</v>
      </c>
      <c r="J440" t="str">
        <f>IFERROR(VLOOKUP(Logs_Reseau_Part5[[#This Row],[Cell_ID]],Registre_Maintenance_Part[[ID_Antenne]:[Colonne2]],5,FALSE),"")</f>
        <v>5G</v>
      </c>
      <c r="K440" t="str">
        <f>IFERROR(VLOOKUP(Logs_Reseau_Part5[[#This Row],[Cell_ID]],Registre_Maintenance_Part[[ID_Antenne]:[Colonne2]],6,FALSE),"")</f>
        <v>Huawei</v>
      </c>
    </row>
    <row r="441" spans="1:11" x14ac:dyDescent="0.3">
      <c r="A441" t="s">
        <v>1167</v>
      </c>
      <c r="B441" s="1">
        <v>45221.717361111107</v>
      </c>
      <c r="C441" s="2">
        <v>45221.717361111107</v>
      </c>
      <c r="D441" t="s">
        <v>764</v>
      </c>
      <c r="E441">
        <v>14</v>
      </c>
      <c r="F441" t="s">
        <v>734</v>
      </c>
      <c r="G441" t="str">
        <f>IFERROR(VLOOKUP(Logs_Reseau_Part5[[#This Row],[Cell_ID]],Registre_Maintenance_Part[[ID_Antenne]:[Colonne2]],2,FALSE),"")</f>
        <v>Tanganyika</v>
      </c>
      <c r="H441">
        <f>IFERROR(VLOOKUP(Logs_Reseau_Part5[[#This Row],[Cell_ID]],Registre_Maintenance_Part[[ID_Antenne]:[Colonne2]],3,FALSE),"")</f>
        <v>-2.4662510000000002</v>
      </c>
      <c r="I441">
        <f>IFERROR(VLOOKUP(Logs_Reseau_Part5[[#This Row],[Cell_ID]],Registre_Maintenance_Part[[ID_Antenne]:[Colonne2]],4,FALSE),"")</f>
        <v>18.007998000000001</v>
      </c>
      <c r="J441" t="str">
        <f>IFERROR(VLOOKUP(Logs_Reseau_Part5[[#This Row],[Cell_ID]],Registre_Maintenance_Part[[ID_Antenne]:[Colonne2]],5,FALSE),"")</f>
        <v>5G</v>
      </c>
      <c r="K441" t="str">
        <f>IFERROR(VLOOKUP(Logs_Reseau_Part5[[#This Row],[Cell_ID]],Registre_Maintenance_Part[[ID_Antenne]:[Colonne2]],6,FALSE),"")</f>
        <v>Ericsson</v>
      </c>
    </row>
    <row r="442" spans="1:11" x14ac:dyDescent="0.3">
      <c r="A442" t="s">
        <v>781</v>
      </c>
      <c r="B442" s="1">
        <v>45221.861805555563</v>
      </c>
      <c r="C442" s="2">
        <v>45221.861805555563</v>
      </c>
      <c r="D442" t="s">
        <v>787</v>
      </c>
      <c r="E442">
        <v>21</v>
      </c>
      <c r="F442" t="s">
        <v>737</v>
      </c>
      <c r="G442" t="str">
        <f>IFERROR(VLOOKUP(Logs_Reseau_Part5[[#This Row],[Cell_ID]],Registre_Maintenance_Part[[ID_Antenne]:[Colonne2]],2,FALSE),"")</f>
        <v>Tanganyika</v>
      </c>
      <c r="H442">
        <f>IFERROR(VLOOKUP(Logs_Reseau_Part5[[#This Row],[Cell_ID]],Registre_Maintenance_Part[[ID_Antenne]:[Colonne2]],3,FALSE),"")</f>
        <v>-1.864393</v>
      </c>
      <c r="I442">
        <f>IFERROR(VLOOKUP(Logs_Reseau_Part5[[#This Row],[Cell_ID]],Registre_Maintenance_Part[[ID_Antenne]:[Colonne2]],4,FALSE),"")</f>
        <v>21.453434000000001</v>
      </c>
      <c r="J442" t="str">
        <f>IFERROR(VLOOKUP(Logs_Reseau_Part5[[#This Row],[Cell_ID]],Registre_Maintenance_Part[[ID_Antenne]:[Colonne2]],5,FALSE),"")</f>
        <v>5G</v>
      </c>
      <c r="K442" t="str">
        <f>IFERROR(VLOOKUP(Logs_Reseau_Part5[[#This Row],[Cell_ID]],Registre_Maintenance_Part[[ID_Antenne]:[Colonne2]],6,FALSE),"")</f>
        <v>Ericsson</v>
      </c>
    </row>
    <row r="443" spans="1:11" x14ac:dyDescent="0.3">
      <c r="A443" t="s">
        <v>1290</v>
      </c>
      <c r="B443" s="1">
        <v>45221.861805555563</v>
      </c>
      <c r="C443" s="2">
        <v>45221.861805555563</v>
      </c>
      <c r="D443" t="s">
        <v>1296</v>
      </c>
      <c r="E443">
        <v>65</v>
      </c>
      <c r="F443" t="s">
        <v>734</v>
      </c>
      <c r="G443" t="str">
        <f>IFERROR(VLOOKUP(Logs_Reseau_Part5[[#This Row],[Cell_ID]],Registre_Maintenance_Part[[ID_Antenne]:[Colonne2]],2,FALSE),"")</f>
        <v>Tanganyika</v>
      </c>
      <c r="H443">
        <f>IFERROR(VLOOKUP(Logs_Reseau_Part5[[#This Row],[Cell_ID]],Registre_Maintenance_Part[[ID_Antenne]:[Colonne2]],3,FALSE),"")</f>
        <v>-3.9148719999999999</v>
      </c>
      <c r="I443">
        <f>IFERROR(VLOOKUP(Logs_Reseau_Part5[[#This Row],[Cell_ID]],Registre_Maintenance_Part[[ID_Antenne]:[Colonne2]],4,FALSE),"")</f>
        <v>12.260933</v>
      </c>
      <c r="J443" t="str">
        <f>IFERROR(VLOOKUP(Logs_Reseau_Part5[[#This Row],[Cell_ID]],Registre_Maintenance_Part[[ID_Antenne]:[Colonne2]],5,FALSE),"")</f>
        <v>4G</v>
      </c>
      <c r="K443" t="str">
        <f>IFERROR(VLOOKUP(Logs_Reseau_Part5[[#This Row],[Cell_ID]],Registre_Maintenance_Part[[ID_Antenne]:[Colonne2]],6,FALSE),"")</f>
        <v>Ericsson</v>
      </c>
    </row>
    <row r="444" spans="1:11" x14ac:dyDescent="0.3">
      <c r="A444" t="s">
        <v>1347</v>
      </c>
      <c r="B444" s="1">
        <v>45224.104861111111</v>
      </c>
      <c r="C444" s="2">
        <v>45224.104861111111</v>
      </c>
      <c r="D444" t="s">
        <v>1355</v>
      </c>
      <c r="E444">
        <v>98</v>
      </c>
      <c r="F444" t="s">
        <v>739</v>
      </c>
      <c r="G444" t="str">
        <f>IFERROR(VLOOKUP(Logs_Reseau_Part5[[#This Row],[Cell_ID]],Registre_Maintenance_Part[[ID_Antenne]:[Colonne2]],2,FALSE),"")</f>
        <v>Tanganyika</v>
      </c>
      <c r="H444">
        <f>IFERROR(VLOOKUP(Logs_Reseau_Part5[[#This Row],[Cell_ID]],Registre_Maintenance_Part[[ID_Antenne]:[Colonne2]],3,FALSE),"")</f>
        <v>-7.0007840000000003</v>
      </c>
      <c r="I444">
        <f>IFERROR(VLOOKUP(Logs_Reseau_Part5[[#This Row],[Cell_ID]],Registre_Maintenance_Part[[ID_Antenne]:[Colonne2]],4,FALSE),"")</f>
        <v>22.787997000000001</v>
      </c>
      <c r="J444" t="str">
        <f>IFERROR(VLOOKUP(Logs_Reseau_Part5[[#This Row],[Cell_ID]],Registre_Maintenance_Part[[ID_Antenne]:[Colonne2]],5,FALSE),"")</f>
        <v>5G</v>
      </c>
      <c r="K444" t="str">
        <f>IFERROR(VLOOKUP(Logs_Reseau_Part5[[#This Row],[Cell_ID]],Registre_Maintenance_Part[[ID_Antenne]:[Colonne2]],6,FALSE),"")</f>
        <v>ZTE</v>
      </c>
    </row>
    <row r="445" spans="1:11" x14ac:dyDescent="0.3">
      <c r="A445" t="s">
        <v>1167</v>
      </c>
      <c r="B445" s="1">
        <v>45225.781944444447</v>
      </c>
      <c r="C445" s="2">
        <v>45225.781944444447</v>
      </c>
      <c r="D445" t="s">
        <v>1179</v>
      </c>
      <c r="E445">
        <v>113</v>
      </c>
      <c r="F445" t="s">
        <v>737</v>
      </c>
      <c r="G445" t="str">
        <f>IFERROR(VLOOKUP(Logs_Reseau_Part5[[#This Row],[Cell_ID]],Registre_Maintenance_Part[[ID_Antenne]:[Colonne2]],2,FALSE),"")</f>
        <v>Tanganyika</v>
      </c>
      <c r="H445">
        <f>IFERROR(VLOOKUP(Logs_Reseau_Part5[[#This Row],[Cell_ID]],Registre_Maintenance_Part[[ID_Antenne]:[Colonne2]],3,FALSE),"")</f>
        <v>-7.9425049999999997</v>
      </c>
      <c r="I445">
        <f>IFERROR(VLOOKUP(Logs_Reseau_Part5[[#This Row],[Cell_ID]],Registre_Maintenance_Part[[ID_Antenne]:[Colonne2]],4,FALSE),"")</f>
        <v>24.111059000000001</v>
      </c>
      <c r="J445" t="str">
        <f>IFERROR(VLOOKUP(Logs_Reseau_Part5[[#This Row],[Cell_ID]],Registre_Maintenance_Part[[ID_Antenne]:[Colonne2]],5,FALSE),"")</f>
        <v>3G</v>
      </c>
      <c r="K445" t="str">
        <f>IFERROR(VLOOKUP(Logs_Reseau_Part5[[#This Row],[Cell_ID]],Registre_Maintenance_Part[[ID_Antenne]:[Colonne2]],6,FALSE),"")</f>
        <v>ZTE</v>
      </c>
    </row>
    <row r="446" spans="1:11" x14ac:dyDescent="0.3">
      <c r="A446" t="s">
        <v>825</v>
      </c>
      <c r="B446" s="1">
        <v>45225.965277777781</v>
      </c>
      <c r="C446" s="2">
        <v>45225.965277777781</v>
      </c>
      <c r="D446" t="s">
        <v>854</v>
      </c>
      <c r="E446">
        <v>36</v>
      </c>
      <c r="F446" t="s">
        <v>734</v>
      </c>
      <c r="G446" t="str">
        <f>IFERROR(VLOOKUP(Logs_Reseau_Part5[[#This Row],[Cell_ID]],Registre_Maintenance_Part[[ID_Antenne]:[Colonne2]],2,FALSE),"")</f>
        <v>Tanganyika</v>
      </c>
      <c r="H446">
        <f>IFERROR(VLOOKUP(Logs_Reseau_Part5[[#This Row],[Cell_ID]],Registre_Maintenance_Part[[ID_Antenne]:[Colonne2]],3,FALSE),"")</f>
        <v>-9.002459</v>
      </c>
      <c r="I446">
        <f>IFERROR(VLOOKUP(Logs_Reseau_Part5[[#This Row],[Cell_ID]],Registre_Maintenance_Part[[ID_Antenne]:[Colonne2]],4,FALSE),"")</f>
        <v>25.182109000000001</v>
      </c>
      <c r="J446" t="str">
        <f>IFERROR(VLOOKUP(Logs_Reseau_Part5[[#This Row],[Cell_ID]],Registre_Maintenance_Part[[ID_Antenne]:[Colonne2]],5,FALSE),"")</f>
        <v>5G</v>
      </c>
      <c r="K446" t="str">
        <f>IFERROR(VLOOKUP(Logs_Reseau_Part5[[#This Row],[Cell_ID]],Registre_Maintenance_Part[[ID_Antenne]:[Colonne2]],6,FALSE),"")</f>
        <v>Huawei</v>
      </c>
    </row>
    <row r="447" spans="1:11" x14ac:dyDescent="0.3">
      <c r="A447" t="s">
        <v>980</v>
      </c>
      <c r="B447" s="1">
        <v>45228.791666666657</v>
      </c>
      <c r="C447" s="2">
        <v>45228.791666666657</v>
      </c>
      <c r="D447" t="s">
        <v>733</v>
      </c>
      <c r="E447">
        <v>63</v>
      </c>
      <c r="F447" t="s">
        <v>734</v>
      </c>
      <c r="G447" t="str">
        <f>IFERROR(VLOOKUP(Logs_Reseau_Part5[[#This Row],[Cell_ID]],Registre_Maintenance_Part[[ID_Antenne]:[Colonne2]],2,FALSE),"")</f>
        <v>Tanganyika</v>
      </c>
      <c r="H447">
        <f>IFERROR(VLOOKUP(Logs_Reseau_Part5[[#This Row],[Cell_ID]],Registre_Maintenance_Part[[ID_Antenne]:[Colonne2]],3,FALSE),"")</f>
        <v>-11.144149000000001</v>
      </c>
      <c r="I447">
        <f>IFERROR(VLOOKUP(Logs_Reseau_Part5[[#This Row],[Cell_ID]],Registre_Maintenance_Part[[ID_Antenne]:[Colonne2]],4,FALSE),"")</f>
        <v>27.244658999999999</v>
      </c>
      <c r="J447" t="str">
        <f>IFERROR(VLOOKUP(Logs_Reseau_Part5[[#This Row],[Cell_ID]],Registre_Maintenance_Part[[ID_Antenne]:[Colonne2]],5,FALSE),"")</f>
        <v>4G</v>
      </c>
      <c r="K447" t="str">
        <f>IFERROR(VLOOKUP(Logs_Reseau_Part5[[#This Row],[Cell_ID]],Registre_Maintenance_Part[[ID_Antenne]:[Colonne2]],6,FALSE),"")</f>
        <v>Nokia</v>
      </c>
    </row>
    <row r="448" spans="1:11" x14ac:dyDescent="0.3">
      <c r="A448" t="s">
        <v>732</v>
      </c>
      <c r="B448" s="1">
        <v>45228.853472222218</v>
      </c>
      <c r="C448" s="2">
        <v>45228.853472222218</v>
      </c>
      <c r="D448" t="s">
        <v>773</v>
      </c>
      <c r="E448">
        <v>42</v>
      </c>
      <c r="F448" t="s">
        <v>734</v>
      </c>
      <c r="G448" t="str">
        <f>IFERROR(VLOOKUP(Logs_Reseau_Part5[[#This Row],[Cell_ID]],Registre_Maintenance_Part[[ID_Antenne]:[Colonne2]],2,FALSE),"")</f>
        <v>Tanganyika</v>
      </c>
      <c r="H448">
        <f>IFERROR(VLOOKUP(Logs_Reseau_Part5[[#This Row],[Cell_ID]],Registre_Maintenance_Part[[ID_Antenne]:[Colonne2]],3,FALSE),"")</f>
        <v>-10.776204</v>
      </c>
      <c r="I448">
        <f>IFERROR(VLOOKUP(Logs_Reseau_Part5[[#This Row],[Cell_ID]],Registre_Maintenance_Part[[ID_Antenne]:[Colonne2]],4,FALSE),"")</f>
        <v>24.672934000000001</v>
      </c>
      <c r="J448" t="str">
        <f>IFERROR(VLOOKUP(Logs_Reseau_Part5[[#This Row],[Cell_ID]],Registre_Maintenance_Part[[ID_Antenne]:[Colonne2]],5,FALSE),"")</f>
        <v>4G</v>
      </c>
      <c r="K448" t="str">
        <f>IFERROR(VLOOKUP(Logs_Reseau_Part5[[#This Row],[Cell_ID]],Registre_Maintenance_Part[[ID_Antenne]:[Colonne2]],6,FALSE),"")</f>
        <v>Ericsson</v>
      </c>
    </row>
    <row r="449" spans="1:11" x14ac:dyDescent="0.3">
      <c r="A449" t="s">
        <v>1195</v>
      </c>
      <c r="B449" s="1">
        <v>45202.699305555558</v>
      </c>
      <c r="C449" s="2">
        <v>45202.699305555558</v>
      </c>
      <c r="D449" t="s">
        <v>1198</v>
      </c>
      <c r="E449">
        <v>63</v>
      </c>
      <c r="F449" t="s">
        <v>737</v>
      </c>
      <c r="G449" t="str">
        <f>IFERROR(VLOOKUP(Logs_Reseau_Part5[[#This Row],[Cell_ID]],Registre_Maintenance_Part[[ID_Antenne]:[Colonne2]],2,FALSE),"")</f>
        <v>Tshopo</v>
      </c>
      <c r="H449">
        <f>IFERROR(VLOOKUP(Logs_Reseau_Part5[[#This Row],[Cell_ID]],Registre_Maintenance_Part[[ID_Antenne]:[Colonne2]],3,FALSE),"")</f>
        <v>1.400674</v>
      </c>
      <c r="I449">
        <f>IFERROR(VLOOKUP(Logs_Reseau_Part5[[#This Row],[Cell_ID]],Registre_Maintenance_Part[[ID_Antenne]:[Colonne2]],4,FALSE),"")</f>
        <v>13.503126999999999</v>
      </c>
      <c r="J449" t="str">
        <f>IFERROR(VLOOKUP(Logs_Reseau_Part5[[#This Row],[Cell_ID]],Registre_Maintenance_Part[[ID_Antenne]:[Colonne2]],5,FALSE),"")</f>
        <v>5G</v>
      </c>
      <c r="K449" t="str">
        <f>IFERROR(VLOOKUP(Logs_Reseau_Part5[[#This Row],[Cell_ID]],Registre_Maintenance_Part[[ID_Antenne]:[Colonne2]],6,FALSE),"")</f>
        <v>ZTE</v>
      </c>
    </row>
    <row r="450" spans="1:11" x14ac:dyDescent="0.3">
      <c r="A450" t="s">
        <v>863</v>
      </c>
      <c r="B450" s="1">
        <v>45203.22152777778</v>
      </c>
      <c r="C450" s="2">
        <v>45203.22152777778</v>
      </c>
      <c r="D450" t="s">
        <v>887</v>
      </c>
      <c r="E450">
        <v>101</v>
      </c>
      <c r="F450" t="s">
        <v>734</v>
      </c>
      <c r="G450" t="str">
        <f>IFERROR(VLOOKUP(Logs_Reseau_Part5[[#This Row],[Cell_ID]],Registre_Maintenance_Part[[ID_Antenne]:[Colonne2]],2,FALSE),"")</f>
        <v>Tshopo</v>
      </c>
      <c r="H450">
        <f>IFERROR(VLOOKUP(Logs_Reseau_Part5[[#This Row],[Cell_ID]],Registre_Maintenance_Part[[ID_Antenne]:[Colonne2]],3,FALSE),"")</f>
        <v>3.0603760000000002</v>
      </c>
      <c r="I450">
        <f>IFERROR(VLOOKUP(Logs_Reseau_Part5[[#This Row],[Cell_ID]],Registre_Maintenance_Part[[ID_Antenne]:[Colonne2]],4,FALSE),"")</f>
        <v>19.708034000000001</v>
      </c>
      <c r="J450" t="str">
        <f>IFERROR(VLOOKUP(Logs_Reseau_Part5[[#This Row],[Cell_ID]],Registre_Maintenance_Part[[ID_Antenne]:[Colonne2]],5,FALSE),"")</f>
        <v>3G</v>
      </c>
      <c r="K450" t="str">
        <f>IFERROR(VLOOKUP(Logs_Reseau_Part5[[#This Row],[Cell_ID]],Registre_Maintenance_Part[[ID_Antenne]:[Colonne2]],6,FALSE),"")</f>
        <v>ZTE</v>
      </c>
    </row>
    <row r="451" spans="1:11" x14ac:dyDescent="0.3">
      <c r="A451" t="s">
        <v>732</v>
      </c>
      <c r="B451" s="1">
        <v>45203.511805555558</v>
      </c>
      <c r="C451" s="2">
        <v>45203.511805555558</v>
      </c>
      <c r="D451" t="s">
        <v>762</v>
      </c>
      <c r="E451">
        <v>64</v>
      </c>
      <c r="F451" t="s">
        <v>739</v>
      </c>
      <c r="G451" t="str">
        <f>IFERROR(VLOOKUP(Logs_Reseau_Part5[[#This Row],[Cell_ID]],Registre_Maintenance_Part[[ID_Antenne]:[Colonne2]],2,FALSE),"")</f>
        <v>Tshopo</v>
      </c>
      <c r="H451">
        <f>IFERROR(VLOOKUP(Logs_Reseau_Part5[[#This Row],[Cell_ID]],Registre_Maintenance_Part[[ID_Antenne]:[Colonne2]],3,FALSE),"")</f>
        <v>0.23583499999999999</v>
      </c>
      <c r="I451">
        <f>IFERROR(VLOOKUP(Logs_Reseau_Part5[[#This Row],[Cell_ID]],Registre_Maintenance_Part[[ID_Antenne]:[Colonne2]],4,FALSE),"")</f>
        <v>24.889558999999998</v>
      </c>
      <c r="J451" t="str">
        <f>IFERROR(VLOOKUP(Logs_Reseau_Part5[[#This Row],[Cell_ID]],Registre_Maintenance_Part[[ID_Antenne]:[Colonne2]],5,FALSE),"")</f>
        <v>3G</v>
      </c>
      <c r="K451" t="str">
        <f>IFERROR(VLOOKUP(Logs_Reseau_Part5[[#This Row],[Cell_ID]],Registre_Maintenance_Part[[ID_Antenne]:[Colonne2]],6,FALSE),"")</f>
        <v>ZTE</v>
      </c>
    </row>
    <row r="452" spans="1:11" x14ac:dyDescent="0.3">
      <c r="A452" t="s">
        <v>732</v>
      </c>
      <c r="B452" s="1">
        <v>45208.957638888889</v>
      </c>
      <c r="C452" s="2">
        <v>45208.957638888889</v>
      </c>
      <c r="D452" t="s">
        <v>766</v>
      </c>
      <c r="E452">
        <v>115</v>
      </c>
      <c r="F452" t="s">
        <v>734</v>
      </c>
      <c r="G452" t="str">
        <f>IFERROR(VLOOKUP(Logs_Reseau_Part5[[#This Row],[Cell_ID]],Registre_Maintenance_Part[[ID_Antenne]:[Colonne2]],2,FALSE),"")</f>
        <v>Tshopo</v>
      </c>
      <c r="H452">
        <f>IFERROR(VLOOKUP(Logs_Reseau_Part5[[#This Row],[Cell_ID]],Registre_Maintenance_Part[[ID_Antenne]:[Colonne2]],3,FALSE),"")</f>
        <v>-6.1837850000000003</v>
      </c>
      <c r="I452">
        <f>IFERROR(VLOOKUP(Logs_Reseau_Part5[[#This Row],[Cell_ID]],Registre_Maintenance_Part[[ID_Antenne]:[Colonne2]],4,FALSE),"")</f>
        <v>25.138759</v>
      </c>
      <c r="J452" t="str">
        <f>IFERROR(VLOOKUP(Logs_Reseau_Part5[[#This Row],[Cell_ID]],Registre_Maintenance_Part[[ID_Antenne]:[Colonne2]],5,FALSE),"")</f>
        <v>3G</v>
      </c>
      <c r="K452" t="str">
        <f>IFERROR(VLOOKUP(Logs_Reseau_Part5[[#This Row],[Cell_ID]],Registre_Maintenance_Part[[ID_Antenne]:[Colonne2]],6,FALSE),"")</f>
        <v>Ericsson</v>
      </c>
    </row>
    <row r="453" spans="1:11" x14ac:dyDescent="0.3">
      <c r="A453" t="s">
        <v>1221</v>
      </c>
      <c r="B453" s="1">
        <v>45211.425000000003</v>
      </c>
      <c r="C453" s="2">
        <v>45211.425000000003</v>
      </c>
      <c r="D453" t="s">
        <v>900</v>
      </c>
      <c r="E453">
        <v>57</v>
      </c>
      <c r="F453" t="s">
        <v>737</v>
      </c>
      <c r="G453" t="str">
        <f>IFERROR(VLOOKUP(Logs_Reseau_Part5[[#This Row],[Cell_ID]],Registre_Maintenance_Part[[ID_Antenne]:[Colonne2]],2,FALSE),"")</f>
        <v>Tshopo</v>
      </c>
      <c r="H453">
        <f>IFERROR(VLOOKUP(Logs_Reseau_Part5[[#This Row],[Cell_ID]],Registre_Maintenance_Part[[ID_Antenne]:[Colonne2]],3,FALSE),"")</f>
        <v>-4.5603610000000003</v>
      </c>
      <c r="I453">
        <f>IFERROR(VLOOKUP(Logs_Reseau_Part5[[#This Row],[Cell_ID]],Registre_Maintenance_Part[[ID_Antenne]:[Colonne2]],4,FALSE),"")</f>
        <v>24.113918999999999</v>
      </c>
      <c r="J453" t="str">
        <f>IFERROR(VLOOKUP(Logs_Reseau_Part5[[#This Row],[Cell_ID]],Registre_Maintenance_Part[[ID_Antenne]:[Colonne2]],5,FALSE),"")</f>
        <v>5G</v>
      </c>
      <c r="K453" t="str">
        <f>IFERROR(VLOOKUP(Logs_Reseau_Part5[[#This Row],[Cell_ID]],Registre_Maintenance_Part[[ID_Antenne]:[Colonne2]],6,FALSE),"")</f>
        <v>ZTE</v>
      </c>
    </row>
    <row r="454" spans="1:11" x14ac:dyDescent="0.3">
      <c r="A454" t="s">
        <v>1290</v>
      </c>
      <c r="B454" s="1">
        <v>45215.580555555563</v>
      </c>
      <c r="C454" s="2">
        <v>45215.580555555563</v>
      </c>
      <c r="D454" t="s">
        <v>964</v>
      </c>
      <c r="E454">
        <v>102</v>
      </c>
      <c r="F454" t="s">
        <v>739</v>
      </c>
      <c r="G454" t="str">
        <f>IFERROR(VLOOKUP(Logs_Reseau_Part5[[#This Row],[Cell_ID]],Registre_Maintenance_Part[[ID_Antenne]:[Colonne2]],2,FALSE),"")</f>
        <v>Tshopo</v>
      </c>
      <c r="H454">
        <f>IFERROR(VLOOKUP(Logs_Reseau_Part5[[#This Row],[Cell_ID]],Registre_Maintenance_Part[[ID_Antenne]:[Colonne2]],3,FALSE),"")</f>
        <v>2.4425979999999998</v>
      </c>
      <c r="I454">
        <f>IFERROR(VLOOKUP(Logs_Reseau_Part5[[#This Row],[Cell_ID]],Registre_Maintenance_Part[[ID_Antenne]:[Colonne2]],4,FALSE),"")</f>
        <v>24.924308</v>
      </c>
      <c r="J454" t="str">
        <f>IFERROR(VLOOKUP(Logs_Reseau_Part5[[#This Row],[Cell_ID]],Registre_Maintenance_Part[[ID_Antenne]:[Colonne2]],5,FALSE),"")</f>
        <v>5G</v>
      </c>
      <c r="K454" t="str">
        <f>IFERROR(VLOOKUP(Logs_Reseau_Part5[[#This Row],[Cell_ID]],Registre_Maintenance_Part[[ID_Antenne]:[Colonne2]],6,FALSE),"")</f>
        <v>Ericsson</v>
      </c>
    </row>
    <row r="455" spans="1:11" x14ac:dyDescent="0.3">
      <c r="A455" t="s">
        <v>1061</v>
      </c>
      <c r="B455" s="1">
        <v>45220.15902777778</v>
      </c>
      <c r="C455" s="2">
        <v>45220.15902777778</v>
      </c>
      <c r="D455" t="s">
        <v>1075</v>
      </c>
      <c r="E455">
        <v>60</v>
      </c>
      <c r="F455" t="s">
        <v>739</v>
      </c>
      <c r="G455" t="str">
        <f>IFERROR(VLOOKUP(Logs_Reseau_Part5[[#This Row],[Cell_ID]],Registre_Maintenance_Part[[ID_Antenne]:[Colonne2]],2,FALSE),"")</f>
        <v>Tshopo</v>
      </c>
      <c r="H455">
        <f>IFERROR(VLOOKUP(Logs_Reseau_Part5[[#This Row],[Cell_ID]],Registre_Maintenance_Part[[ID_Antenne]:[Colonne2]],3,FALSE),"")</f>
        <v>-9.4133639999999996</v>
      </c>
      <c r="I455">
        <f>IFERROR(VLOOKUP(Logs_Reseau_Part5[[#This Row],[Cell_ID]],Registre_Maintenance_Part[[ID_Antenne]:[Colonne2]],4,FALSE),"")</f>
        <v>15.682482</v>
      </c>
      <c r="J455" t="str">
        <f>IFERROR(VLOOKUP(Logs_Reseau_Part5[[#This Row],[Cell_ID]],Registre_Maintenance_Part[[ID_Antenne]:[Colonne2]],5,FALSE),"")</f>
        <v>4G</v>
      </c>
      <c r="K455" t="str">
        <f>IFERROR(VLOOKUP(Logs_Reseau_Part5[[#This Row],[Cell_ID]],Registre_Maintenance_Part[[ID_Antenne]:[Colonne2]],6,FALSE),"")</f>
        <v>Huawei</v>
      </c>
    </row>
    <row r="456" spans="1:11" x14ac:dyDescent="0.3">
      <c r="A456" t="s">
        <v>1290</v>
      </c>
      <c r="B456" s="1">
        <v>45220.677083333343</v>
      </c>
      <c r="C456" s="2">
        <v>45220.677083333343</v>
      </c>
      <c r="D456" t="s">
        <v>1305</v>
      </c>
      <c r="E456">
        <v>107</v>
      </c>
      <c r="F456" t="s">
        <v>739</v>
      </c>
      <c r="G456" t="str">
        <f>IFERROR(VLOOKUP(Logs_Reseau_Part5[[#This Row],[Cell_ID]],Registre_Maintenance_Part[[ID_Antenne]:[Colonne2]],2,FALSE),"")</f>
        <v>Tshopo</v>
      </c>
      <c r="H456">
        <f>IFERROR(VLOOKUP(Logs_Reseau_Part5[[#This Row],[Cell_ID]],Registre_Maintenance_Part[[ID_Antenne]:[Colonne2]],3,FALSE),"")</f>
        <v>-6.4670189999999996</v>
      </c>
      <c r="I456">
        <f>IFERROR(VLOOKUP(Logs_Reseau_Part5[[#This Row],[Cell_ID]],Registre_Maintenance_Part[[ID_Antenne]:[Colonne2]],4,FALSE),"")</f>
        <v>29.487309</v>
      </c>
      <c r="J456" t="str">
        <f>IFERROR(VLOOKUP(Logs_Reseau_Part5[[#This Row],[Cell_ID]],Registre_Maintenance_Part[[ID_Antenne]:[Colonne2]],5,FALSE),"")</f>
        <v>4G</v>
      </c>
      <c r="K456" t="str">
        <f>IFERROR(VLOOKUP(Logs_Reseau_Part5[[#This Row],[Cell_ID]],Registre_Maintenance_Part[[ID_Antenne]:[Colonne2]],6,FALSE),"")</f>
        <v>ZTE</v>
      </c>
    </row>
    <row r="457" spans="1:11" x14ac:dyDescent="0.3">
      <c r="A457" t="s">
        <v>1310</v>
      </c>
      <c r="B457" s="1">
        <v>45221.388194444437</v>
      </c>
      <c r="C457" s="2">
        <v>45221.388194444437</v>
      </c>
      <c r="D457" t="s">
        <v>1329</v>
      </c>
      <c r="E457">
        <v>64</v>
      </c>
      <c r="F457" t="s">
        <v>737</v>
      </c>
      <c r="G457" t="str">
        <f>IFERROR(VLOOKUP(Logs_Reseau_Part5[[#This Row],[Cell_ID]],Registre_Maintenance_Part[[ID_Antenne]:[Colonne2]],2,FALSE),"")</f>
        <v>Tshopo</v>
      </c>
      <c r="H457">
        <f>IFERROR(VLOOKUP(Logs_Reseau_Part5[[#This Row],[Cell_ID]],Registre_Maintenance_Part[[ID_Antenne]:[Colonne2]],3,FALSE),"")</f>
        <v>-12.070842000000001</v>
      </c>
      <c r="I457">
        <f>IFERROR(VLOOKUP(Logs_Reseau_Part5[[#This Row],[Cell_ID]],Registre_Maintenance_Part[[ID_Antenne]:[Colonne2]],4,FALSE),"")</f>
        <v>14.757847</v>
      </c>
      <c r="J457" t="str">
        <f>IFERROR(VLOOKUP(Logs_Reseau_Part5[[#This Row],[Cell_ID]],Registre_Maintenance_Part[[ID_Antenne]:[Colonne2]],5,FALSE),"")</f>
        <v>4G</v>
      </c>
      <c r="K457" t="str">
        <f>IFERROR(VLOOKUP(Logs_Reseau_Part5[[#This Row],[Cell_ID]],Registre_Maintenance_Part[[ID_Antenne]:[Colonne2]],6,FALSE),"")</f>
        <v>ZTE</v>
      </c>
    </row>
    <row r="458" spans="1:11" x14ac:dyDescent="0.3">
      <c r="A458" t="s">
        <v>1167</v>
      </c>
      <c r="B458" s="1">
        <v>45221.565972222219</v>
      </c>
      <c r="C458" s="2">
        <v>45221.565972222219</v>
      </c>
      <c r="D458" t="s">
        <v>1168</v>
      </c>
      <c r="E458">
        <v>87</v>
      </c>
      <c r="F458" t="s">
        <v>737</v>
      </c>
      <c r="G458" t="str">
        <f>IFERROR(VLOOKUP(Logs_Reseau_Part5[[#This Row],[Cell_ID]],Registre_Maintenance_Part[[ID_Antenne]:[Colonne2]],2,FALSE),"")</f>
        <v>Tshopo</v>
      </c>
      <c r="H458">
        <f>IFERROR(VLOOKUP(Logs_Reseau_Part5[[#This Row],[Cell_ID]],Registre_Maintenance_Part[[ID_Antenne]:[Colonne2]],3,FALSE),"")</f>
        <v>4.7777349999999998</v>
      </c>
      <c r="I458">
        <f>IFERROR(VLOOKUP(Logs_Reseau_Part5[[#This Row],[Cell_ID]],Registre_Maintenance_Part[[ID_Antenne]:[Colonne2]],4,FALSE),"")</f>
        <v>16.392204</v>
      </c>
      <c r="J458" t="str">
        <f>IFERROR(VLOOKUP(Logs_Reseau_Part5[[#This Row],[Cell_ID]],Registre_Maintenance_Part[[ID_Antenne]:[Colonne2]],5,FALSE),"")</f>
        <v>5G</v>
      </c>
      <c r="K458" t="str">
        <f>IFERROR(VLOOKUP(Logs_Reseau_Part5[[#This Row],[Cell_ID]],Registre_Maintenance_Part[[ID_Antenne]:[Colonne2]],6,FALSE),"")</f>
        <v>ZTE</v>
      </c>
    </row>
    <row r="459" spans="1:11" x14ac:dyDescent="0.3">
      <c r="A459" t="s">
        <v>1195</v>
      </c>
      <c r="B459" s="1">
        <v>45224.115277777782</v>
      </c>
      <c r="C459" s="2">
        <v>45224.115277777782</v>
      </c>
      <c r="D459" t="s">
        <v>1216</v>
      </c>
      <c r="E459">
        <v>45</v>
      </c>
      <c r="F459" t="s">
        <v>737</v>
      </c>
      <c r="G459" t="str">
        <f>IFERROR(VLOOKUP(Logs_Reseau_Part5[[#This Row],[Cell_ID]],Registre_Maintenance_Part[[ID_Antenne]:[Colonne2]],2,FALSE),"")</f>
        <v>Tshopo</v>
      </c>
      <c r="H459">
        <f>IFERROR(VLOOKUP(Logs_Reseau_Part5[[#This Row],[Cell_ID]],Registre_Maintenance_Part[[ID_Antenne]:[Colonne2]],3,FALSE),"")</f>
        <v>-11.265995</v>
      </c>
      <c r="I459">
        <f>IFERROR(VLOOKUP(Logs_Reseau_Part5[[#This Row],[Cell_ID]],Registre_Maintenance_Part[[ID_Antenne]:[Colonne2]],4,FALSE),"")</f>
        <v>28.935514999999999</v>
      </c>
      <c r="J459" t="str">
        <f>IFERROR(VLOOKUP(Logs_Reseau_Part5[[#This Row],[Cell_ID]],Registre_Maintenance_Part[[ID_Antenne]:[Colonne2]],5,FALSE),"")</f>
        <v>4G</v>
      </c>
      <c r="K459" t="str">
        <f>IFERROR(VLOOKUP(Logs_Reseau_Part5[[#This Row],[Cell_ID]],Registre_Maintenance_Part[[ID_Antenne]:[Colonne2]],6,FALSE),"")</f>
        <v>Ericsson</v>
      </c>
    </row>
    <row r="460" spans="1:11" x14ac:dyDescent="0.3">
      <c r="A460" t="s">
        <v>1263</v>
      </c>
      <c r="B460" s="1">
        <v>45226.969444444447</v>
      </c>
      <c r="C460" s="2">
        <v>45226.969444444447</v>
      </c>
      <c r="D460" t="s">
        <v>887</v>
      </c>
      <c r="E460">
        <v>68</v>
      </c>
      <c r="F460" t="s">
        <v>734</v>
      </c>
      <c r="G460" t="str">
        <f>IFERROR(VLOOKUP(Logs_Reseau_Part5[[#This Row],[Cell_ID]],Registre_Maintenance_Part[[ID_Antenne]:[Colonne2]],2,FALSE),"")</f>
        <v>Tshopo</v>
      </c>
      <c r="H460">
        <f>IFERROR(VLOOKUP(Logs_Reseau_Part5[[#This Row],[Cell_ID]],Registre_Maintenance_Part[[ID_Antenne]:[Colonne2]],3,FALSE),"")</f>
        <v>3.0603760000000002</v>
      </c>
      <c r="I460">
        <f>IFERROR(VLOOKUP(Logs_Reseau_Part5[[#This Row],[Cell_ID]],Registre_Maintenance_Part[[ID_Antenne]:[Colonne2]],4,FALSE),"")</f>
        <v>19.708034000000001</v>
      </c>
      <c r="J460" t="str">
        <f>IFERROR(VLOOKUP(Logs_Reseau_Part5[[#This Row],[Cell_ID]],Registre_Maintenance_Part[[ID_Antenne]:[Colonne2]],5,FALSE),"")</f>
        <v>3G</v>
      </c>
      <c r="K460" t="str">
        <f>IFERROR(VLOOKUP(Logs_Reseau_Part5[[#This Row],[Cell_ID]],Registre_Maintenance_Part[[ID_Antenne]:[Colonne2]],6,FALSE),"")</f>
        <v>ZTE</v>
      </c>
    </row>
    <row r="461" spans="1:11" x14ac:dyDescent="0.3">
      <c r="A461" t="s">
        <v>941</v>
      </c>
      <c r="B461" s="1">
        <v>45227.144444444442</v>
      </c>
      <c r="C461" s="2">
        <v>45227.144444444442</v>
      </c>
      <c r="D461" t="s">
        <v>964</v>
      </c>
      <c r="E461">
        <v>11</v>
      </c>
      <c r="F461" t="s">
        <v>737</v>
      </c>
      <c r="G461" t="str">
        <f>IFERROR(VLOOKUP(Logs_Reseau_Part5[[#This Row],[Cell_ID]],Registre_Maintenance_Part[[ID_Antenne]:[Colonne2]],2,FALSE),"")</f>
        <v>Tshopo</v>
      </c>
      <c r="H461">
        <f>IFERROR(VLOOKUP(Logs_Reseau_Part5[[#This Row],[Cell_ID]],Registre_Maintenance_Part[[ID_Antenne]:[Colonne2]],3,FALSE),"")</f>
        <v>2.4425979999999998</v>
      </c>
      <c r="I461">
        <f>IFERROR(VLOOKUP(Logs_Reseau_Part5[[#This Row],[Cell_ID]],Registre_Maintenance_Part[[ID_Antenne]:[Colonne2]],4,FALSE),"")</f>
        <v>24.924308</v>
      </c>
      <c r="J461" t="str">
        <f>IFERROR(VLOOKUP(Logs_Reseau_Part5[[#This Row],[Cell_ID]],Registre_Maintenance_Part[[ID_Antenne]:[Colonne2]],5,FALSE),"")</f>
        <v>5G</v>
      </c>
      <c r="K461" t="str">
        <f>IFERROR(VLOOKUP(Logs_Reseau_Part5[[#This Row],[Cell_ID]],Registre_Maintenance_Part[[ID_Antenne]:[Colonne2]],6,FALSE),"")</f>
        <v>Ericsson</v>
      </c>
    </row>
    <row r="462" spans="1:11" x14ac:dyDescent="0.3">
      <c r="A462" t="s">
        <v>863</v>
      </c>
      <c r="B462" s="1">
        <v>45227.577777777777</v>
      </c>
      <c r="C462" s="2">
        <v>45227.577777777777</v>
      </c>
      <c r="D462" t="s">
        <v>900</v>
      </c>
      <c r="E462">
        <v>50</v>
      </c>
      <c r="F462" t="s">
        <v>739</v>
      </c>
      <c r="G462" t="str">
        <f>IFERROR(VLOOKUP(Logs_Reseau_Part5[[#This Row],[Cell_ID]],Registre_Maintenance_Part[[ID_Antenne]:[Colonne2]],2,FALSE),"")</f>
        <v>Tshopo</v>
      </c>
      <c r="H462">
        <f>IFERROR(VLOOKUP(Logs_Reseau_Part5[[#This Row],[Cell_ID]],Registre_Maintenance_Part[[ID_Antenne]:[Colonne2]],3,FALSE),"")</f>
        <v>-4.5603610000000003</v>
      </c>
      <c r="I462">
        <f>IFERROR(VLOOKUP(Logs_Reseau_Part5[[#This Row],[Cell_ID]],Registre_Maintenance_Part[[ID_Antenne]:[Colonne2]],4,FALSE),"")</f>
        <v>24.113918999999999</v>
      </c>
      <c r="J462" t="str">
        <f>IFERROR(VLOOKUP(Logs_Reseau_Part5[[#This Row],[Cell_ID]],Registre_Maintenance_Part[[ID_Antenne]:[Colonne2]],5,FALSE),"")</f>
        <v>5G</v>
      </c>
      <c r="K462" t="str">
        <f>IFERROR(VLOOKUP(Logs_Reseau_Part5[[#This Row],[Cell_ID]],Registre_Maintenance_Part[[ID_Antenne]:[Colonne2]],6,FALSE),"")</f>
        <v>ZTE</v>
      </c>
    </row>
    <row r="463" spans="1:11" x14ac:dyDescent="0.3">
      <c r="A463" t="s">
        <v>1310</v>
      </c>
      <c r="B463" s="1">
        <v>45228.515277777777</v>
      </c>
      <c r="C463" s="2">
        <v>45228.515277777777</v>
      </c>
      <c r="D463" t="s">
        <v>1320</v>
      </c>
      <c r="E463">
        <v>105</v>
      </c>
      <c r="F463" t="s">
        <v>734</v>
      </c>
      <c r="G463" t="str">
        <f>IFERROR(VLOOKUP(Logs_Reseau_Part5[[#This Row],[Cell_ID]],Registre_Maintenance_Part[[ID_Antenne]:[Colonne2]],2,FALSE),"")</f>
        <v>Tshopo</v>
      </c>
      <c r="H463">
        <f>IFERROR(VLOOKUP(Logs_Reseau_Part5[[#This Row],[Cell_ID]],Registre_Maintenance_Part[[ID_Antenne]:[Colonne2]],3,FALSE),"")</f>
        <v>-0.919767</v>
      </c>
      <c r="I463">
        <f>IFERROR(VLOOKUP(Logs_Reseau_Part5[[#This Row],[Cell_ID]],Registre_Maintenance_Part[[ID_Antenne]:[Colonne2]],4,FALSE),"")</f>
        <v>18.905538</v>
      </c>
      <c r="J463" t="str">
        <f>IFERROR(VLOOKUP(Logs_Reseau_Part5[[#This Row],[Cell_ID]],Registre_Maintenance_Part[[ID_Antenne]:[Colonne2]],5,FALSE),"")</f>
        <v>5G</v>
      </c>
      <c r="K463" t="str">
        <f>IFERROR(VLOOKUP(Logs_Reseau_Part5[[#This Row],[Cell_ID]],Registre_Maintenance_Part[[ID_Antenne]:[Colonne2]],6,FALSE),"")</f>
        <v>Ericsson</v>
      </c>
    </row>
    <row r="464" spans="1:11" x14ac:dyDescent="0.3">
      <c r="A464" t="s">
        <v>1310</v>
      </c>
      <c r="B464" s="1">
        <v>45228.563194444447</v>
      </c>
      <c r="C464" s="2">
        <v>45228.563194444447</v>
      </c>
      <c r="D464" t="s">
        <v>1216</v>
      </c>
      <c r="E464">
        <v>44</v>
      </c>
      <c r="F464" t="s">
        <v>734</v>
      </c>
      <c r="G464" t="str">
        <f>IFERROR(VLOOKUP(Logs_Reseau_Part5[[#This Row],[Cell_ID]],Registre_Maintenance_Part[[ID_Antenne]:[Colonne2]],2,FALSE),"")</f>
        <v>Tshopo</v>
      </c>
      <c r="H464">
        <f>IFERROR(VLOOKUP(Logs_Reseau_Part5[[#This Row],[Cell_ID]],Registre_Maintenance_Part[[ID_Antenne]:[Colonne2]],3,FALSE),"")</f>
        <v>-11.265995</v>
      </c>
      <c r="I464">
        <f>IFERROR(VLOOKUP(Logs_Reseau_Part5[[#This Row],[Cell_ID]],Registre_Maintenance_Part[[ID_Antenne]:[Colonne2]],4,FALSE),"")</f>
        <v>28.935514999999999</v>
      </c>
      <c r="J464" t="str">
        <f>IFERROR(VLOOKUP(Logs_Reseau_Part5[[#This Row],[Cell_ID]],Registre_Maintenance_Part[[ID_Antenne]:[Colonne2]],5,FALSE),"")</f>
        <v>4G</v>
      </c>
      <c r="K464" t="str">
        <f>IFERROR(VLOOKUP(Logs_Reseau_Part5[[#This Row],[Cell_ID]],Registre_Maintenance_Part[[ID_Antenne]:[Colonne2]],6,FALSE),"")</f>
        <v>Ericsson</v>
      </c>
    </row>
    <row r="465" spans="1:11" x14ac:dyDescent="0.3">
      <c r="A465" t="s">
        <v>863</v>
      </c>
      <c r="B465" s="1">
        <v>45200.51458333333</v>
      </c>
      <c r="C465" s="2">
        <v>45200.51458333333</v>
      </c>
      <c r="D465" t="s">
        <v>864</v>
      </c>
      <c r="E465">
        <v>24</v>
      </c>
      <c r="F465" t="s">
        <v>739</v>
      </c>
      <c r="G465" t="str">
        <f>IFERROR(VLOOKUP(Logs_Reseau_Part5[[#This Row],[Cell_ID]],Registre_Maintenance_Part[[ID_Antenne]:[Colonne2]],2,FALSE),"")</f>
        <v>Tshuapa</v>
      </c>
      <c r="H465">
        <f>IFERROR(VLOOKUP(Logs_Reseau_Part5[[#This Row],[Cell_ID]],Registre_Maintenance_Part[[ID_Antenne]:[Colonne2]],3,FALSE),"")</f>
        <v>-11.622688999999999</v>
      </c>
      <c r="I465">
        <f>IFERROR(VLOOKUP(Logs_Reseau_Part5[[#This Row],[Cell_ID]],Registre_Maintenance_Part[[ID_Antenne]:[Colonne2]],4,FALSE),"")</f>
        <v>18.483874</v>
      </c>
      <c r="J465" t="str">
        <f>IFERROR(VLOOKUP(Logs_Reseau_Part5[[#This Row],[Cell_ID]],Registre_Maintenance_Part[[ID_Antenne]:[Colonne2]],5,FALSE),"")</f>
        <v>5G</v>
      </c>
      <c r="K465" t="str">
        <f>IFERROR(VLOOKUP(Logs_Reseau_Part5[[#This Row],[Cell_ID]],Registre_Maintenance_Part[[ID_Antenne]:[Colonne2]],6,FALSE),"")</f>
        <v>ZTE</v>
      </c>
    </row>
    <row r="466" spans="1:11" x14ac:dyDescent="0.3">
      <c r="A466" t="s">
        <v>1290</v>
      </c>
      <c r="B466" s="1">
        <v>45200.534722222219</v>
      </c>
      <c r="C466" s="2">
        <v>45200.534722222219</v>
      </c>
      <c r="D466" t="s">
        <v>1306</v>
      </c>
      <c r="E466">
        <v>50</v>
      </c>
      <c r="F466" t="s">
        <v>739</v>
      </c>
      <c r="G466" t="str">
        <f>IFERROR(VLOOKUP(Logs_Reseau_Part5[[#This Row],[Cell_ID]],Registre_Maintenance_Part[[ID_Antenne]:[Colonne2]],2,FALSE),"")</f>
        <v>Tshuapa</v>
      </c>
      <c r="H466">
        <f>IFERROR(VLOOKUP(Logs_Reseau_Part5[[#This Row],[Cell_ID]],Registre_Maintenance_Part[[ID_Antenne]:[Colonne2]],3,FALSE),"")</f>
        <v>-7.7587710000000003</v>
      </c>
      <c r="I466">
        <f>IFERROR(VLOOKUP(Logs_Reseau_Part5[[#This Row],[Cell_ID]],Registre_Maintenance_Part[[ID_Antenne]:[Colonne2]],4,FALSE),"")</f>
        <v>17.880848</v>
      </c>
      <c r="J466" t="str">
        <f>IFERROR(VLOOKUP(Logs_Reseau_Part5[[#This Row],[Cell_ID]],Registre_Maintenance_Part[[ID_Antenne]:[Colonne2]],5,FALSE),"")</f>
        <v>3G</v>
      </c>
      <c r="K466" t="str">
        <f>IFERROR(VLOOKUP(Logs_Reseau_Part5[[#This Row],[Cell_ID]],Registre_Maintenance_Part[[ID_Antenne]:[Colonne2]],6,FALSE),"")</f>
        <v>Ericsson</v>
      </c>
    </row>
    <row r="467" spans="1:11" x14ac:dyDescent="0.3">
      <c r="A467" t="s">
        <v>1001</v>
      </c>
      <c r="B467" s="1">
        <v>45202.04791666667</v>
      </c>
      <c r="C467" s="2">
        <v>45202.04791666667</v>
      </c>
      <c r="D467" t="s">
        <v>1019</v>
      </c>
      <c r="E467">
        <v>115</v>
      </c>
      <c r="F467" t="s">
        <v>737</v>
      </c>
      <c r="G467" t="str">
        <f>IFERROR(VLOOKUP(Logs_Reseau_Part5[[#This Row],[Cell_ID]],Registre_Maintenance_Part[[ID_Antenne]:[Colonne2]],2,FALSE),"")</f>
        <v>Tshuapa</v>
      </c>
      <c r="H467">
        <f>IFERROR(VLOOKUP(Logs_Reseau_Part5[[#This Row],[Cell_ID]],Registre_Maintenance_Part[[ID_Antenne]:[Colonne2]],3,FALSE),"")</f>
        <v>-10.577049000000001</v>
      </c>
      <c r="I467">
        <f>IFERROR(VLOOKUP(Logs_Reseau_Part5[[#This Row],[Cell_ID]],Registre_Maintenance_Part[[ID_Antenne]:[Colonne2]],4,FALSE),"")</f>
        <v>23.721854</v>
      </c>
      <c r="J467" t="str">
        <f>IFERROR(VLOOKUP(Logs_Reseau_Part5[[#This Row],[Cell_ID]],Registre_Maintenance_Part[[ID_Antenne]:[Colonne2]],5,FALSE),"")</f>
        <v>4G</v>
      </c>
      <c r="K467" t="str">
        <f>IFERROR(VLOOKUP(Logs_Reseau_Part5[[#This Row],[Cell_ID]],Registre_Maintenance_Part[[ID_Antenne]:[Colonne2]],6,FALSE),"")</f>
        <v>ZTE</v>
      </c>
    </row>
    <row r="468" spans="1:11" x14ac:dyDescent="0.3">
      <c r="A468" t="s">
        <v>1140</v>
      </c>
      <c r="B468" s="1">
        <v>45203.59652777778</v>
      </c>
      <c r="C468" s="2">
        <v>45203.59652777778</v>
      </c>
      <c r="D468" t="s">
        <v>1148</v>
      </c>
      <c r="E468">
        <v>13</v>
      </c>
      <c r="F468" t="s">
        <v>737</v>
      </c>
      <c r="G468" t="str">
        <f>IFERROR(VLOOKUP(Logs_Reseau_Part5[[#This Row],[Cell_ID]],Registre_Maintenance_Part[[ID_Antenne]:[Colonne2]],2,FALSE),"")</f>
        <v>Tshuapa</v>
      </c>
      <c r="H468">
        <f>IFERROR(VLOOKUP(Logs_Reseau_Part5[[#This Row],[Cell_ID]],Registre_Maintenance_Part[[ID_Antenne]:[Colonne2]],3,FALSE),"")</f>
        <v>-1.9540519999999999</v>
      </c>
      <c r="I468">
        <f>IFERROR(VLOOKUP(Logs_Reseau_Part5[[#This Row],[Cell_ID]],Registre_Maintenance_Part[[ID_Antenne]:[Colonne2]],4,FALSE),"")</f>
        <v>12.667945</v>
      </c>
      <c r="J468" t="str">
        <f>IFERROR(VLOOKUP(Logs_Reseau_Part5[[#This Row],[Cell_ID]],Registre_Maintenance_Part[[ID_Antenne]:[Colonne2]],5,FALSE),"")</f>
        <v>4G</v>
      </c>
      <c r="K468" t="str">
        <f>IFERROR(VLOOKUP(Logs_Reseau_Part5[[#This Row],[Cell_ID]],Registre_Maintenance_Part[[ID_Antenne]:[Colonne2]],6,FALSE),"")</f>
        <v>Huawei</v>
      </c>
    </row>
    <row r="469" spans="1:11" x14ac:dyDescent="0.3">
      <c r="A469" t="s">
        <v>863</v>
      </c>
      <c r="B469" s="1">
        <v>45203.950694444437</v>
      </c>
      <c r="C469" s="2">
        <v>45203.950694444437</v>
      </c>
      <c r="D469" t="s">
        <v>894</v>
      </c>
      <c r="E469">
        <v>8</v>
      </c>
      <c r="F469" t="s">
        <v>737</v>
      </c>
      <c r="G469" t="str">
        <f>IFERROR(VLOOKUP(Logs_Reseau_Part5[[#This Row],[Cell_ID]],Registre_Maintenance_Part[[ID_Antenne]:[Colonne2]],2,FALSE),"")</f>
        <v>Tshuapa</v>
      </c>
      <c r="H469">
        <f>IFERROR(VLOOKUP(Logs_Reseau_Part5[[#This Row],[Cell_ID]],Registre_Maintenance_Part[[ID_Antenne]:[Colonne2]],3,FALSE),"")</f>
        <v>-0.79406600000000005</v>
      </c>
      <c r="I469">
        <f>IFERROR(VLOOKUP(Logs_Reseau_Part5[[#This Row],[Cell_ID]],Registre_Maintenance_Part[[ID_Antenne]:[Colonne2]],4,FALSE),"")</f>
        <v>12.534793000000001</v>
      </c>
      <c r="J469" t="str">
        <f>IFERROR(VLOOKUP(Logs_Reseau_Part5[[#This Row],[Cell_ID]],Registre_Maintenance_Part[[ID_Antenne]:[Colonne2]],5,FALSE),"")</f>
        <v>3G</v>
      </c>
      <c r="K469" t="str">
        <f>IFERROR(VLOOKUP(Logs_Reseau_Part5[[#This Row],[Cell_ID]],Registre_Maintenance_Part[[ID_Antenne]:[Colonne2]],6,FALSE),"")</f>
        <v>Huawei</v>
      </c>
    </row>
    <row r="470" spans="1:11" x14ac:dyDescent="0.3">
      <c r="A470" t="s">
        <v>1263</v>
      </c>
      <c r="B470" s="1">
        <v>45216.701388888891</v>
      </c>
      <c r="C470" s="2">
        <v>45216.701388888891</v>
      </c>
      <c r="D470" t="s">
        <v>864</v>
      </c>
      <c r="E470">
        <v>80</v>
      </c>
      <c r="F470" t="s">
        <v>734</v>
      </c>
      <c r="G470" t="str">
        <f>IFERROR(VLOOKUP(Logs_Reseau_Part5[[#This Row],[Cell_ID]],Registre_Maintenance_Part[[ID_Antenne]:[Colonne2]],2,FALSE),"")</f>
        <v>Tshuapa</v>
      </c>
      <c r="H470">
        <f>IFERROR(VLOOKUP(Logs_Reseau_Part5[[#This Row],[Cell_ID]],Registre_Maintenance_Part[[ID_Antenne]:[Colonne2]],3,FALSE),"")</f>
        <v>-11.622688999999999</v>
      </c>
      <c r="I470">
        <f>IFERROR(VLOOKUP(Logs_Reseau_Part5[[#This Row],[Cell_ID]],Registre_Maintenance_Part[[ID_Antenne]:[Colonne2]],4,FALSE),"")</f>
        <v>18.483874</v>
      </c>
      <c r="J470" t="str">
        <f>IFERROR(VLOOKUP(Logs_Reseau_Part5[[#This Row],[Cell_ID]],Registre_Maintenance_Part[[ID_Antenne]:[Colonne2]],5,FALSE),"")</f>
        <v>5G</v>
      </c>
      <c r="K470" t="str">
        <f>IFERROR(VLOOKUP(Logs_Reseau_Part5[[#This Row],[Cell_ID]],Registre_Maintenance_Part[[ID_Antenne]:[Colonne2]],6,FALSE),"")</f>
        <v>ZTE</v>
      </c>
    </row>
    <row r="471" spans="1:11" x14ac:dyDescent="0.3">
      <c r="A471" t="s">
        <v>1310</v>
      </c>
      <c r="B471" s="1">
        <v>45219.65625</v>
      </c>
      <c r="C471" s="2">
        <v>45219.65625</v>
      </c>
      <c r="D471" t="s">
        <v>1019</v>
      </c>
      <c r="E471">
        <v>118</v>
      </c>
      <c r="F471" t="s">
        <v>737</v>
      </c>
      <c r="G471" t="str">
        <f>IFERROR(VLOOKUP(Logs_Reseau_Part5[[#This Row],[Cell_ID]],Registre_Maintenance_Part[[ID_Antenne]:[Colonne2]],2,FALSE),"")</f>
        <v>Tshuapa</v>
      </c>
      <c r="H471">
        <f>IFERROR(VLOOKUP(Logs_Reseau_Part5[[#This Row],[Cell_ID]],Registre_Maintenance_Part[[ID_Antenne]:[Colonne2]],3,FALSE),"")</f>
        <v>-10.577049000000001</v>
      </c>
      <c r="I471">
        <f>IFERROR(VLOOKUP(Logs_Reseau_Part5[[#This Row],[Cell_ID]],Registre_Maintenance_Part[[ID_Antenne]:[Colonne2]],4,FALSE),"")</f>
        <v>23.721854</v>
      </c>
      <c r="J471" t="str">
        <f>IFERROR(VLOOKUP(Logs_Reseau_Part5[[#This Row],[Cell_ID]],Registre_Maintenance_Part[[ID_Antenne]:[Colonne2]],5,FALSE),"")</f>
        <v>4G</v>
      </c>
      <c r="K471" t="str">
        <f>IFERROR(VLOOKUP(Logs_Reseau_Part5[[#This Row],[Cell_ID]],Registre_Maintenance_Part[[ID_Antenne]:[Colonne2]],6,FALSE),"")</f>
        <v>ZTE</v>
      </c>
    </row>
    <row r="472" spans="1:11" x14ac:dyDescent="0.3">
      <c r="A472" t="s">
        <v>904</v>
      </c>
      <c r="B472" s="1">
        <v>45219.801388888889</v>
      </c>
      <c r="C472" s="2">
        <v>45219.801388888889</v>
      </c>
      <c r="D472" t="s">
        <v>914</v>
      </c>
      <c r="E472">
        <v>65</v>
      </c>
      <c r="F472" t="s">
        <v>737</v>
      </c>
      <c r="G472" t="str">
        <f>IFERROR(VLOOKUP(Logs_Reseau_Part5[[#This Row],[Cell_ID]],Registre_Maintenance_Part[[ID_Antenne]:[Colonne2]],2,FALSE),"")</f>
        <v>Tshuapa</v>
      </c>
      <c r="H472">
        <f>IFERROR(VLOOKUP(Logs_Reseau_Part5[[#This Row],[Cell_ID]],Registre_Maintenance_Part[[ID_Antenne]:[Colonne2]],3,FALSE),"")</f>
        <v>0.52897499999999997</v>
      </c>
      <c r="I472">
        <f>IFERROR(VLOOKUP(Logs_Reseau_Part5[[#This Row],[Cell_ID]],Registre_Maintenance_Part[[ID_Antenne]:[Colonne2]],4,FALSE),"")</f>
        <v>13.849651</v>
      </c>
      <c r="J472" t="str">
        <f>IFERROR(VLOOKUP(Logs_Reseau_Part5[[#This Row],[Cell_ID]],Registre_Maintenance_Part[[ID_Antenne]:[Colonne2]],5,FALSE),"")</f>
        <v>3G</v>
      </c>
      <c r="K472" t="str">
        <f>IFERROR(VLOOKUP(Logs_Reseau_Part5[[#This Row],[Cell_ID]],Registre_Maintenance_Part[[ID_Antenne]:[Colonne2]],6,FALSE),"")</f>
        <v>ZTE</v>
      </c>
    </row>
    <row r="473" spans="1:11" x14ac:dyDescent="0.3">
      <c r="A473" t="s">
        <v>980</v>
      </c>
      <c r="B473" s="1">
        <v>45221.27847222222</v>
      </c>
      <c r="C473" s="2">
        <v>45221.27847222222</v>
      </c>
      <c r="D473" t="s">
        <v>993</v>
      </c>
      <c r="E473">
        <v>83</v>
      </c>
      <c r="F473" t="s">
        <v>739</v>
      </c>
      <c r="G473" t="str">
        <f>IFERROR(VLOOKUP(Logs_Reseau_Part5[[#This Row],[Cell_ID]],Registre_Maintenance_Part[[ID_Antenne]:[Colonne2]],2,FALSE),"")</f>
        <v>Tshuapa</v>
      </c>
      <c r="H473">
        <f>IFERROR(VLOOKUP(Logs_Reseau_Part5[[#This Row],[Cell_ID]],Registre_Maintenance_Part[[ID_Antenne]:[Colonne2]],3,FALSE),"")</f>
        <v>-12.292039000000001</v>
      </c>
      <c r="I473">
        <f>IFERROR(VLOOKUP(Logs_Reseau_Part5[[#This Row],[Cell_ID]],Registre_Maintenance_Part[[ID_Antenne]:[Colonne2]],4,FALSE),"")</f>
        <v>27.538202999999999</v>
      </c>
      <c r="J473" t="str">
        <f>IFERROR(VLOOKUP(Logs_Reseau_Part5[[#This Row],[Cell_ID]],Registre_Maintenance_Part[[ID_Antenne]:[Colonne2]],5,FALSE),"")</f>
        <v>3G</v>
      </c>
      <c r="K473" t="str">
        <f>IFERROR(VLOOKUP(Logs_Reseau_Part5[[#This Row],[Cell_ID]],Registre_Maintenance_Part[[ID_Antenne]:[Colonne2]],6,FALSE),"")</f>
        <v>Huawei</v>
      </c>
    </row>
    <row r="474" spans="1:11" x14ac:dyDescent="0.3">
      <c r="A474" t="s">
        <v>1221</v>
      </c>
      <c r="B474" s="1">
        <v>45221.780555555553</v>
      </c>
      <c r="C474" s="2">
        <v>45221.780555555553</v>
      </c>
      <c r="D474" t="s">
        <v>1145</v>
      </c>
      <c r="E474">
        <v>67</v>
      </c>
      <c r="F474" t="s">
        <v>734</v>
      </c>
      <c r="G474" t="str">
        <f>IFERROR(VLOOKUP(Logs_Reseau_Part5[[#This Row],[Cell_ID]],Registre_Maintenance_Part[[ID_Antenne]:[Colonne2]],2,FALSE),"")</f>
        <v>Tshuapa</v>
      </c>
      <c r="H474">
        <f>IFERROR(VLOOKUP(Logs_Reseau_Part5[[#This Row],[Cell_ID]],Registre_Maintenance_Part[[ID_Antenne]:[Colonne2]],3,FALSE),"")</f>
        <v>-7.789663</v>
      </c>
      <c r="I474">
        <f>IFERROR(VLOOKUP(Logs_Reseau_Part5[[#This Row],[Cell_ID]],Registre_Maintenance_Part[[ID_Antenne]:[Colonne2]],4,FALSE),"")</f>
        <v>26.529098000000001</v>
      </c>
      <c r="J474" t="str">
        <f>IFERROR(VLOOKUP(Logs_Reseau_Part5[[#This Row],[Cell_ID]],Registre_Maintenance_Part[[ID_Antenne]:[Colonne2]],5,FALSE),"")</f>
        <v>5G</v>
      </c>
      <c r="K474" t="str">
        <f>IFERROR(VLOOKUP(Logs_Reseau_Part5[[#This Row],[Cell_ID]],Registre_Maintenance_Part[[ID_Antenne]:[Colonne2]],6,FALSE),"")</f>
        <v>Nokia</v>
      </c>
    </row>
    <row r="475" spans="1:11" x14ac:dyDescent="0.3">
      <c r="A475" t="s">
        <v>1001</v>
      </c>
      <c r="B475" s="1">
        <v>45223.450694444437</v>
      </c>
      <c r="C475" s="2">
        <v>45223.450694444437</v>
      </c>
      <c r="D475" t="s">
        <v>1017</v>
      </c>
      <c r="E475">
        <v>14</v>
      </c>
      <c r="F475" t="s">
        <v>739</v>
      </c>
      <c r="G475" t="str">
        <f>IFERROR(VLOOKUP(Logs_Reseau_Part5[[#This Row],[Cell_ID]],Registre_Maintenance_Part[[ID_Antenne]:[Colonne2]],2,FALSE),"")</f>
        <v>Tshuapa</v>
      </c>
      <c r="H475">
        <f>IFERROR(VLOOKUP(Logs_Reseau_Part5[[#This Row],[Cell_ID]],Registre_Maintenance_Part[[ID_Antenne]:[Colonne2]],3,FALSE),"")</f>
        <v>-2.571777</v>
      </c>
      <c r="I475">
        <f>IFERROR(VLOOKUP(Logs_Reseau_Part5[[#This Row],[Cell_ID]],Registre_Maintenance_Part[[ID_Antenne]:[Colonne2]],4,FALSE),"")</f>
        <v>12.120642</v>
      </c>
      <c r="J475" t="str">
        <f>IFERROR(VLOOKUP(Logs_Reseau_Part5[[#This Row],[Cell_ID]],Registre_Maintenance_Part[[ID_Antenne]:[Colonne2]],5,FALSE),"")</f>
        <v>3G</v>
      </c>
      <c r="K475" t="str">
        <f>IFERROR(VLOOKUP(Logs_Reseau_Part5[[#This Row],[Cell_ID]],Registre_Maintenance_Part[[ID_Antenne]:[Colonne2]],6,FALSE),"")</f>
        <v>Huawei</v>
      </c>
    </row>
    <row r="476" spans="1:11" x14ac:dyDescent="0.3">
      <c r="A476" t="s">
        <v>1140</v>
      </c>
      <c r="B476" s="1">
        <v>45224.347916666673</v>
      </c>
      <c r="C476" s="2">
        <v>45224.347916666673</v>
      </c>
      <c r="D476" t="s">
        <v>1145</v>
      </c>
      <c r="E476">
        <v>14</v>
      </c>
      <c r="F476" t="s">
        <v>734</v>
      </c>
      <c r="G476" t="str">
        <f>IFERROR(VLOOKUP(Logs_Reseau_Part5[[#This Row],[Cell_ID]],Registre_Maintenance_Part[[ID_Antenne]:[Colonne2]],2,FALSE),"")</f>
        <v>Tshuapa</v>
      </c>
      <c r="H476">
        <f>IFERROR(VLOOKUP(Logs_Reseau_Part5[[#This Row],[Cell_ID]],Registre_Maintenance_Part[[ID_Antenne]:[Colonne2]],3,FALSE),"")</f>
        <v>-7.789663</v>
      </c>
      <c r="I476">
        <f>IFERROR(VLOOKUP(Logs_Reseau_Part5[[#This Row],[Cell_ID]],Registre_Maintenance_Part[[ID_Antenne]:[Colonne2]],4,FALSE),"")</f>
        <v>26.529098000000001</v>
      </c>
      <c r="J476" t="str">
        <f>IFERROR(VLOOKUP(Logs_Reseau_Part5[[#This Row],[Cell_ID]],Registre_Maintenance_Part[[ID_Antenne]:[Colonne2]],5,FALSE),"")</f>
        <v>5G</v>
      </c>
      <c r="K476" t="str">
        <f>IFERROR(VLOOKUP(Logs_Reseau_Part5[[#This Row],[Cell_ID]],Registre_Maintenance_Part[[ID_Antenne]:[Colonne2]],6,FALSE),"")</f>
        <v>Nokia</v>
      </c>
    </row>
    <row r="477" spans="1:11" x14ac:dyDescent="0.3">
      <c r="A477" t="s">
        <v>1167</v>
      </c>
      <c r="B477" s="1">
        <v>45225.979166666657</v>
      </c>
      <c r="C477" s="2">
        <v>45225.979166666657</v>
      </c>
      <c r="D477" t="s">
        <v>1019</v>
      </c>
      <c r="E477">
        <v>6</v>
      </c>
      <c r="F477" t="s">
        <v>734</v>
      </c>
      <c r="G477" t="str">
        <f>IFERROR(VLOOKUP(Logs_Reseau_Part5[[#This Row],[Cell_ID]],Registre_Maintenance_Part[[ID_Antenne]:[Colonne2]],2,FALSE),"")</f>
        <v>Tshuapa</v>
      </c>
      <c r="H477">
        <f>IFERROR(VLOOKUP(Logs_Reseau_Part5[[#This Row],[Cell_ID]],Registre_Maintenance_Part[[ID_Antenne]:[Colonne2]],3,FALSE),"")</f>
        <v>-10.577049000000001</v>
      </c>
      <c r="I477">
        <f>IFERROR(VLOOKUP(Logs_Reseau_Part5[[#This Row],[Cell_ID]],Registre_Maintenance_Part[[ID_Antenne]:[Colonne2]],4,FALSE),"")</f>
        <v>23.721854</v>
      </c>
      <c r="J477" t="str">
        <f>IFERROR(VLOOKUP(Logs_Reseau_Part5[[#This Row],[Cell_ID]],Registre_Maintenance_Part[[ID_Antenne]:[Colonne2]],5,FALSE),"")</f>
        <v>4G</v>
      </c>
      <c r="K477" t="str">
        <f>IFERROR(VLOOKUP(Logs_Reseau_Part5[[#This Row],[Cell_ID]],Registre_Maintenance_Part[[ID_Antenne]:[Colonne2]],6,FALSE),"")</f>
        <v>ZTE</v>
      </c>
    </row>
    <row r="478" spans="1:11" x14ac:dyDescent="0.3">
      <c r="A478" t="s">
        <v>1310</v>
      </c>
      <c r="B478" s="1">
        <v>45229.631249999999</v>
      </c>
      <c r="C478" s="2">
        <v>45229.631249999999</v>
      </c>
      <c r="D478" t="s">
        <v>1315</v>
      </c>
      <c r="E478">
        <v>81</v>
      </c>
      <c r="F478" t="s">
        <v>734</v>
      </c>
      <c r="G478" t="str">
        <f>IFERROR(VLOOKUP(Logs_Reseau_Part5[[#This Row],[Cell_ID]],Registre_Maintenance_Part[[ID_Antenne]:[Colonne2]],2,FALSE),"")</f>
        <v>Tshuapa</v>
      </c>
      <c r="H478">
        <f>IFERROR(VLOOKUP(Logs_Reseau_Part5[[#This Row],[Cell_ID]],Registre_Maintenance_Part[[ID_Antenne]:[Colonne2]],3,FALSE),"")</f>
        <v>-10.574821</v>
      </c>
      <c r="I478">
        <f>IFERROR(VLOOKUP(Logs_Reseau_Part5[[#This Row],[Cell_ID]],Registre_Maintenance_Part[[ID_Antenne]:[Colonne2]],4,FALSE),"")</f>
        <v>25.324966</v>
      </c>
      <c r="J478" t="str">
        <f>IFERROR(VLOOKUP(Logs_Reseau_Part5[[#This Row],[Cell_ID]],Registre_Maintenance_Part[[ID_Antenne]:[Colonne2]],5,FALSE),"")</f>
        <v>5G</v>
      </c>
      <c r="K478" t="str">
        <f>IFERROR(VLOOKUP(Logs_Reseau_Part5[[#This Row],[Cell_ID]],Registre_Maintenance_Part[[ID_Antenne]:[Colonne2]],6,FALSE),"")</f>
        <v>Ericsson</v>
      </c>
    </row>
    <row r="479" spans="1:11" x14ac:dyDescent="0.3">
      <c r="A479" t="s">
        <v>1363</v>
      </c>
      <c r="B479" s="1">
        <v>45230.913194444453</v>
      </c>
      <c r="C479" s="2">
        <v>45230.913194444453</v>
      </c>
      <c r="D479" t="s">
        <v>1148</v>
      </c>
      <c r="E479">
        <v>62</v>
      </c>
      <c r="F479" t="s">
        <v>734</v>
      </c>
      <c r="G479" t="str">
        <f>IFERROR(VLOOKUP(Logs_Reseau_Part5[[#This Row],[Cell_ID]],Registre_Maintenance_Part[[ID_Antenne]:[Colonne2]],2,FALSE),"")</f>
        <v>Tshuapa</v>
      </c>
      <c r="H479">
        <f>IFERROR(VLOOKUP(Logs_Reseau_Part5[[#This Row],[Cell_ID]],Registre_Maintenance_Part[[ID_Antenne]:[Colonne2]],3,FALSE),"")</f>
        <v>-1.9540519999999999</v>
      </c>
      <c r="I479">
        <f>IFERROR(VLOOKUP(Logs_Reseau_Part5[[#This Row],[Cell_ID]],Registre_Maintenance_Part[[ID_Antenne]:[Colonne2]],4,FALSE),"")</f>
        <v>12.667945</v>
      </c>
      <c r="J479" t="str">
        <f>IFERROR(VLOOKUP(Logs_Reseau_Part5[[#This Row],[Cell_ID]],Registre_Maintenance_Part[[ID_Antenne]:[Colonne2]],5,FALSE),"")</f>
        <v>4G</v>
      </c>
      <c r="K479" t="str">
        <f>IFERROR(VLOOKUP(Logs_Reseau_Part5[[#This Row],[Cell_ID]],Registre_Maintenance_Part[[ID_Antenne]:[Colonne2]],6,FALSE),"")</f>
        <v>Huawei</v>
      </c>
    </row>
    <row r="480" spans="1:11" x14ac:dyDescent="0.3">
      <c r="A480" t="s">
        <v>1347</v>
      </c>
      <c r="B480" s="1">
        <v>45200.06527777778</v>
      </c>
      <c r="C480" s="2">
        <v>45200.06527777778</v>
      </c>
      <c r="D480" t="s">
        <v>923</v>
      </c>
      <c r="E480">
        <v>9</v>
      </c>
      <c r="F480" t="s">
        <v>734</v>
      </c>
      <c r="G480" t="str">
        <f>IFERROR(VLOOKUP(Logs_Reseau_Part5[[#This Row],[Cell_ID]],Registre_Maintenance_Part[[ID_Antenne]:[Colonne2]],2,FALSE),"")</f>
        <v/>
      </c>
      <c r="H480" t="str">
        <f>IFERROR(VLOOKUP(Logs_Reseau_Part5[[#This Row],[Cell_ID]],Registre_Maintenance_Part[[ID_Antenne]:[Colonne2]],3,FALSE),"")</f>
        <v/>
      </c>
      <c r="I480" t="str">
        <f>IFERROR(VLOOKUP(Logs_Reseau_Part5[[#This Row],[Cell_ID]],Registre_Maintenance_Part[[ID_Antenne]:[Colonne2]],4,FALSE),"")</f>
        <v/>
      </c>
      <c r="J480" t="str">
        <f>IFERROR(VLOOKUP(Logs_Reseau_Part5[[#This Row],[Cell_ID]],Registre_Maintenance_Part[[ID_Antenne]:[Colonne2]],5,FALSE),"")</f>
        <v/>
      </c>
      <c r="K480" t="str">
        <f>IFERROR(VLOOKUP(Logs_Reseau_Part5[[#This Row],[Cell_ID]],Registre_Maintenance_Part[[ID_Antenne]:[Colonne2]],6,FALSE),"")</f>
        <v/>
      </c>
    </row>
    <row r="481" spans="1:11" x14ac:dyDescent="0.3">
      <c r="A481" t="s">
        <v>904</v>
      </c>
      <c r="B481" s="1">
        <v>45200.093055555553</v>
      </c>
      <c r="C481" s="2">
        <v>45200.093055555553</v>
      </c>
      <c r="D481" t="s">
        <v>776</v>
      </c>
      <c r="E481">
        <v>63</v>
      </c>
      <c r="F481" t="s">
        <v>737</v>
      </c>
      <c r="G481" t="str">
        <f>IFERROR(VLOOKUP(Logs_Reseau_Part5[[#This Row],[Cell_ID]],Registre_Maintenance_Part[[ID_Antenne]:[Colonne2]],2,FALSE),"")</f>
        <v/>
      </c>
      <c r="H481" t="str">
        <f>IFERROR(VLOOKUP(Logs_Reseau_Part5[[#This Row],[Cell_ID]],Registre_Maintenance_Part[[ID_Antenne]:[Colonne2]],3,FALSE),"")</f>
        <v/>
      </c>
      <c r="I481" t="str">
        <f>IFERROR(VLOOKUP(Logs_Reseau_Part5[[#This Row],[Cell_ID]],Registre_Maintenance_Part[[ID_Antenne]:[Colonne2]],4,FALSE),"")</f>
        <v/>
      </c>
      <c r="J481" t="str">
        <f>IFERROR(VLOOKUP(Logs_Reseau_Part5[[#This Row],[Cell_ID]],Registre_Maintenance_Part[[ID_Antenne]:[Colonne2]],5,FALSE),"")</f>
        <v/>
      </c>
      <c r="K481" t="str">
        <f>IFERROR(VLOOKUP(Logs_Reseau_Part5[[#This Row],[Cell_ID]],Registre_Maintenance_Part[[ID_Antenne]:[Colonne2]],6,FALSE),"")</f>
        <v/>
      </c>
    </row>
    <row r="482" spans="1:11" x14ac:dyDescent="0.3">
      <c r="A482" t="s">
        <v>1001</v>
      </c>
      <c r="B482" s="1">
        <v>45200.115972222222</v>
      </c>
      <c r="C482" s="2">
        <v>45200.115972222222</v>
      </c>
      <c r="D482" t="s">
        <v>749</v>
      </c>
      <c r="E482">
        <v>111</v>
      </c>
      <c r="F482" t="s">
        <v>739</v>
      </c>
      <c r="G482" t="str">
        <f>IFERROR(VLOOKUP(Logs_Reseau_Part5[[#This Row],[Cell_ID]],Registre_Maintenance_Part[[ID_Antenne]:[Colonne2]],2,FALSE),"")</f>
        <v/>
      </c>
      <c r="H482" t="str">
        <f>IFERROR(VLOOKUP(Logs_Reseau_Part5[[#This Row],[Cell_ID]],Registre_Maintenance_Part[[ID_Antenne]:[Colonne2]],3,FALSE),"")</f>
        <v/>
      </c>
      <c r="I482" t="str">
        <f>IFERROR(VLOOKUP(Logs_Reseau_Part5[[#This Row],[Cell_ID]],Registre_Maintenance_Part[[ID_Antenne]:[Colonne2]],4,FALSE),"")</f>
        <v/>
      </c>
      <c r="J482" t="str">
        <f>IFERROR(VLOOKUP(Logs_Reseau_Part5[[#This Row],[Cell_ID]],Registre_Maintenance_Part[[ID_Antenne]:[Colonne2]],5,FALSE),"")</f>
        <v/>
      </c>
      <c r="K482" t="str">
        <f>IFERROR(VLOOKUP(Logs_Reseau_Part5[[#This Row],[Cell_ID]],Registre_Maintenance_Part[[ID_Antenne]:[Colonne2]],6,FALSE),"")</f>
        <v/>
      </c>
    </row>
    <row r="483" spans="1:11" x14ac:dyDescent="0.3">
      <c r="A483" t="s">
        <v>1001</v>
      </c>
      <c r="B483" s="1">
        <v>45200.220138888893</v>
      </c>
      <c r="C483" s="2">
        <v>45200.220138888893</v>
      </c>
      <c r="D483" t="s">
        <v>1010</v>
      </c>
      <c r="E483">
        <v>53</v>
      </c>
      <c r="F483" t="s">
        <v>737</v>
      </c>
      <c r="G483" t="str">
        <f>IFERROR(VLOOKUP(Logs_Reseau_Part5[[#This Row],[Cell_ID]],Registre_Maintenance_Part[[ID_Antenne]:[Colonne2]],2,FALSE),"")</f>
        <v/>
      </c>
      <c r="H483" t="str">
        <f>IFERROR(VLOOKUP(Logs_Reseau_Part5[[#This Row],[Cell_ID]],Registre_Maintenance_Part[[ID_Antenne]:[Colonne2]],3,FALSE),"")</f>
        <v/>
      </c>
      <c r="I483" t="str">
        <f>IFERROR(VLOOKUP(Logs_Reseau_Part5[[#This Row],[Cell_ID]],Registre_Maintenance_Part[[ID_Antenne]:[Colonne2]],4,FALSE),"")</f>
        <v/>
      </c>
      <c r="J483" t="str">
        <f>IFERROR(VLOOKUP(Logs_Reseau_Part5[[#This Row],[Cell_ID]],Registre_Maintenance_Part[[ID_Antenne]:[Colonne2]],5,FALSE),"")</f>
        <v/>
      </c>
      <c r="K483" t="str">
        <f>IFERROR(VLOOKUP(Logs_Reseau_Part5[[#This Row],[Cell_ID]],Registre_Maintenance_Part[[ID_Antenne]:[Colonne2]],6,FALSE),"")</f>
        <v/>
      </c>
    </row>
    <row r="484" spans="1:11" x14ac:dyDescent="0.3">
      <c r="A484" t="s">
        <v>1332</v>
      </c>
      <c r="B484" s="1">
        <v>45200.307638888888</v>
      </c>
      <c r="C484" s="2">
        <v>45200.307638888888</v>
      </c>
      <c r="D484" t="s">
        <v>752</v>
      </c>
      <c r="E484">
        <v>114</v>
      </c>
      <c r="F484" t="s">
        <v>737</v>
      </c>
      <c r="G484" t="str">
        <f>IFERROR(VLOOKUP(Logs_Reseau_Part5[[#This Row],[Cell_ID]],Registre_Maintenance_Part[[ID_Antenne]:[Colonne2]],2,FALSE),"")</f>
        <v/>
      </c>
      <c r="H484" t="str">
        <f>IFERROR(VLOOKUP(Logs_Reseau_Part5[[#This Row],[Cell_ID]],Registre_Maintenance_Part[[ID_Antenne]:[Colonne2]],3,FALSE),"")</f>
        <v/>
      </c>
      <c r="I484" t="str">
        <f>IFERROR(VLOOKUP(Logs_Reseau_Part5[[#This Row],[Cell_ID]],Registre_Maintenance_Part[[ID_Antenne]:[Colonne2]],4,FALSE),"")</f>
        <v/>
      </c>
      <c r="J484" t="str">
        <f>IFERROR(VLOOKUP(Logs_Reseau_Part5[[#This Row],[Cell_ID]],Registre_Maintenance_Part[[ID_Antenne]:[Colonne2]],5,FALSE),"")</f>
        <v/>
      </c>
      <c r="K484" t="str">
        <f>IFERROR(VLOOKUP(Logs_Reseau_Part5[[#This Row],[Cell_ID]],Registre_Maintenance_Part[[ID_Antenne]:[Colonne2]],6,FALSE),"")</f>
        <v/>
      </c>
    </row>
    <row r="485" spans="1:11" x14ac:dyDescent="0.3">
      <c r="A485" t="s">
        <v>1195</v>
      </c>
      <c r="B485" s="1">
        <v>45200.394444444442</v>
      </c>
      <c r="C485" s="2">
        <v>45200.394444444442</v>
      </c>
      <c r="D485" t="s">
        <v>1036</v>
      </c>
      <c r="E485">
        <v>115</v>
      </c>
      <c r="F485" t="s">
        <v>737</v>
      </c>
      <c r="G485" t="str">
        <f>IFERROR(VLOOKUP(Logs_Reseau_Part5[[#This Row],[Cell_ID]],Registre_Maintenance_Part[[ID_Antenne]:[Colonne2]],2,FALSE),"")</f>
        <v/>
      </c>
      <c r="H485" t="str">
        <f>IFERROR(VLOOKUP(Logs_Reseau_Part5[[#This Row],[Cell_ID]],Registre_Maintenance_Part[[ID_Antenne]:[Colonne2]],3,FALSE),"")</f>
        <v/>
      </c>
      <c r="I485" t="str">
        <f>IFERROR(VLOOKUP(Logs_Reseau_Part5[[#This Row],[Cell_ID]],Registre_Maintenance_Part[[ID_Antenne]:[Colonne2]],4,FALSE),"")</f>
        <v/>
      </c>
      <c r="J485" t="str">
        <f>IFERROR(VLOOKUP(Logs_Reseau_Part5[[#This Row],[Cell_ID]],Registre_Maintenance_Part[[ID_Antenne]:[Colonne2]],5,FALSE),"")</f>
        <v/>
      </c>
      <c r="K485" t="str">
        <f>IFERROR(VLOOKUP(Logs_Reseau_Part5[[#This Row],[Cell_ID]],Registre_Maintenance_Part[[ID_Antenne]:[Colonne2]],6,FALSE),"")</f>
        <v/>
      </c>
    </row>
    <row r="486" spans="1:11" x14ac:dyDescent="0.3">
      <c r="A486" t="s">
        <v>1310</v>
      </c>
      <c r="B486" s="1">
        <v>45200.427777777782</v>
      </c>
      <c r="C486" s="2">
        <v>45200.427777777782</v>
      </c>
      <c r="D486" t="s">
        <v>846</v>
      </c>
      <c r="E486">
        <v>16</v>
      </c>
      <c r="F486" t="s">
        <v>737</v>
      </c>
      <c r="G486" t="str">
        <f>IFERROR(VLOOKUP(Logs_Reseau_Part5[[#This Row],[Cell_ID]],Registre_Maintenance_Part[[ID_Antenne]:[Colonne2]],2,FALSE),"")</f>
        <v/>
      </c>
      <c r="H486" t="str">
        <f>IFERROR(VLOOKUP(Logs_Reseau_Part5[[#This Row],[Cell_ID]],Registre_Maintenance_Part[[ID_Antenne]:[Colonne2]],3,FALSE),"")</f>
        <v/>
      </c>
      <c r="I486" t="str">
        <f>IFERROR(VLOOKUP(Logs_Reseau_Part5[[#This Row],[Cell_ID]],Registre_Maintenance_Part[[ID_Antenne]:[Colonne2]],4,FALSE),"")</f>
        <v/>
      </c>
      <c r="J486" t="str">
        <f>IFERROR(VLOOKUP(Logs_Reseau_Part5[[#This Row],[Cell_ID]],Registre_Maintenance_Part[[ID_Antenne]:[Colonne2]],5,FALSE),"")</f>
        <v/>
      </c>
      <c r="K486" t="str">
        <f>IFERROR(VLOOKUP(Logs_Reseau_Part5[[#This Row],[Cell_ID]],Registre_Maintenance_Part[[ID_Antenne]:[Colonne2]],6,FALSE),"")</f>
        <v/>
      </c>
    </row>
    <row r="487" spans="1:11" x14ac:dyDescent="0.3">
      <c r="A487" t="s">
        <v>781</v>
      </c>
      <c r="B487" s="1">
        <v>45200.511111111111</v>
      </c>
      <c r="C487" s="2">
        <v>45200.511111111111</v>
      </c>
      <c r="D487" t="s">
        <v>800</v>
      </c>
      <c r="E487">
        <v>108</v>
      </c>
      <c r="F487" t="s">
        <v>739</v>
      </c>
      <c r="G487" t="str">
        <f>IFERROR(VLOOKUP(Logs_Reseau_Part5[[#This Row],[Cell_ID]],Registre_Maintenance_Part[[ID_Antenne]:[Colonne2]],2,FALSE),"")</f>
        <v/>
      </c>
      <c r="H487" t="str">
        <f>IFERROR(VLOOKUP(Logs_Reseau_Part5[[#This Row],[Cell_ID]],Registre_Maintenance_Part[[ID_Antenne]:[Colonne2]],3,FALSE),"")</f>
        <v/>
      </c>
      <c r="I487" t="str">
        <f>IFERROR(VLOOKUP(Logs_Reseau_Part5[[#This Row],[Cell_ID]],Registre_Maintenance_Part[[ID_Antenne]:[Colonne2]],4,FALSE),"")</f>
        <v/>
      </c>
      <c r="J487" t="str">
        <f>IFERROR(VLOOKUP(Logs_Reseau_Part5[[#This Row],[Cell_ID]],Registre_Maintenance_Part[[ID_Antenne]:[Colonne2]],5,FALSE),"")</f>
        <v/>
      </c>
      <c r="K487" t="str">
        <f>IFERROR(VLOOKUP(Logs_Reseau_Part5[[#This Row],[Cell_ID]],Registre_Maintenance_Part[[ID_Antenne]:[Colonne2]],6,FALSE),"")</f>
        <v/>
      </c>
    </row>
    <row r="488" spans="1:11" x14ac:dyDescent="0.3">
      <c r="A488" t="s">
        <v>1310</v>
      </c>
      <c r="B488" s="1">
        <v>45200.570138888892</v>
      </c>
      <c r="C488" s="2">
        <v>45200.570138888892</v>
      </c>
      <c r="D488" t="s">
        <v>1325</v>
      </c>
      <c r="E488">
        <v>53</v>
      </c>
      <c r="F488" t="s">
        <v>739</v>
      </c>
      <c r="G488" t="str">
        <f>IFERROR(VLOOKUP(Logs_Reseau_Part5[[#This Row],[Cell_ID]],Registre_Maintenance_Part[[ID_Antenne]:[Colonne2]],2,FALSE),"")</f>
        <v/>
      </c>
      <c r="H488" t="str">
        <f>IFERROR(VLOOKUP(Logs_Reseau_Part5[[#This Row],[Cell_ID]],Registre_Maintenance_Part[[ID_Antenne]:[Colonne2]],3,FALSE),"")</f>
        <v/>
      </c>
      <c r="I488" t="str">
        <f>IFERROR(VLOOKUP(Logs_Reseau_Part5[[#This Row],[Cell_ID]],Registre_Maintenance_Part[[ID_Antenne]:[Colonne2]],4,FALSE),"")</f>
        <v/>
      </c>
      <c r="J488" t="str">
        <f>IFERROR(VLOOKUP(Logs_Reseau_Part5[[#This Row],[Cell_ID]],Registre_Maintenance_Part[[ID_Antenne]:[Colonne2]],5,FALSE),"")</f>
        <v/>
      </c>
      <c r="K488" t="str">
        <f>IFERROR(VLOOKUP(Logs_Reseau_Part5[[#This Row],[Cell_ID]],Registre_Maintenance_Part[[ID_Antenne]:[Colonne2]],6,FALSE),"")</f>
        <v/>
      </c>
    </row>
    <row r="489" spans="1:11" x14ac:dyDescent="0.3">
      <c r="A489" t="s">
        <v>1347</v>
      </c>
      <c r="B489" s="1">
        <v>45200.595138888893</v>
      </c>
      <c r="C489" s="2">
        <v>45200.595138888893</v>
      </c>
      <c r="D489" t="s">
        <v>1247</v>
      </c>
      <c r="E489">
        <v>69</v>
      </c>
      <c r="F489" t="s">
        <v>739</v>
      </c>
      <c r="G489" t="str">
        <f>IFERROR(VLOOKUP(Logs_Reseau_Part5[[#This Row],[Cell_ID]],Registre_Maintenance_Part[[ID_Antenne]:[Colonne2]],2,FALSE),"")</f>
        <v/>
      </c>
      <c r="H489" t="str">
        <f>IFERROR(VLOOKUP(Logs_Reseau_Part5[[#This Row],[Cell_ID]],Registre_Maintenance_Part[[ID_Antenne]:[Colonne2]],3,FALSE),"")</f>
        <v/>
      </c>
      <c r="I489" t="str">
        <f>IFERROR(VLOOKUP(Logs_Reseau_Part5[[#This Row],[Cell_ID]],Registre_Maintenance_Part[[ID_Antenne]:[Colonne2]],4,FALSE),"")</f>
        <v/>
      </c>
      <c r="J489" t="str">
        <f>IFERROR(VLOOKUP(Logs_Reseau_Part5[[#This Row],[Cell_ID]],Registre_Maintenance_Part[[ID_Antenne]:[Colonne2]],5,FALSE),"")</f>
        <v/>
      </c>
      <c r="K489" t="str">
        <f>IFERROR(VLOOKUP(Logs_Reseau_Part5[[#This Row],[Cell_ID]],Registre_Maintenance_Part[[ID_Antenne]:[Colonne2]],6,FALSE),"")</f>
        <v/>
      </c>
    </row>
    <row r="490" spans="1:11" x14ac:dyDescent="0.3">
      <c r="A490" t="s">
        <v>1221</v>
      </c>
      <c r="B490" s="1">
        <v>45200.629166666673</v>
      </c>
      <c r="C490" s="2">
        <v>45200.629166666673</v>
      </c>
      <c r="D490" t="s">
        <v>1023</v>
      </c>
      <c r="E490">
        <v>73</v>
      </c>
      <c r="F490" t="s">
        <v>737</v>
      </c>
      <c r="G490" t="str">
        <f>IFERROR(VLOOKUP(Logs_Reseau_Part5[[#This Row],[Cell_ID]],Registre_Maintenance_Part[[ID_Antenne]:[Colonne2]],2,FALSE),"")</f>
        <v/>
      </c>
      <c r="H490" t="str">
        <f>IFERROR(VLOOKUP(Logs_Reseau_Part5[[#This Row],[Cell_ID]],Registre_Maintenance_Part[[ID_Antenne]:[Colonne2]],3,FALSE),"")</f>
        <v/>
      </c>
      <c r="I490" t="str">
        <f>IFERROR(VLOOKUP(Logs_Reseau_Part5[[#This Row],[Cell_ID]],Registre_Maintenance_Part[[ID_Antenne]:[Colonne2]],4,FALSE),"")</f>
        <v/>
      </c>
      <c r="J490" t="str">
        <f>IFERROR(VLOOKUP(Logs_Reseau_Part5[[#This Row],[Cell_ID]],Registre_Maintenance_Part[[ID_Antenne]:[Colonne2]],5,FALSE),"")</f>
        <v/>
      </c>
      <c r="K490" t="str">
        <f>IFERROR(VLOOKUP(Logs_Reseau_Part5[[#This Row],[Cell_ID]],Registre_Maintenance_Part[[ID_Antenne]:[Colonne2]],6,FALSE),"")</f>
        <v/>
      </c>
    </row>
    <row r="491" spans="1:11" x14ac:dyDescent="0.3">
      <c r="A491" t="s">
        <v>1406</v>
      </c>
      <c r="B491" s="1">
        <v>45200.836111111108</v>
      </c>
      <c r="C491" s="2">
        <v>45200.836111111108</v>
      </c>
      <c r="D491" t="s">
        <v>1000</v>
      </c>
      <c r="E491">
        <v>6</v>
      </c>
      <c r="F491" t="s">
        <v>734</v>
      </c>
      <c r="G491" t="str">
        <f>IFERROR(VLOOKUP(Logs_Reseau_Part5[[#This Row],[Cell_ID]],Registre_Maintenance_Part[[ID_Antenne]:[Colonne2]],2,FALSE),"")</f>
        <v/>
      </c>
      <c r="H491" t="str">
        <f>IFERROR(VLOOKUP(Logs_Reseau_Part5[[#This Row],[Cell_ID]],Registre_Maintenance_Part[[ID_Antenne]:[Colonne2]],3,FALSE),"")</f>
        <v/>
      </c>
      <c r="I491" t="str">
        <f>IFERROR(VLOOKUP(Logs_Reseau_Part5[[#This Row],[Cell_ID]],Registre_Maintenance_Part[[ID_Antenne]:[Colonne2]],4,FALSE),"")</f>
        <v/>
      </c>
      <c r="J491" t="str">
        <f>IFERROR(VLOOKUP(Logs_Reseau_Part5[[#This Row],[Cell_ID]],Registre_Maintenance_Part[[ID_Antenne]:[Colonne2]],5,FALSE),"")</f>
        <v/>
      </c>
      <c r="K491" t="str">
        <f>IFERROR(VLOOKUP(Logs_Reseau_Part5[[#This Row],[Cell_ID]],Registre_Maintenance_Part[[ID_Antenne]:[Colonne2]],6,FALSE),"")</f>
        <v/>
      </c>
    </row>
    <row r="492" spans="1:11" x14ac:dyDescent="0.3">
      <c r="A492" t="s">
        <v>1243</v>
      </c>
      <c r="B492" s="1">
        <v>45200.931250000001</v>
      </c>
      <c r="C492" s="2">
        <v>45200.931250000001</v>
      </c>
      <c r="D492" t="s">
        <v>1041</v>
      </c>
      <c r="E492">
        <v>22</v>
      </c>
      <c r="F492" t="s">
        <v>734</v>
      </c>
      <c r="G492" t="str">
        <f>IFERROR(VLOOKUP(Logs_Reseau_Part5[[#This Row],[Cell_ID]],Registre_Maintenance_Part[[ID_Antenne]:[Colonne2]],2,FALSE),"")</f>
        <v/>
      </c>
      <c r="H492" t="str">
        <f>IFERROR(VLOOKUP(Logs_Reseau_Part5[[#This Row],[Cell_ID]],Registre_Maintenance_Part[[ID_Antenne]:[Colonne2]],3,FALSE),"")</f>
        <v/>
      </c>
      <c r="I492" t="str">
        <f>IFERROR(VLOOKUP(Logs_Reseau_Part5[[#This Row],[Cell_ID]],Registre_Maintenance_Part[[ID_Antenne]:[Colonne2]],4,FALSE),"")</f>
        <v/>
      </c>
      <c r="J492" t="str">
        <f>IFERROR(VLOOKUP(Logs_Reseau_Part5[[#This Row],[Cell_ID]],Registre_Maintenance_Part[[ID_Antenne]:[Colonne2]],5,FALSE),"")</f>
        <v/>
      </c>
      <c r="K492" t="str">
        <f>IFERROR(VLOOKUP(Logs_Reseau_Part5[[#This Row],[Cell_ID]],Registre_Maintenance_Part[[ID_Antenne]:[Colonne2]],6,FALSE),"")</f>
        <v/>
      </c>
    </row>
    <row r="493" spans="1:11" x14ac:dyDescent="0.3">
      <c r="A493" t="s">
        <v>863</v>
      </c>
      <c r="B493" s="1">
        <v>45200.981944444437</v>
      </c>
      <c r="C493" s="2">
        <v>45200.981944444437</v>
      </c>
      <c r="D493" t="s">
        <v>768</v>
      </c>
      <c r="E493">
        <v>98</v>
      </c>
      <c r="F493" t="s">
        <v>734</v>
      </c>
      <c r="G493" t="str">
        <f>IFERROR(VLOOKUP(Logs_Reseau_Part5[[#This Row],[Cell_ID]],Registre_Maintenance_Part[[ID_Antenne]:[Colonne2]],2,FALSE),"")</f>
        <v/>
      </c>
      <c r="H493" t="str">
        <f>IFERROR(VLOOKUP(Logs_Reseau_Part5[[#This Row],[Cell_ID]],Registre_Maintenance_Part[[ID_Antenne]:[Colonne2]],3,FALSE),"")</f>
        <v/>
      </c>
      <c r="I493" t="str">
        <f>IFERROR(VLOOKUP(Logs_Reseau_Part5[[#This Row],[Cell_ID]],Registre_Maintenance_Part[[ID_Antenne]:[Colonne2]],4,FALSE),"")</f>
        <v/>
      </c>
      <c r="J493" t="str">
        <f>IFERROR(VLOOKUP(Logs_Reseau_Part5[[#This Row],[Cell_ID]],Registre_Maintenance_Part[[ID_Antenne]:[Colonne2]],5,FALSE),"")</f>
        <v/>
      </c>
      <c r="K493" t="str">
        <f>IFERROR(VLOOKUP(Logs_Reseau_Part5[[#This Row],[Cell_ID]],Registre_Maintenance_Part[[ID_Antenne]:[Colonne2]],6,FALSE),"")</f>
        <v/>
      </c>
    </row>
    <row r="494" spans="1:11" x14ac:dyDescent="0.3">
      <c r="A494" t="s">
        <v>1116</v>
      </c>
      <c r="B494" s="1">
        <v>45201.043055555558</v>
      </c>
      <c r="C494" s="2">
        <v>45201.043055555558</v>
      </c>
      <c r="D494" t="s">
        <v>1091</v>
      </c>
      <c r="E494">
        <v>45</v>
      </c>
      <c r="F494" t="s">
        <v>737</v>
      </c>
      <c r="G494" t="str">
        <f>IFERROR(VLOOKUP(Logs_Reseau_Part5[[#This Row],[Cell_ID]],Registre_Maintenance_Part[[ID_Antenne]:[Colonne2]],2,FALSE),"")</f>
        <v/>
      </c>
      <c r="H494" t="str">
        <f>IFERROR(VLOOKUP(Logs_Reseau_Part5[[#This Row],[Cell_ID]],Registre_Maintenance_Part[[ID_Antenne]:[Colonne2]],3,FALSE),"")</f>
        <v/>
      </c>
      <c r="I494" t="str">
        <f>IFERROR(VLOOKUP(Logs_Reseau_Part5[[#This Row],[Cell_ID]],Registre_Maintenance_Part[[ID_Antenne]:[Colonne2]],4,FALSE),"")</f>
        <v/>
      </c>
      <c r="J494" t="str">
        <f>IFERROR(VLOOKUP(Logs_Reseau_Part5[[#This Row],[Cell_ID]],Registre_Maintenance_Part[[ID_Antenne]:[Colonne2]],5,FALSE),"")</f>
        <v/>
      </c>
      <c r="K494" t="str">
        <f>IFERROR(VLOOKUP(Logs_Reseau_Part5[[#This Row],[Cell_ID]],Registre_Maintenance_Part[[ID_Antenne]:[Colonne2]],6,FALSE),"")</f>
        <v/>
      </c>
    </row>
    <row r="495" spans="1:11" x14ac:dyDescent="0.3">
      <c r="A495" t="s">
        <v>1243</v>
      </c>
      <c r="B495" s="1">
        <v>45201.04583333333</v>
      </c>
      <c r="C495" s="2">
        <v>45201.04583333333</v>
      </c>
      <c r="D495" t="s">
        <v>962</v>
      </c>
      <c r="E495">
        <v>83</v>
      </c>
      <c r="F495" t="s">
        <v>737</v>
      </c>
      <c r="G495" t="str">
        <f>IFERROR(VLOOKUP(Logs_Reseau_Part5[[#This Row],[Cell_ID]],Registre_Maintenance_Part[[ID_Antenne]:[Colonne2]],2,FALSE),"")</f>
        <v/>
      </c>
      <c r="H495" t="str">
        <f>IFERROR(VLOOKUP(Logs_Reseau_Part5[[#This Row],[Cell_ID]],Registre_Maintenance_Part[[ID_Antenne]:[Colonne2]],3,FALSE),"")</f>
        <v/>
      </c>
      <c r="I495" t="str">
        <f>IFERROR(VLOOKUP(Logs_Reseau_Part5[[#This Row],[Cell_ID]],Registre_Maintenance_Part[[ID_Antenne]:[Colonne2]],4,FALSE),"")</f>
        <v/>
      </c>
      <c r="J495" t="str">
        <f>IFERROR(VLOOKUP(Logs_Reseau_Part5[[#This Row],[Cell_ID]],Registre_Maintenance_Part[[ID_Antenne]:[Colonne2]],5,FALSE),"")</f>
        <v/>
      </c>
      <c r="K495" t="str">
        <f>IFERROR(VLOOKUP(Logs_Reseau_Part5[[#This Row],[Cell_ID]],Registre_Maintenance_Part[[ID_Antenne]:[Colonne2]],6,FALSE),"")</f>
        <v/>
      </c>
    </row>
    <row r="496" spans="1:11" x14ac:dyDescent="0.3">
      <c r="A496" t="s">
        <v>904</v>
      </c>
      <c r="B496" s="1">
        <v>45201.243055555547</v>
      </c>
      <c r="C496" s="2">
        <v>45201.243055555547</v>
      </c>
      <c r="D496" t="s">
        <v>933</v>
      </c>
      <c r="E496">
        <v>57</v>
      </c>
      <c r="F496" t="s">
        <v>739</v>
      </c>
      <c r="G496" t="str">
        <f>IFERROR(VLOOKUP(Logs_Reseau_Part5[[#This Row],[Cell_ID]],Registre_Maintenance_Part[[ID_Antenne]:[Colonne2]],2,FALSE),"")</f>
        <v/>
      </c>
      <c r="H496" t="str">
        <f>IFERROR(VLOOKUP(Logs_Reseau_Part5[[#This Row],[Cell_ID]],Registre_Maintenance_Part[[ID_Antenne]:[Colonne2]],3,FALSE),"")</f>
        <v/>
      </c>
      <c r="I496" t="str">
        <f>IFERROR(VLOOKUP(Logs_Reseau_Part5[[#This Row],[Cell_ID]],Registre_Maintenance_Part[[ID_Antenne]:[Colonne2]],4,FALSE),"")</f>
        <v/>
      </c>
      <c r="J496" t="str">
        <f>IFERROR(VLOOKUP(Logs_Reseau_Part5[[#This Row],[Cell_ID]],Registre_Maintenance_Part[[ID_Antenne]:[Colonne2]],5,FALSE),"")</f>
        <v/>
      </c>
      <c r="K496" t="str">
        <f>IFERROR(VLOOKUP(Logs_Reseau_Part5[[#This Row],[Cell_ID]],Registre_Maintenance_Part[[ID_Antenne]:[Colonne2]],6,FALSE),"")</f>
        <v/>
      </c>
    </row>
    <row r="497" spans="1:11" x14ac:dyDescent="0.3">
      <c r="A497" t="s">
        <v>1406</v>
      </c>
      <c r="B497" s="1">
        <v>45201.243055555547</v>
      </c>
      <c r="C497" s="2">
        <v>45201.243055555547</v>
      </c>
      <c r="D497" t="s">
        <v>1036</v>
      </c>
      <c r="E497">
        <v>73</v>
      </c>
      <c r="F497" t="s">
        <v>737</v>
      </c>
      <c r="G497" t="str">
        <f>IFERROR(VLOOKUP(Logs_Reseau_Part5[[#This Row],[Cell_ID]],Registre_Maintenance_Part[[ID_Antenne]:[Colonne2]],2,FALSE),"")</f>
        <v/>
      </c>
      <c r="H497" t="str">
        <f>IFERROR(VLOOKUP(Logs_Reseau_Part5[[#This Row],[Cell_ID]],Registre_Maintenance_Part[[ID_Antenne]:[Colonne2]],3,FALSE),"")</f>
        <v/>
      </c>
      <c r="I497" t="str">
        <f>IFERROR(VLOOKUP(Logs_Reseau_Part5[[#This Row],[Cell_ID]],Registre_Maintenance_Part[[ID_Antenne]:[Colonne2]],4,FALSE),"")</f>
        <v/>
      </c>
      <c r="J497" t="str">
        <f>IFERROR(VLOOKUP(Logs_Reseau_Part5[[#This Row],[Cell_ID]],Registre_Maintenance_Part[[ID_Antenne]:[Colonne2]],5,FALSE),"")</f>
        <v/>
      </c>
      <c r="K497" t="str">
        <f>IFERROR(VLOOKUP(Logs_Reseau_Part5[[#This Row],[Cell_ID]],Registre_Maintenance_Part[[ID_Antenne]:[Colonne2]],6,FALSE),"")</f>
        <v/>
      </c>
    </row>
    <row r="498" spans="1:11" x14ac:dyDescent="0.3">
      <c r="A498" t="s">
        <v>1061</v>
      </c>
      <c r="B498" s="1">
        <v>45201.30972222222</v>
      </c>
      <c r="C498" s="2">
        <v>45201.30972222222</v>
      </c>
      <c r="D498" t="s">
        <v>1062</v>
      </c>
      <c r="E498">
        <v>56</v>
      </c>
      <c r="F498" t="s">
        <v>739</v>
      </c>
      <c r="G498" t="str">
        <f>IFERROR(VLOOKUP(Logs_Reseau_Part5[[#This Row],[Cell_ID]],Registre_Maintenance_Part[[ID_Antenne]:[Colonne2]],2,FALSE),"")</f>
        <v/>
      </c>
      <c r="H498" t="str">
        <f>IFERROR(VLOOKUP(Logs_Reseau_Part5[[#This Row],[Cell_ID]],Registre_Maintenance_Part[[ID_Antenne]:[Colonne2]],3,FALSE),"")</f>
        <v/>
      </c>
      <c r="I498" t="str">
        <f>IFERROR(VLOOKUP(Logs_Reseau_Part5[[#This Row],[Cell_ID]],Registre_Maintenance_Part[[ID_Antenne]:[Colonne2]],4,FALSE),"")</f>
        <v/>
      </c>
      <c r="J498" t="str">
        <f>IFERROR(VLOOKUP(Logs_Reseau_Part5[[#This Row],[Cell_ID]],Registre_Maintenance_Part[[ID_Antenne]:[Colonne2]],5,FALSE),"")</f>
        <v/>
      </c>
      <c r="K498" t="str">
        <f>IFERROR(VLOOKUP(Logs_Reseau_Part5[[#This Row],[Cell_ID]],Registre_Maintenance_Part[[ID_Antenne]:[Colonne2]],6,FALSE),"")</f>
        <v/>
      </c>
    </row>
    <row r="499" spans="1:11" x14ac:dyDescent="0.3">
      <c r="A499" t="s">
        <v>825</v>
      </c>
      <c r="B499" s="1">
        <v>45201.3125</v>
      </c>
      <c r="C499" s="2">
        <v>45201.3125</v>
      </c>
      <c r="D499" t="s">
        <v>861</v>
      </c>
      <c r="E499">
        <v>90</v>
      </c>
      <c r="F499" t="s">
        <v>737</v>
      </c>
      <c r="G499" t="str">
        <f>IFERROR(VLOOKUP(Logs_Reseau_Part5[[#This Row],[Cell_ID]],Registre_Maintenance_Part[[ID_Antenne]:[Colonne2]],2,FALSE),"")</f>
        <v/>
      </c>
      <c r="H499" t="str">
        <f>IFERROR(VLOOKUP(Logs_Reseau_Part5[[#This Row],[Cell_ID]],Registre_Maintenance_Part[[ID_Antenne]:[Colonne2]],3,FALSE),"")</f>
        <v/>
      </c>
      <c r="I499" t="str">
        <f>IFERROR(VLOOKUP(Logs_Reseau_Part5[[#This Row],[Cell_ID]],Registre_Maintenance_Part[[ID_Antenne]:[Colonne2]],4,FALSE),"")</f>
        <v/>
      </c>
      <c r="J499" t="str">
        <f>IFERROR(VLOOKUP(Logs_Reseau_Part5[[#This Row],[Cell_ID]],Registre_Maintenance_Part[[ID_Antenne]:[Colonne2]],5,FALSE),"")</f>
        <v/>
      </c>
      <c r="K499" t="str">
        <f>IFERROR(VLOOKUP(Logs_Reseau_Part5[[#This Row],[Cell_ID]],Registre_Maintenance_Part[[ID_Antenne]:[Colonne2]],6,FALSE),"")</f>
        <v/>
      </c>
    </row>
    <row r="500" spans="1:11" x14ac:dyDescent="0.3">
      <c r="A500" t="s">
        <v>863</v>
      </c>
      <c r="B500" s="1">
        <v>45201.35</v>
      </c>
      <c r="C500" s="2">
        <v>45201.35</v>
      </c>
      <c r="D500" t="s">
        <v>872</v>
      </c>
      <c r="E500">
        <v>73</v>
      </c>
      <c r="F500" t="s">
        <v>734</v>
      </c>
      <c r="G500" t="str">
        <f>IFERROR(VLOOKUP(Logs_Reseau_Part5[[#This Row],[Cell_ID]],Registre_Maintenance_Part[[ID_Antenne]:[Colonne2]],2,FALSE),"")</f>
        <v/>
      </c>
      <c r="H500" t="str">
        <f>IFERROR(VLOOKUP(Logs_Reseau_Part5[[#This Row],[Cell_ID]],Registre_Maintenance_Part[[ID_Antenne]:[Colonne2]],3,FALSE),"")</f>
        <v/>
      </c>
      <c r="I500" t="str">
        <f>IFERROR(VLOOKUP(Logs_Reseau_Part5[[#This Row],[Cell_ID]],Registre_Maintenance_Part[[ID_Antenne]:[Colonne2]],4,FALSE),"")</f>
        <v/>
      </c>
      <c r="J500" t="str">
        <f>IFERROR(VLOOKUP(Logs_Reseau_Part5[[#This Row],[Cell_ID]],Registre_Maintenance_Part[[ID_Antenne]:[Colonne2]],5,FALSE),"")</f>
        <v/>
      </c>
      <c r="K500" t="str">
        <f>IFERROR(VLOOKUP(Logs_Reseau_Part5[[#This Row],[Cell_ID]],Registre_Maintenance_Part[[ID_Antenne]:[Colonne2]],6,FALSE),"")</f>
        <v/>
      </c>
    </row>
    <row r="501" spans="1:11" x14ac:dyDescent="0.3">
      <c r="A501" t="s">
        <v>980</v>
      </c>
      <c r="B501" s="1">
        <v>45201.427083333343</v>
      </c>
      <c r="C501" s="2">
        <v>45201.427083333343</v>
      </c>
      <c r="D501" t="s">
        <v>982</v>
      </c>
      <c r="E501">
        <v>98</v>
      </c>
      <c r="F501" t="s">
        <v>737</v>
      </c>
      <c r="G501" t="str">
        <f>IFERROR(VLOOKUP(Logs_Reseau_Part5[[#This Row],[Cell_ID]],Registre_Maintenance_Part[[ID_Antenne]:[Colonne2]],2,FALSE),"")</f>
        <v/>
      </c>
      <c r="H501" t="str">
        <f>IFERROR(VLOOKUP(Logs_Reseau_Part5[[#This Row],[Cell_ID]],Registre_Maintenance_Part[[ID_Antenne]:[Colonne2]],3,FALSE),"")</f>
        <v/>
      </c>
      <c r="I501" t="str">
        <f>IFERROR(VLOOKUP(Logs_Reseau_Part5[[#This Row],[Cell_ID]],Registre_Maintenance_Part[[ID_Antenne]:[Colonne2]],4,FALSE),"")</f>
        <v/>
      </c>
      <c r="J501" t="str">
        <f>IFERROR(VLOOKUP(Logs_Reseau_Part5[[#This Row],[Cell_ID]],Registre_Maintenance_Part[[ID_Antenne]:[Colonne2]],5,FALSE),"")</f>
        <v/>
      </c>
      <c r="K501" t="str">
        <f>IFERROR(VLOOKUP(Logs_Reseau_Part5[[#This Row],[Cell_ID]],Registre_Maintenance_Part[[ID_Antenne]:[Colonne2]],6,FALSE),"")</f>
        <v/>
      </c>
    </row>
    <row r="502" spans="1:11" x14ac:dyDescent="0.3">
      <c r="A502" t="s">
        <v>1061</v>
      </c>
      <c r="B502" s="1">
        <v>45201.457638888889</v>
      </c>
      <c r="C502" s="2">
        <v>45201.457638888889</v>
      </c>
      <c r="D502" t="s">
        <v>1083</v>
      </c>
      <c r="E502">
        <v>42</v>
      </c>
      <c r="F502" t="s">
        <v>739</v>
      </c>
      <c r="G502" t="str">
        <f>IFERROR(VLOOKUP(Logs_Reseau_Part5[[#This Row],[Cell_ID]],Registre_Maintenance_Part[[ID_Antenne]:[Colonne2]],2,FALSE),"")</f>
        <v/>
      </c>
      <c r="H502" t="str">
        <f>IFERROR(VLOOKUP(Logs_Reseau_Part5[[#This Row],[Cell_ID]],Registre_Maintenance_Part[[ID_Antenne]:[Colonne2]],3,FALSE),"")</f>
        <v/>
      </c>
      <c r="I502" t="str">
        <f>IFERROR(VLOOKUP(Logs_Reseau_Part5[[#This Row],[Cell_ID]],Registre_Maintenance_Part[[ID_Antenne]:[Colonne2]],4,FALSE),"")</f>
        <v/>
      </c>
      <c r="J502" t="str">
        <f>IFERROR(VLOOKUP(Logs_Reseau_Part5[[#This Row],[Cell_ID]],Registre_Maintenance_Part[[ID_Antenne]:[Colonne2]],5,FALSE),"")</f>
        <v/>
      </c>
      <c r="K502" t="str">
        <f>IFERROR(VLOOKUP(Logs_Reseau_Part5[[#This Row],[Cell_ID]],Registre_Maintenance_Part[[ID_Antenne]:[Colonne2]],6,FALSE),"")</f>
        <v/>
      </c>
    </row>
    <row r="503" spans="1:11" x14ac:dyDescent="0.3">
      <c r="A503" t="s">
        <v>980</v>
      </c>
      <c r="B503" s="1">
        <v>45201.511805555558</v>
      </c>
      <c r="C503" s="2">
        <v>45201.511805555558</v>
      </c>
      <c r="D503" t="s">
        <v>858</v>
      </c>
      <c r="E503">
        <v>62</v>
      </c>
      <c r="F503" t="s">
        <v>737</v>
      </c>
      <c r="G503" t="str">
        <f>IFERROR(VLOOKUP(Logs_Reseau_Part5[[#This Row],[Cell_ID]],Registre_Maintenance_Part[[ID_Antenne]:[Colonne2]],2,FALSE),"")</f>
        <v/>
      </c>
      <c r="H503" t="str">
        <f>IFERROR(VLOOKUP(Logs_Reseau_Part5[[#This Row],[Cell_ID]],Registre_Maintenance_Part[[ID_Antenne]:[Colonne2]],3,FALSE),"")</f>
        <v/>
      </c>
      <c r="I503" t="str">
        <f>IFERROR(VLOOKUP(Logs_Reseau_Part5[[#This Row],[Cell_ID]],Registre_Maintenance_Part[[ID_Antenne]:[Colonne2]],4,FALSE),"")</f>
        <v/>
      </c>
      <c r="J503" t="str">
        <f>IFERROR(VLOOKUP(Logs_Reseau_Part5[[#This Row],[Cell_ID]],Registre_Maintenance_Part[[ID_Antenne]:[Colonne2]],5,FALSE),"")</f>
        <v/>
      </c>
      <c r="K503" t="str">
        <f>IFERROR(VLOOKUP(Logs_Reseau_Part5[[#This Row],[Cell_ID]],Registre_Maintenance_Part[[ID_Antenne]:[Colonne2]],6,FALSE),"")</f>
        <v/>
      </c>
    </row>
    <row r="504" spans="1:11" x14ac:dyDescent="0.3">
      <c r="A504" t="s">
        <v>1310</v>
      </c>
      <c r="B504" s="1">
        <v>45201.519444444442</v>
      </c>
      <c r="C504" s="2">
        <v>45201.519444444442</v>
      </c>
      <c r="D504" t="s">
        <v>851</v>
      </c>
      <c r="E504">
        <v>113</v>
      </c>
      <c r="F504" t="s">
        <v>739</v>
      </c>
      <c r="G504" t="str">
        <f>IFERROR(VLOOKUP(Logs_Reseau_Part5[[#This Row],[Cell_ID]],Registre_Maintenance_Part[[ID_Antenne]:[Colonne2]],2,FALSE),"")</f>
        <v/>
      </c>
      <c r="H504" t="str">
        <f>IFERROR(VLOOKUP(Logs_Reseau_Part5[[#This Row],[Cell_ID]],Registre_Maintenance_Part[[ID_Antenne]:[Colonne2]],3,FALSE),"")</f>
        <v/>
      </c>
      <c r="I504" t="str">
        <f>IFERROR(VLOOKUP(Logs_Reseau_Part5[[#This Row],[Cell_ID]],Registre_Maintenance_Part[[ID_Antenne]:[Colonne2]],4,FALSE),"")</f>
        <v/>
      </c>
      <c r="J504" t="str">
        <f>IFERROR(VLOOKUP(Logs_Reseau_Part5[[#This Row],[Cell_ID]],Registre_Maintenance_Part[[ID_Antenne]:[Colonne2]],5,FALSE),"")</f>
        <v/>
      </c>
      <c r="K504" t="str">
        <f>IFERROR(VLOOKUP(Logs_Reseau_Part5[[#This Row],[Cell_ID]],Registre_Maintenance_Part[[ID_Antenne]:[Colonne2]],6,FALSE),"")</f>
        <v/>
      </c>
    </row>
    <row r="505" spans="1:11" x14ac:dyDescent="0.3">
      <c r="A505" t="s">
        <v>1290</v>
      </c>
      <c r="B505" s="1">
        <v>45201.585416666669</v>
      </c>
      <c r="C505" s="2">
        <v>45201.585416666669</v>
      </c>
      <c r="D505" t="s">
        <v>1298</v>
      </c>
      <c r="E505">
        <v>17</v>
      </c>
      <c r="F505" t="s">
        <v>739</v>
      </c>
      <c r="G505" t="str">
        <f>IFERROR(VLOOKUP(Logs_Reseau_Part5[[#This Row],[Cell_ID]],Registre_Maintenance_Part[[ID_Antenne]:[Colonne2]],2,FALSE),"")</f>
        <v/>
      </c>
      <c r="H505" t="str">
        <f>IFERROR(VLOOKUP(Logs_Reseau_Part5[[#This Row],[Cell_ID]],Registre_Maintenance_Part[[ID_Antenne]:[Colonne2]],3,FALSE),"")</f>
        <v/>
      </c>
      <c r="I505" t="str">
        <f>IFERROR(VLOOKUP(Logs_Reseau_Part5[[#This Row],[Cell_ID]],Registre_Maintenance_Part[[ID_Antenne]:[Colonne2]],4,FALSE),"")</f>
        <v/>
      </c>
      <c r="J505" t="str">
        <f>IFERROR(VLOOKUP(Logs_Reseau_Part5[[#This Row],[Cell_ID]],Registre_Maintenance_Part[[ID_Antenne]:[Colonne2]],5,FALSE),"")</f>
        <v/>
      </c>
      <c r="K505" t="str">
        <f>IFERROR(VLOOKUP(Logs_Reseau_Part5[[#This Row],[Cell_ID]],Registre_Maintenance_Part[[ID_Antenne]:[Colonne2]],6,FALSE),"")</f>
        <v/>
      </c>
    </row>
    <row r="506" spans="1:11" x14ac:dyDescent="0.3">
      <c r="A506" t="s">
        <v>1026</v>
      </c>
      <c r="B506" s="1">
        <v>45201.623611111107</v>
      </c>
      <c r="C506" s="2">
        <v>45201.623611111107</v>
      </c>
      <c r="D506" t="s">
        <v>1032</v>
      </c>
      <c r="E506">
        <v>9</v>
      </c>
      <c r="F506" t="s">
        <v>734</v>
      </c>
      <c r="G506" t="str">
        <f>IFERROR(VLOOKUP(Logs_Reseau_Part5[[#This Row],[Cell_ID]],Registre_Maintenance_Part[[ID_Antenne]:[Colonne2]],2,FALSE),"")</f>
        <v/>
      </c>
      <c r="H506" t="str">
        <f>IFERROR(VLOOKUP(Logs_Reseau_Part5[[#This Row],[Cell_ID]],Registre_Maintenance_Part[[ID_Antenne]:[Colonne2]],3,FALSE),"")</f>
        <v/>
      </c>
      <c r="I506" t="str">
        <f>IFERROR(VLOOKUP(Logs_Reseau_Part5[[#This Row],[Cell_ID]],Registre_Maintenance_Part[[ID_Antenne]:[Colonne2]],4,FALSE),"")</f>
        <v/>
      </c>
      <c r="J506" t="str">
        <f>IFERROR(VLOOKUP(Logs_Reseau_Part5[[#This Row],[Cell_ID]],Registre_Maintenance_Part[[ID_Antenne]:[Colonne2]],5,FALSE),"")</f>
        <v/>
      </c>
      <c r="K506" t="str">
        <f>IFERROR(VLOOKUP(Logs_Reseau_Part5[[#This Row],[Cell_ID]],Registre_Maintenance_Part[[ID_Antenne]:[Colonne2]],6,FALSE),"")</f>
        <v/>
      </c>
    </row>
    <row r="507" spans="1:11" x14ac:dyDescent="0.3">
      <c r="A507" t="s">
        <v>1263</v>
      </c>
      <c r="B507" s="1">
        <v>45201.640972222223</v>
      </c>
      <c r="C507" s="2">
        <v>45201.640972222223</v>
      </c>
      <c r="D507" t="s">
        <v>785</v>
      </c>
      <c r="E507">
        <v>86</v>
      </c>
      <c r="F507" t="s">
        <v>739</v>
      </c>
      <c r="G507" t="str">
        <f>IFERROR(VLOOKUP(Logs_Reseau_Part5[[#This Row],[Cell_ID]],Registre_Maintenance_Part[[ID_Antenne]:[Colonne2]],2,FALSE),"")</f>
        <v/>
      </c>
      <c r="H507" t="str">
        <f>IFERROR(VLOOKUP(Logs_Reseau_Part5[[#This Row],[Cell_ID]],Registre_Maintenance_Part[[ID_Antenne]:[Colonne2]],3,FALSE),"")</f>
        <v/>
      </c>
      <c r="I507" t="str">
        <f>IFERROR(VLOOKUP(Logs_Reseau_Part5[[#This Row],[Cell_ID]],Registre_Maintenance_Part[[ID_Antenne]:[Colonne2]],4,FALSE),"")</f>
        <v/>
      </c>
      <c r="J507" t="str">
        <f>IFERROR(VLOOKUP(Logs_Reseau_Part5[[#This Row],[Cell_ID]],Registre_Maintenance_Part[[ID_Antenne]:[Colonne2]],5,FALSE),"")</f>
        <v/>
      </c>
      <c r="K507" t="str">
        <f>IFERROR(VLOOKUP(Logs_Reseau_Part5[[#This Row],[Cell_ID]],Registre_Maintenance_Part[[ID_Antenne]:[Colonne2]],6,FALSE),"")</f>
        <v/>
      </c>
    </row>
    <row r="508" spans="1:11" x14ac:dyDescent="0.3">
      <c r="A508" t="s">
        <v>781</v>
      </c>
      <c r="B508" s="1">
        <v>45201.670138888891</v>
      </c>
      <c r="C508" s="2">
        <v>45201.670138888891</v>
      </c>
      <c r="D508" t="s">
        <v>809</v>
      </c>
      <c r="E508">
        <v>22</v>
      </c>
      <c r="F508" t="s">
        <v>739</v>
      </c>
      <c r="G508" t="str">
        <f>IFERROR(VLOOKUP(Logs_Reseau_Part5[[#This Row],[Cell_ID]],Registre_Maintenance_Part[[ID_Antenne]:[Colonne2]],2,FALSE),"")</f>
        <v/>
      </c>
      <c r="H508" t="str">
        <f>IFERROR(VLOOKUP(Logs_Reseau_Part5[[#This Row],[Cell_ID]],Registre_Maintenance_Part[[ID_Antenne]:[Colonne2]],3,FALSE),"")</f>
        <v/>
      </c>
      <c r="I508" t="str">
        <f>IFERROR(VLOOKUP(Logs_Reseau_Part5[[#This Row],[Cell_ID]],Registre_Maintenance_Part[[ID_Antenne]:[Colonne2]],4,FALSE),"")</f>
        <v/>
      </c>
      <c r="J508" t="str">
        <f>IFERROR(VLOOKUP(Logs_Reseau_Part5[[#This Row],[Cell_ID]],Registre_Maintenance_Part[[ID_Antenne]:[Colonne2]],5,FALSE),"")</f>
        <v/>
      </c>
      <c r="K508" t="str">
        <f>IFERROR(VLOOKUP(Logs_Reseau_Part5[[#This Row],[Cell_ID]],Registre_Maintenance_Part[[ID_Antenne]:[Colonne2]],6,FALSE),"")</f>
        <v/>
      </c>
    </row>
    <row r="509" spans="1:11" x14ac:dyDescent="0.3">
      <c r="A509" t="s">
        <v>781</v>
      </c>
      <c r="B509" s="1">
        <v>45201.770833333343</v>
      </c>
      <c r="C509" s="2">
        <v>45201.770833333343</v>
      </c>
      <c r="D509" t="s">
        <v>770</v>
      </c>
      <c r="E509">
        <v>18</v>
      </c>
      <c r="F509" t="s">
        <v>739</v>
      </c>
      <c r="G509" t="str">
        <f>IFERROR(VLOOKUP(Logs_Reseau_Part5[[#This Row],[Cell_ID]],Registre_Maintenance_Part[[ID_Antenne]:[Colonne2]],2,FALSE),"")</f>
        <v/>
      </c>
      <c r="H509" t="str">
        <f>IFERROR(VLOOKUP(Logs_Reseau_Part5[[#This Row],[Cell_ID]],Registre_Maintenance_Part[[ID_Antenne]:[Colonne2]],3,FALSE),"")</f>
        <v/>
      </c>
      <c r="I509" t="str">
        <f>IFERROR(VLOOKUP(Logs_Reseau_Part5[[#This Row],[Cell_ID]],Registre_Maintenance_Part[[ID_Antenne]:[Colonne2]],4,FALSE),"")</f>
        <v/>
      </c>
      <c r="J509" t="str">
        <f>IFERROR(VLOOKUP(Logs_Reseau_Part5[[#This Row],[Cell_ID]],Registre_Maintenance_Part[[ID_Antenne]:[Colonne2]],5,FALSE),"")</f>
        <v/>
      </c>
      <c r="K509" t="str">
        <f>IFERROR(VLOOKUP(Logs_Reseau_Part5[[#This Row],[Cell_ID]],Registre_Maintenance_Part[[ID_Antenne]:[Colonne2]],6,FALSE),"")</f>
        <v/>
      </c>
    </row>
    <row r="510" spans="1:11" x14ac:dyDescent="0.3">
      <c r="A510" t="s">
        <v>1116</v>
      </c>
      <c r="B510" s="1">
        <v>45201.780555555553</v>
      </c>
      <c r="C510" s="2">
        <v>45201.780555555553</v>
      </c>
      <c r="D510" t="s">
        <v>1129</v>
      </c>
      <c r="E510">
        <v>15</v>
      </c>
      <c r="F510" t="s">
        <v>734</v>
      </c>
      <c r="G510" t="str">
        <f>IFERROR(VLOOKUP(Logs_Reseau_Part5[[#This Row],[Cell_ID]],Registre_Maintenance_Part[[ID_Antenne]:[Colonne2]],2,FALSE),"")</f>
        <v/>
      </c>
      <c r="H510" t="str">
        <f>IFERROR(VLOOKUP(Logs_Reseau_Part5[[#This Row],[Cell_ID]],Registre_Maintenance_Part[[ID_Antenne]:[Colonne2]],3,FALSE),"")</f>
        <v/>
      </c>
      <c r="I510" t="str">
        <f>IFERROR(VLOOKUP(Logs_Reseau_Part5[[#This Row],[Cell_ID]],Registre_Maintenance_Part[[ID_Antenne]:[Colonne2]],4,FALSE),"")</f>
        <v/>
      </c>
      <c r="J510" t="str">
        <f>IFERROR(VLOOKUP(Logs_Reseau_Part5[[#This Row],[Cell_ID]],Registre_Maintenance_Part[[ID_Antenne]:[Colonne2]],5,FALSE),"")</f>
        <v/>
      </c>
      <c r="K510" t="str">
        <f>IFERROR(VLOOKUP(Logs_Reseau_Part5[[#This Row],[Cell_ID]],Registre_Maintenance_Part[[ID_Antenne]:[Colonne2]],6,FALSE),"")</f>
        <v/>
      </c>
    </row>
    <row r="511" spans="1:11" x14ac:dyDescent="0.3">
      <c r="A511" t="s">
        <v>781</v>
      </c>
      <c r="B511" s="1">
        <v>45201.856944444437</v>
      </c>
      <c r="C511" s="2">
        <v>45201.856944444437</v>
      </c>
      <c r="D511" t="s">
        <v>795</v>
      </c>
      <c r="E511">
        <v>61</v>
      </c>
      <c r="F511" t="s">
        <v>734</v>
      </c>
      <c r="G511" t="str">
        <f>IFERROR(VLOOKUP(Logs_Reseau_Part5[[#This Row],[Cell_ID]],Registre_Maintenance_Part[[ID_Antenne]:[Colonne2]],2,FALSE),"")</f>
        <v/>
      </c>
      <c r="H511" t="str">
        <f>IFERROR(VLOOKUP(Logs_Reseau_Part5[[#This Row],[Cell_ID]],Registre_Maintenance_Part[[ID_Antenne]:[Colonne2]],3,FALSE),"")</f>
        <v/>
      </c>
      <c r="I511" t="str">
        <f>IFERROR(VLOOKUP(Logs_Reseau_Part5[[#This Row],[Cell_ID]],Registre_Maintenance_Part[[ID_Antenne]:[Colonne2]],4,FALSE),"")</f>
        <v/>
      </c>
      <c r="J511" t="str">
        <f>IFERROR(VLOOKUP(Logs_Reseau_Part5[[#This Row],[Cell_ID]],Registre_Maintenance_Part[[ID_Antenne]:[Colonne2]],5,FALSE),"")</f>
        <v/>
      </c>
      <c r="K511" t="str">
        <f>IFERROR(VLOOKUP(Logs_Reseau_Part5[[#This Row],[Cell_ID]],Registre_Maintenance_Part[[ID_Antenne]:[Colonne2]],6,FALSE),"")</f>
        <v/>
      </c>
    </row>
    <row r="512" spans="1:11" x14ac:dyDescent="0.3">
      <c r="A512" t="s">
        <v>1347</v>
      </c>
      <c r="B512" s="1">
        <v>45201.859027777777</v>
      </c>
      <c r="C512" s="2">
        <v>45201.859027777777</v>
      </c>
      <c r="D512" t="s">
        <v>1350</v>
      </c>
      <c r="E512">
        <v>26</v>
      </c>
      <c r="F512" t="s">
        <v>737</v>
      </c>
      <c r="G512" t="str">
        <f>IFERROR(VLOOKUP(Logs_Reseau_Part5[[#This Row],[Cell_ID]],Registre_Maintenance_Part[[ID_Antenne]:[Colonne2]],2,FALSE),"")</f>
        <v/>
      </c>
      <c r="H512" t="str">
        <f>IFERROR(VLOOKUP(Logs_Reseau_Part5[[#This Row],[Cell_ID]],Registre_Maintenance_Part[[ID_Antenne]:[Colonne2]],3,FALSE),"")</f>
        <v/>
      </c>
      <c r="I512" t="str">
        <f>IFERROR(VLOOKUP(Logs_Reseau_Part5[[#This Row],[Cell_ID]],Registre_Maintenance_Part[[ID_Antenne]:[Colonne2]],4,FALSE),"")</f>
        <v/>
      </c>
      <c r="J512" t="str">
        <f>IFERROR(VLOOKUP(Logs_Reseau_Part5[[#This Row],[Cell_ID]],Registre_Maintenance_Part[[ID_Antenne]:[Colonne2]],5,FALSE),"")</f>
        <v/>
      </c>
      <c r="K512" t="str">
        <f>IFERROR(VLOOKUP(Logs_Reseau_Part5[[#This Row],[Cell_ID]],Registre_Maintenance_Part[[ID_Antenne]:[Colonne2]],6,FALSE),"")</f>
        <v/>
      </c>
    </row>
    <row r="513" spans="1:11" x14ac:dyDescent="0.3">
      <c r="A513" t="s">
        <v>1088</v>
      </c>
      <c r="B513" s="1">
        <v>45201.867361111108</v>
      </c>
      <c r="C513" s="2">
        <v>45201.867361111108</v>
      </c>
      <c r="D513" t="s">
        <v>1005</v>
      </c>
      <c r="E513">
        <v>18</v>
      </c>
      <c r="F513" t="s">
        <v>734</v>
      </c>
      <c r="G513" t="str">
        <f>IFERROR(VLOOKUP(Logs_Reseau_Part5[[#This Row],[Cell_ID]],Registre_Maintenance_Part[[ID_Antenne]:[Colonne2]],2,FALSE),"")</f>
        <v/>
      </c>
      <c r="H513" t="str">
        <f>IFERROR(VLOOKUP(Logs_Reseau_Part5[[#This Row],[Cell_ID]],Registre_Maintenance_Part[[ID_Antenne]:[Colonne2]],3,FALSE),"")</f>
        <v/>
      </c>
      <c r="I513" t="str">
        <f>IFERROR(VLOOKUP(Logs_Reseau_Part5[[#This Row],[Cell_ID]],Registre_Maintenance_Part[[ID_Antenne]:[Colonne2]],4,FALSE),"")</f>
        <v/>
      </c>
      <c r="J513" t="str">
        <f>IFERROR(VLOOKUP(Logs_Reseau_Part5[[#This Row],[Cell_ID]],Registre_Maintenance_Part[[ID_Antenne]:[Colonne2]],5,FALSE),"")</f>
        <v/>
      </c>
      <c r="K513" t="str">
        <f>IFERROR(VLOOKUP(Logs_Reseau_Part5[[#This Row],[Cell_ID]],Registre_Maintenance_Part[[ID_Antenne]:[Colonne2]],6,FALSE),"")</f>
        <v/>
      </c>
    </row>
    <row r="514" spans="1:11" x14ac:dyDescent="0.3">
      <c r="A514" t="s">
        <v>1406</v>
      </c>
      <c r="B514" s="1">
        <v>45201.95416666667</v>
      </c>
      <c r="C514" s="2">
        <v>45201.95416666667</v>
      </c>
      <c r="D514" t="s">
        <v>1411</v>
      </c>
      <c r="E514">
        <v>32</v>
      </c>
      <c r="F514" t="s">
        <v>737</v>
      </c>
      <c r="G514" t="str">
        <f>IFERROR(VLOOKUP(Logs_Reseau_Part5[[#This Row],[Cell_ID]],Registre_Maintenance_Part[[ID_Antenne]:[Colonne2]],2,FALSE),"")</f>
        <v/>
      </c>
      <c r="H514" t="str">
        <f>IFERROR(VLOOKUP(Logs_Reseau_Part5[[#This Row],[Cell_ID]],Registre_Maintenance_Part[[ID_Antenne]:[Colonne2]],3,FALSE),"")</f>
        <v/>
      </c>
      <c r="I514" t="str">
        <f>IFERROR(VLOOKUP(Logs_Reseau_Part5[[#This Row],[Cell_ID]],Registre_Maintenance_Part[[ID_Antenne]:[Colonne2]],4,FALSE),"")</f>
        <v/>
      </c>
      <c r="J514" t="str">
        <f>IFERROR(VLOOKUP(Logs_Reseau_Part5[[#This Row],[Cell_ID]],Registre_Maintenance_Part[[ID_Antenne]:[Colonne2]],5,FALSE),"")</f>
        <v/>
      </c>
      <c r="K514" t="str">
        <f>IFERROR(VLOOKUP(Logs_Reseau_Part5[[#This Row],[Cell_ID]],Registre_Maintenance_Part[[ID_Antenne]:[Colonne2]],6,FALSE),"")</f>
        <v/>
      </c>
    </row>
    <row r="515" spans="1:11" x14ac:dyDescent="0.3">
      <c r="A515" t="s">
        <v>1347</v>
      </c>
      <c r="B515" s="1">
        <v>45202.054861111108</v>
      </c>
      <c r="C515" s="2">
        <v>45202.054861111108</v>
      </c>
      <c r="D515" t="s">
        <v>1008</v>
      </c>
      <c r="E515">
        <v>11</v>
      </c>
      <c r="F515" t="s">
        <v>734</v>
      </c>
      <c r="G515" t="str">
        <f>IFERROR(VLOOKUP(Logs_Reseau_Part5[[#This Row],[Cell_ID]],Registre_Maintenance_Part[[ID_Antenne]:[Colonne2]],2,FALSE),"")</f>
        <v/>
      </c>
      <c r="H515" t="str">
        <f>IFERROR(VLOOKUP(Logs_Reseau_Part5[[#This Row],[Cell_ID]],Registre_Maintenance_Part[[ID_Antenne]:[Colonne2]],3,FALSE),"")</f>
        <v/>
      </c>
      <c r="I515" t="str">
        <f>IFERROR(VLOOKUP(Logs_Reseau_Part5[[#This Row],[Cell_ID]],Registre_Maintenance_Part[[ID_Antenne]:[Colonne2]],4,FALSE),"")</f>
        <v/>
      </c>
      <c r="J515" t="str">
        <f>IFERROR(VLOOKUP(Logs_Reseau_Part5[[#This Row],[Cell_ID]],Registre_Maintenance_Part[[ID_Antenne]:[Colonne2]],5,FALSE),"")</f>
        <v/>
      </c>
      <c r="K515" t="str">
        <f>IFERROR(VLOOKUP(Logs_Reseau_Part5[[#This Row],[Cell_ID]],Registre_Maintenance_Part[[ID_Antenne]:[Colonne2]],6,FALSE),"")</f>
        <v/>
      </c>
    </row>
    <row r="516" spans="1:11" x14ac:dyDescent="0.3">
      <c r="A516" t="s">
        <v>1195</v>
      </c>
      <c r="B516" s="1">
        <v>45202.095138888893</v>
      </c>
      <c r="C516" s="2">
        <v>45202.095138888893</v>
      </c>
      <c r="D516" t="s">
        <v>1206</v>
      </c>
      <c r="E516">
        <v>61</v>
      </c>
      <c r="F516" t="s">
        <v>737</v>
      </c>
      <c r="G516" t="str">
        <f>IFERROR(VLOOKUP(Logs_Reseau_Part5[[#This Row],[Cell_ID]],Registre_Maintenance_Part[[ID_Antenne]:[Colonne2]],2,FALSE),"")</f>
        <v/>
      </c>
      <c r="H516" t="str">
        <f>IFERROR(VLOOKUP(Logs_Reseau_Part5[[#This Row],[Cell_ID]],Registre_Maintenance_Part[[ID_Antenne]:[Colonne2]],3,FALSE),"")</f>
        <v/>
      </c>
      <c r="I516" t="str">
        <f>IFERROR(VLOOKUP(Logs_Reseau_Part5[[#This Row],[Cell_ID]],Registre_Maintenance_Part[[ID_Antenne]:[Colonne2]],4,FALSE),"")</f>
        <v/>
      </c>
      <c r="J516" t="str">
        <f>IFERROR(VLOOKUP(Logs_Reseau_Part5[[#This Row],[Cell_ID]],Registre_Maintenance_Part[[ID_Antenne]:[Colonne2]],5,FALSE),"")</f>
        <v/>
      </c>
      <c r="K516" t="str">
        <f>IFERROR(VLOOKUP(Logs_Reseau_Part5[[#This Row],[Cell_ID]],Registre_Maintenance_Part[[ID_Antenne]:[Colonne2]],6,FALSE),"")</f>
        <v/>
      </c>
    </row>
    <row r="517" spans="1:11" x14ac:dyDescent="0.3">
      <c r="A517" t="s">
        <v>1290</v>
      </c>
      <c r="B517" s="1">
        <v>45202.289583333331</v>
      </c>
      <c r="C517" s="2">
        <v>45202.289583333331</v>
      </c>
      <c r="D517" t="s">
        <v>872</v>
      </c>
      <c r="E517">
        <v>103</v>
      </c>
      <c r="F517" t="s">
        <v>737</v>
      </c>
      <c r="G517" t="str">
        <f>IFERROR(VLOOKUP(Logs_Reseau_Part5[[#This Row],[Cell_ID]],Registre_Maintenance_Part[[ID_Antenne]:[Colonne2]],2,FALSE),"")</f>
        <v/>
      </c>
      <c r="H517" t="str">
        <f>IFERROR(VLOOKUP(Logs_Reseau_Part5[[#This Row],[Cell_ID]],Registre_Maintenance_Part[[ID_Antenne]:[Colonne2]],3,FALSE),"")</f>
        <v/>
      </c>
      <c r="I517" t="str">
        <f>IFERROR(VLOOKUP(Logs_Reseau_Part5[[#This Row],[Cell_ID]],Registre_Maintenance_Part[[ID_Antenne]:[Colonne2]],4,FALSE),"")</f>
        <v/>
      </c>
      <c r="J517" t="str">
        <f>IFERROR(VLOOKUP(Logs_Reseau_Part5[[#This Row],[Cell_ID]],Registre_Maintenance_Part[[ID_Antenne]:[Colonne2]],5,FALSE),"")</f>
        <v/>
      </c>
      <c r="K517" t="str">
        <f>IFERROR(VLOOKUP(Logs_Reseau_Part5[[#This Row],[Cell_ID]],Registre_Maintenance_Part[[ID_Antenne]:[Colonne2]],6,FALSE),"")</f>
        <v/>
      </c>
    </row>
    <row r="518" spans="1:11" x14ac:dyDescent="0.3">
      <c r="A518" t="s">
        <v>941</v>
      </c>
      <c r="B518" s="1">
        <v>45202.319444444453</v>
      </c>
      <c r="C518" s="2">
        <v>45202.319444444453</v>
      </c>
      <c r="D518" t="s">
        <v>960</v>
      </c>
      <c r="E518">
        <v>115</v>
      </c>
      <c r="F518" t="s">
        <v>737</v>
      </c>
      <c r="G518" t="str">
        <f>IFERROR(VLOOKUP(Logs_Reseau_Part5[[#This Row],[Cell_ID]],Registre_Maintenance_Part[[ID_Antenne]:[Colonne2]],2,FALSE),"")</f>
        <v/>
      </c>
      <c r="H518" t="str">
        <f>IFERROR(VLOOKUP(Logs_Reseau_Part5[[#This Row],[Cell_ID]],Registre_Maintenance_Part[[ID_Antenne]:[Colonne2]],3,FALSE),"")</f>
        <v/>
      </c>
      <c r="I518" t="str">
        <f>IFERROR(VLOOKUP(Logs_Reseau_Part5[[#This Row],[Cell_ID]],Registre_Maintenance_Part[[ID_Antenne]:[Colonne2]],4,FALSE),"")</f>
        <v/>
      </c>
      <c r="J518" t="str">
        <f>IFERROR(VLOOKUP(Logs_Reseau_Part5[[#This Row],[Cell_ID]],Registre_Maintenance_Part[[ID_Antenne]:[Colonne2]],5,FALSE),"")</f>
        <v/>
      </c>
      <c r="K518" t="str">
        <f>IFERROR(VLOOKUP(Logs_Reseau_Part5[[#This Row],[Cell_ID]],Registre_Maintenance_Part[[ID_Antenne]:[Colonne2]],6,FALSE),"")</f>
        <v/>
      </c>
    </row>
    <row r="519" spans="1:11" x14ac:dyDescent="0.3">
      <c r="A519" t="s">
        <v>1290</v>
      </c>
      <c r="B519" s="1">
        <v>45202.35</v>
      </c>
      <c r="C519" s="2">
        <v>45202.35</v>
      </c>
      <c r="D519" t="s">
        <v>1304</v>
      </c>
      <c r="E519">
        <v>78</v>
      </c>
      <c r="F519" t="s">
        <v>734</v>
      </c>
      <c r="G519" t="str">
        <f>IFERROR(VLOOKUP(Logs_Reseau_Part5[[#This Row],[Cell_ID]],Registre_Maintenance_Part[[ID_Antenne]:[Colonne2]],2,FALSE),"")</f>
        <v/>
      </c>
      <c r="H519" t="str">
        <f>IFERROR(VLOOKUP(Logs_Reseau_Part5[[#This Row],[Cell_ID]],Registre_Maintenance_Part[[ID_Antenne]:[Colonne2]],3,FALSE),"")</f>
        <v/>
      </c>
      <c r="I519" t="str">
        <f>IFERROR(VLOOKUP(Logs_Reseau_Part5[[#This Row],[Cell_ID]],Registre_Maintenance_Part[[ID_Antenne]:[Colonne2]],4,FALSE),"")</f>
        <v/>
      </c>
      <c r="J519" t="str">
        <f>IFERROR(VLOOKUP(Logs_Reseau_Part5[[#This Row],[Cell_ID]],Registre_Maintenance_Part[[ID_Antenne]:[Colonne2]],5,FALSE),"")</f>
        <v/>
      </c>
      <c r="K519" t="str">
        <f>IFERROR(VLOOKUP(Logs_Reseau_Part5[[#This Row],[Cell_ID]],Registre_Maintenance_Part[[ID_Antenne]:[Colonne2]],6,FALSE),"")</f>
        <v/>
      </c>
    </row>
    <row r="520" spans="1:11" x14ac:dyDescent="0.3">
      <c r="A520" t="s">
        <v>1363</v>
      </c>
      <c r="B520" s="1">
        <v>45202.361805555563</v>
      </c>
      <c r="C520" s="2">
        <v>45202.361805555563</v>
      </c>
      <c r="D520" t="s">
        <v>1379</v>
      </c>
      <c r="E520">
        <v>15</v>
      </c>
      <c r="F520" t="s">
        <v>737</v>
      </c>
      <c r="G520" t="str">
        <f>IFERROR(VLOOKUP(Logs_Reseau_Part5[[#This Row],[Cell_ID]],Registre_Maintenance_Part[[ID_Antenne]:[Colonne2]],2,FALSE),"")</f>
        <v/>
      </c>
      <c r="H520" t="str">
        <f>IFERROR(VLOOKUP(Logs_Reseau_Part5[[#This Row],[Cell_ID]],Registre_Maintenance_Part[[ID_Antenne]:[Colonne2]],3,FALSE),"")</f>
        <v/>
      </c>
      <c r="I520" t="str">
        <f>IFERROR(VLOOKUP(Logs_Reseau_Part5[[#This Row],[Cell_ID]],Registre_Maintenance_Part[[ID_Antenne]:[Colonne2]],4,FALSE),"")</f>
        <v/>
      </c>
      <c r="J520" t="str">
        <f>IFERROR(VLOOKUP(Logs_Reseau_Part5[[#This Row],[Cell_ID]],Registre_Maintenance_Part[[ID_Antenne]:[Colonne2]],5,FALSE),"")</f>
        <v/>
      </c>
      <c r="K520" t="str">
        <f>IFERROR(VLOOKUP(Logs_Reseau_Part5[[#This Row],[Cell_ID]],Registre_Maintenance_Part[[ID_Antenne]:[Colonne2]],6,FALSE),"")</f>
        <v/>
      </c>
    </row>
    <row r="521" spans="1:11" x14ac:dyDescent="0.3">
      <c r="A521" t="s">
        <v>1026</v>
      </c>
      <c r="B521" s="1">
        <v>45202.42083333333</v>
      </c>
      <c r="C521" s="2">
        <v>45202.42083333333</v>
      </c>
      <c r="D521" t="s">
        <v>759</v>
      </c>
      <c r="E521">
        <v>84</v>
      </c>
      <c r="F521" t="s">
        <v>734</v>
      </c>
      <c r="G521" t="str">
        <f>IFERROR(VLOOKUP(Logs_Reseau_Part5[[#This Row],[Cell_ID]],Registre_Maintenance_Part[[ID_Antenne]:[Colonne2]],2,FALSE),"")</f>
        <v/>
      </c>
      <c r="H521" t="str">
        <f>IFERROR(VLOOKUP(Logs_Reseau_Part5[[#This Row],[Cell_ID]],Registre_Maintenance_Part[[ID_Antenne]:[Colonne2]],3,FALSE),"")</f>
        <v/>
      </c>
      <c r="I521" t="str">
        <f>IFERROR(VLOOKUP(Logs_Reseau_Part5[[#This Row],[Cell_ID]],Registre_Maintenance_Part[[ID_Antenne]:[Colonne2]],4,FALSE),"")</f>
        <v/>
      </c>
      <c r="J521" t="str">
        <f>IFERROR(VLOOKUP(Logs_Reseau_Part5[[#This Row],[Cell_ID]],Registre_Maintenance_Part[[ID_Antenne]:[Colonne2]],5,FALSE),"")</f>
        <v/>
      </c>
      <c r="K521" t="str">
        <f>IFERROR(VLOOKUP(Logs_Reseau_Part5[[#This Row],[Cell_ID]],Registre_Maintenance_Part[[ID_Antenne]:[Colonne2]],6,FALSE),"")</f>
        <v/>
      </c>
    </row>
    <row r="522" spans="1:11" x14ac:dyDescent="0.3">
      <c r="A522" t="s">
        <v>1195</v>
      </c>
      <c r="B522" s="1">
        <v>45202.443055555559</v>
      </c>
      <c r="C522" s="2">
        <v>45202.443055555559</v>
      </c>
      <c r="D522" t="s">
        <v>1112</v>
      </c>
      <c r="E522">
        <v>43</v>
      </c>
      <c r="F522" t="s">
        <v>734</v>
      </c>
      <c r="G522" t="str">
        <f>IFERROR(VLOOKUP(Logs_Reseau_Part5[[#This Row],[Cell_ID]],Registre_Maintenance_Part[[ID_Antenne]:[Colonne2]],2,FALSE),"")</f>
        <v/>
      </c>
      <c r="H522" t="str">
        <f>IFERROR(VLOOKUP(Logs_Reseau_Part5[[#This Row],[Cell_ID]],Registre_Maintenance_Part[[ID_Antenne]:[Colonne2]],3,FALSE),"")</f>
        <v/>
      </c>
      <c r="I522" t="str">
        <f>IFERROR(VLOOKUP(Logs_Reseau_Part5[[#This Row],[Cell_ID]],Registre_Maintenance_Part[[ID_Antenne]:[Colonne2]],4,FALSE),"")</f>
        <v/>
      </c>
      <c r="J522" t="str">
        <f>IFERROR(VLOOKUP(Logs_Reseau_Part5[[#This Row],[Cell_ID]],Registre_Maintenance_Part[[ID_Antenne]:[Colonne2]],5,FALSE),"")</f>
        <v/>
      </c>
      <c r="K522" t="str">
        <f>IFERROR(VLOOKUP(Logs_Reseau_Part5[[#This Row],[Cell_ID]],Registre_Maintenance_Part[[ID_Antenne]:[Colonne2]],6,FALSE),"")</f>
        <v/>
      </c>
    </row>
    <row r="523" spans="1:11" x14ac:dyDescent="0.3">
      <c r="A523" t="s">
        <v>1310</v>
      </c>
      <c r="B523" s="1">
        <v>45202.443055555559</v>
      </c>
      <c r="C523" s="2">
        <v>45202.443055555559</v>
      </c>
      <c r="D523" t="s">
        <v>1324</v>
      </c>
      <c r="E523">
        <v>52</v>
      </c>
      <c r="F523" t="s">
        <v>737</v>
      </c>
      <c r="G523" t="str">
        <f>IFERROR(VLOOKUP(Logs_Reseau_Part5[[#This Row],[Cell_ID]],Registre_Maintenance_Part[[ID_Antenne]:[Colonne2]],2,FALSE),"")</f>
        <v/>
      </c>
      <c r="H523" t="str">
        <f>IFERROR(VLOOKUP(Logs_Reseau_Part5[[#This Row],[Cell_ID]],Registre_Maintenance_Part[[ID_Antenne]:[Colonne2]],3,FALSE),"")</f>
        <v/>
      </c>
      <c r="I523" t="str">
        <f>IFERROR(VLOOKUP(Logs_Reseau_Part5[[#This Row],[Cell_ID]],Registre_Maintenance_Part[[ID_Antenne]:[Colonne2]],4,FALSE),"")</f>
        <v/>
      </c>
      <c r="J523" t="str">
        <f>IFERROR(VLOOKUP(Logs_Reseau_Part5[[#This Row],[Cell_ID]],Registre_Maintenance_Part[[ID_Antenne]:[Colonne2]],5,FALSE),"")</f>
        <v/>
      </c>
      <c r="K523" t="str">
        <f>IFERROR(VLOOKUP(Logs_Reseau_Part5[[#This Row],[Cell_ID]],Registre_Maintenance_Part[[ID_Antenne]:[Colonne2]],6,FALSE),"")</f>
        <v/>
      </c>
    </row>
    <row r="524" spans="1:11" x14ac:dyDescent="0.3">
      <c r="A524" t="s">
        <v>941</v>
      </c>
      <c r="B524" s="1">
        <v>45202.45416666667</v>
      </c>
      <c r="C524" s="2">
        <v>45202.45416666667</v>
      </c>
      <c r="D524" t="s">
        <v>956</v>
      </c>
      <c r="E524">
        <v>89</v>
      </c>
      <c r="F524" t="s">
        <v>739</v>
      </c>
      <c r="G524" t="str">
        <f>IFERROR(VLOOKUP(Logs_Reseau_Part5[[#This Row],[Cell_ID]],Registre_Maintenance_Part[[ID_Antenne]:[Colonne2]],2,FALSE),"")</f>
        <v/>
      </c>
      <c r="H524" t="str">
        <f>IFERROR(VLOOKUP(Logs_Reseau_Part5[[#This Row],[Cell_ID]],Registre_Maintenance_Part[[ID_Antenne]:[Colonne2]],3,FALSE),"")</f>
        <v/>
      </c>
      <c r="I524" t="str">
        <f>IFERROR(VLOOKUP(Logs_Reseau_Part5[[#This Row],[Cell_ID]],Registre_Maintenance_Part[[ID_Antenne]:[Colonne2]],4,FALSE),"")</f>
        <v/>
      </c>
      <c r="J524" t="str">
        <f>IFERROR(VLOOKUP(Logs_Reseau_Part5[[#This Row],[Cell_ID]],Registre_Maintenance_Part[[ID_Antenne]:[Colonne2]],5,FALSE),"")</f>
        <v/>
      </c>
      <c r="K524" t="str">
        <f>IFERROR(VLOOKUP(Logs_Reseau_Part5[[#This Row],[Cell_ID]],Registre_Maintenance_Part[[ID_Antenne]:[Colonne2]],6,FALSE),"")</f>
        <v/>
      </c>
    </row>
    <row r="525" spans="1:11" x14ac:dyDescent="0.3">
      <c r="A525" t="s">
        <v>1195</v>
      </c>
      <c r="B525" s="1">
        <v>45202.469444444447</v>
      </c>
      <c r="C525" s="2">
        <v>45202.469444444447</v>
      </c>
      <c r="D525" t="s">
        <v>1220</v>
      </c>
      <c r="E525">
        <v>78</v>
      </c>
      <c r="F525" t="s">
        <v>734</v>
      </c>
      <c r="G525" t="str">
        <f>IFERROR(VLOOKUP(Logs_Reseau_Part5[[#This Row],[Cell_ID]],Registre_Maintenance_Part[[ID_Antenne]:[Colonne2]],2,FALSE),"")</f>
        <v/>
      </c>
      <c r="H525" t="str">
        <f>IFERROR(VLOOKUP(Logs_Reseau_Part5[[#This Row],[Cell_ID]],Registre_Maintenance_Part[[ID_Antenne]:[Colonne2]],3,FALSE),"")</f>
        <v/>
      </c>
      <c r="I525" t="str">
        <f>IFERROR(VLOOKUP(Logs_Reseau_Part5[[#This Row],[Cell_ID]],Registre_Maintenance_Part[[ID_Antenne]:[Colonne2]],4,FALSE),"")</f>
        <v/>
      </c>
      <c r="J525" t="str">
        <f>IFERROR(VLOOKUP(Logs_Reseau_Part5[[#This Row],[Cell_ID]],Registre_Maintenance_Part[[ID_Antenne]:[Colonne2]],5,FALSE),"")</f>
        <v/>
      </c>
      <c r="K525" t="str">
        <f>IFERROR(VLOOKUP(Logs_Reseau_Part5[[#This Row],[Cell_ID]],Registre_Maintenance_Part[[ID_Antenne]:[Colonne2]],6,FALSE),"")</f>
        <v/>
      </c>
    </row>
    <row r="526" spans="1:11" x14ac:dyDescent="0.3">
      <c r="A526" t="s">
        <v>1243</v>
      </c>
      <c r="B526" s="1">
        <v>45202.487500000003</v>
      </c>
      <c r="C526" s="2">
        <v>45202.487500000003</v>
      </c>
      <c r="D526" t="s">
        <v>1254</v>
      </c>
      <c r="E526">
        <v>22</v>
      </c>
      <c r="F526" t="s">
        <v>739</v>
      </c>
      <c r="G526" t="str">
        <f>IFERROR(VLOOKUP(Logs_Reseau_Part5[[#This Row],[Cell_ID]],Registre_Maintenance_Part[[ID_Antenne]:[Colonne2]],2,FALSE),"")</f>
        <v/>
      </c>
      <c r="H526" t="str">
        <f>IFERROR(VLOOKUP(Logs_Reseau_Part5[[#This Row],[Cell_ID]],Registre_Maintenance_Part[[ID_Antenne]:[Colonne2]],3,FALSE),"")</f>
        <v/>
      </c>
      <c r="I526" t="str">
        <f>IFERROR(VLOOKUP(Logs_Reseau_Part5[[#This Row],[Cell_ID]],Registre_Maintenance_Part[[ID_Antenne]:[Colonne2]],4,FALSE),"")</f>
        <v/>
      </c>
      <c r="J526" t="str">
        <f>IFERROR(VLOOKUP(Logs_Reseau_Part5[[#This Row],[Cell_ID]],Registre_Maintenance_Part[[ID_Antenne]:[Colonne2]],5,FALSE),"")</f>
        <v/>
      </c>
      <c r="K526" t="str">
        <f>IFERROR(VLOOKUP(Logs_Reseau_Part5[[#This Row],[Cell_ID]],Registre_Maintenance_Part[[ID_Antenne]:[Colonne2]],6,FALSE),"")</f>
        <v/>
      </c>
    </row>
    <row r="527" spans="1:11" x14ac:dyDescent="0.3">
      <c r="A527" t="s">
        <v>1406</v>
      </c>
      <c r="B527" s="1">
        <v>45202.499305555553</v>
      </c>
      <c r="C527" s="2">
        <v>45202.499305555553</v>
      </c>
      <c r="D527" t="s">
        <v>1280</v>
      </c>
      <c r="E527">
        <v>57</v>
      </c>
      <c r="F527" t="s">
        <v>737</v>
      </c>
      <c r="G527" t="str">
        <f>IFERROR(VLOOKUP(Logs_Reseau_Part5[[#This Row],[Cell_ID]],Registre_Maintenance_Part[[ID_Antenne]:[Colonne2]],2,FALSE),"")</f>
        <v/>
      </c>
      <c r="H527" t="str">
        <f>IFERROR(VLOOKUP(Logs_Reseau_Part5[[#This Row],[Cell_ID]],Registre_Maintenance_Part[[ID_Antenne]:[Colonne2]],3,FALSE),"")</f>
        <v/>
      </c>
      <c r="I527" t="str">
        <f>IFERROR(VLOOKUP(Logs_Reseau_Part5[[#This Row],[Cell_ID]],Registre_Maintenance_Part[[ID_Antenne]:[Colonne2]],4,FALSE),"")</f>
        <v/>
      </c>
      <c r="J527" t="str">
        <f>IFERROR(VLOOKUP(Logs_Reseau_Part5[[#This Row],[Cell_ID]],Registre_Maintenance_Part[[ID_Antenne]:[Colonne2]],5,FALSE),"")</f>
        <v/>
      </c>
      <c r="K527" t="str">
        <f>IFERROR(VLOOKUP(Logs_Reseau_Part5[[#This Row],[Cell_ID]],Registre_Maintenance_Part[[ID_Antenne]:[Colonne2]],6,FALSE),"")</f>
        <v/>
      </c>
    </row>
    <row r="528" spans="1:11" x14ac:dyDescent="0.3">
      <c r="A528" t="s">
        <v>941</v>
      </c>
      <c r="B528" s="1">
        <v>45202.659722222219</v>
      </c>
      <c r="C528" s="2">
        <v>45202.659722222219</v>
      </c>
      <c r="D528" t="s">
        <v>953</v>
      </c>
      <c r="E528">
        <v>42</v>
      </c>
      <c r="F528" t="s">
        <v>734</v>
      </c>
      <c r="G528" t="str">
        <f>IFERROR(VLOOKUP(Logs_Reseau_Part5[[#This Row],[Cell_ID]],Registre_Maintenance_Part[[ID_Antenne]:[Colonne2]],2,FALSE),"")</f>
        <v/>
      </c>
      <c r="H528" t="str">
        <f>IFERROR(VLOOKUP(Logs_Reseau_Part5[[#This Row],[Cell_ID]],Registre_Maintenance_Part[[ID_Antenne]:[Colonne2]],3,FALSE),"")</f>
        <v/>
      </c>
      <c r="I528" t="str">
        <f>IFERROR(VLOOKUP(Logs_Reseau_Part5[[#This Row],[Cell_ID]],Registre_Maintenance_Part[[ID_Antenne]:[Colonne2]],4,FALSE),"")</f>
        <v/>
      </c>
      <c r="J528" t="str">
        <f>IFERROR(VLOOKUP(Logs_Reseau_Part5[[#This Row],[Cell_ID]],Registre_Maintenance_Part[[ID_Antenne]:[Colonne2]],5,FALSE),"")</f>
        <v/>
      </c>
      <c r="K528" t="str">
        <f>IFERROR(VLOOKUP(Logs_Reseau_Part5[[#This Row],[Cell_ID]],Registre_Maintenance_Part[[ID_Antenne]:[Colonne2]],6,FALSE),"")</f>
        <v/>
      </c>
    </row>
    <row r="529" spans="1:11" x14ac:dyDescent="0.3">
      <c r="A529" t="s">
        <v>1140</v>
      </c>
      <c r="B529" s="1">
        <v>45202.686111111107</v>
      </c>
      <c r="C529" s="2">
        <v>45202.686111111107</v>
      </c>
      <c r="D529" t="s">
        <v>1161</v>
      </c>
      <c r="E529">
        <v>53</v>
      </c>
      <c r="F529" t="s">
        <v>734</v>
      </c>
      <c r="G529" t="str">
        <f>IFERROR(VLOOKUP(Logs_Reseau_Part5[[#This Row],[Cell_ID]],Registre_Maintenance_Part[[ID_Antenne]:[Colonne2]],2,FALSE),"")</f>
        <v/>
      </c>
      <c r="H529" t="str">
        <f>IFERROR(VLOOKUP(Logs_Reseau_Part5[[#This Row],[Cell_ID]],Registre_Maintenance_Part[[ID_Antenne]:[Colonne2]],3,FALSE),"")</f>
        <v/>
      </c>
      <c r="I529" t="str">
        <f>IFERROR(VLOOKUP(Logs_Reseau_Part5[[#This Row],[Cell_ID]],Registre_Maintenance_Part[[ID_Antenne]:[Colonne2]],4,FALSE),"")</f>
        <v/>
      </c>
      <c r="J529" t="str">
        <f>IFERROR(VLOOKUP(Logs_Reseau_Part5[[#This Row],[Cell_ID]],Registre_Maintenance_Part[[ID_Antenne]:[Colonne2]],5,FALSE),"")</f>
        <v/>
      </c>
      <c r="K529" t="str">
        <f>IFERROR(VLOOKUP(Logs_Reseau_Part5[[#This Row],[Cell_ID]],Registre_Maintenance_Part[[ID_Antenne]:[Colonne2]],6,FALSE),"")</f>
        <v/>
      </c>
    </row>
    <row r="530" spans="1:11" x14ac:dyDescent="0.3">
      <c r="A530" t="s">
        <v>1026</v>
      </c>
      <c r="B530" s="1">
        <v>45202.695138888892</v>
      </c>
      <c r="C530" s="2">
        <v>45202.695138888892</v>
      </c>
      <c r="D530" t="s">
        <v>1036</v>
      </c>
      <c r="E530">
        <v>21</v>
      </c>
      <c r="F530" t="s">
        <v>734</v>
      </c>
      <c r="G530" t="str">
        <f>IFERROR(VLOOKUP(Logs_Reseau_Part5[[#This Row],[Cell_ID]],Registre_Maintenance_Part[[ID_Antenne]:[Colonne2]],2,FALSE),"")</f>
        <v/>
      </c>
      <c r="H530" t="str">
        <f>IFERROR(VLOOKUP(Logs_Reseau_Part5[[#This Row],[Cell_ID]],Registre_Maintenance_Part[[ID_Antenne]:[Colonne2]],3,FALSE),"")</f>
        <v/>
      </c>
      <c r="I530" t="str">
        <f>IFERROR(VLOOKUP(Logs_Reseau_Part5[[#This Row],[Cell_ID]],Registre_Maintenance_Part[[ID_Antenne]:[Colonne2]],4,FALSE),"")</f>
        <v/>
      </c>
      <c r="J530" t="str">
        <f>IFERROR(VLOOKUP(Logs_Reseau_Part5[[#This Row],[Cell_ID]],Registre_Maintenance_Part[[ID_Antenne]:[Colonne2]],5,FALSE),"")</f>
        <v/>
      </c>
      <c r="K530" t="str">
        <f>IFERROR(VLOOKUP(Logs_Reseau_Part5[[#This Row],[Cell_ID]],Registre_Maintenance_Part[[ID_Antenne]:[Colonne2]],6,FALSE),"")</f>
        <v/>
      </c>
    </row>
    <row r="531" spans="1:11" x14ac:dyDescent="0.3">
      <c r="A531" t="s">
        <v>1088</v>
      </c>
      <c r="B531" s="1">
        <v>45202.695138888892</v>
      </c>
      <c r="C531" s="2">
        <v>45202.695138888892</v>
      </c>
      <c r="D531" t="s">
        <v>1110</v>
      </c>
      <c r="E531">
        <v>49</v>
      </c>
      <c r="F531" t="s">
        <v>737</v>
      </c>
      <c r="G531" t="str">
        <f>IFERROR(VLOOKUP(Logs_Reseau_Part5[[#This Row],[Cell_ID]],Registre_Maintenance_Part[[ID_Antenne]:[Colonne2]],2,FALSE),"")</f>
        <v/>
      </c>
      <c r="H531" t="str">
        <f>IFERROR(VLOOKUP(Logs_Reseau_Part5[[#This Row],[Cell_ID]],Registre_Maintenance_Part[[ID_Antenne]:[Colonne2]],3,FALSE),"")</f>
        <v/>
      </c>
      <c r="I531" t="str">
        <f>IFERROR(VLOOKUP(Logs_Reseau_Part5[[#This Row],[Cell_ID]],Registre_Maintenance_Part[[ID_Antenne]:[Colonne2]],4,FALSE),"")</f>
        <v/>
      </c>
      <c r="J531" t="str">
        <f>IFERROR(VLOOKUP(Logs_Reseau_Part5[[#This Row],[Cell_ID]],Registre_Maintenance_Part[[ID_Antenne]:[Colonne2]],5,FALSE),"")</f>
        <v/>
      </c>
      <c r="K531" t="str">
        <f>IFERROR(VLOOKUP(Logs_Reseau_Part5[[#This Row],[Cell_ID]],Registre_Maintenance_Part[[ID_Antenne]:[Colonne2]],6,FALSE),"")</f>
        <v/>
      </c>
    </row>
    <row r="532" spans="1:11" x14ac:dyDescent="0.3">
      <c r="A532" t="s">
        <v>1263</v>
      </c>
      <c r="B532" s="1">
        <v>45202.728472222218</v>
      </c>
      <c r="C532" s="2">
        <v>45202.728472222218</v>
      </c>
      <c r="D532" t="s">
        <v>1213</v>
      </c>
      <c r="E532">
        <v>18</v>
      </c>
      <c r="F532" t="s">
        <v>734</v>
      </c>
      <c r="G532" t="str">
        <f>IFERROR(VLOOKUP(Logs_Reseau_Part5[[#This Row],[Cell_ID]],Registre_Maintenance_Part[[ID_Antenne]:[Colonne2]],2,FALSE),"")</f>
        <v/>
      </c>
      <c r="H532" t="str">
        <f>IFERROR(VLOOKUP(Logs_Reseau_Part5[[#This Row],[Cell_ID]],Registre_Maintenance_Part[[ID_Antenne]:[Colonne2]],3,FALSE),"")</f>
        <v/>
      </c>
      <c r="I532" t="str">
        <f>IFERROR(VLOOKUP(Logs_Reseau_Part5[[#This Row],[Cell_ID]],Registre_Maintenance_Part[[ID_Antenne]:[Colonne2]],4,FALSE),"")</f>
        <v/>
      </c>
      <c r="J532" t="str">
        <f>IFERROR(VLOOKUP(Logs_Reseau_Part5[[#This Row],[Cell_ID]],Registre_Maintenance_Part[[ID_Antenne]:[Colonne2]],5,FALSE),"")</f>
        <v/>
      </c>
      <c r="K532" t="str">
        <f>IFERROR(VLOOKUP(Logs_Reseau_Part5[[#This Row],[Cell_ID]],Registre_Maintenance_Part[[ID_Antenne]:[Colonne2]],6,FALSE),"")</f>
        <v/>
      </c>
    </row>
    <row r="533" spans="1:11" x14ac:dyDescent="0.3">
      <c r="A533" t="s">
        <v>1243</v>
      </c>
      <c r="B533" s="1">
        <v>45202.868055555547</v>
      </c>
      <c r="C533" s="2">
        <v>45202.868055555547</v>
      </c>
      <c r="D533" t="s">
        <v>942</v>
      </c>
      <c r="E533">
        <v>91</v>
      </c>
      <c r="F533" t="s">
        <v>737</v>
      </c>
      <c r="G533" t="str">
        <f>IFERROR(VLOOKUP(Logs_Reseau_Part5[[#This Row],[Cell_ID]],Registre_Maintenance_Part[[ID_Antenne]:[Colonne2]],2,FALSE),"")</f>
        <v/>
      </c>
      <c r="H533" t="str">
        <f>IFERROR(VLOOKUP(Logs_Reseau_Part5[[#This Row],[Cell_ID]],Registre_Maintenance_Part[[ID_Antenne]:[Colonne2]],3,FALSE),"")</f>
        <v/>
      </c>
      <c r="I533" t="str">
        <f>IFERROR(VLOOKUP(Logs_Reseau_Part5[[#This Row],[Cell_ID]],Registre_Maintenance_Part[[ID_Antenne]:[Colonne2]],4,FALSE),"")</f>
        <v/>
      </c>
      <c r="J533" t="str">
        <f>IFERROR(VLOOKUP(Logs_Reseau_Part5[[#This Row],[Cell_ID]],Registre_Maintenance_Part[[ID_Antenne]:[Colonne2]],5,FALSE),"")</f>
        <v/>
      </c>
      <c r="K533" t="str">
        <f>IFERROR(VLOOKUP(Logs_Reseau_Part5[[#This Row],[Cell_ID]],Registre_Maintenance_Part[[ID_Antenne]:[Colonne2]],6,FALSE),"")</f>
        <v/>
      </c>
    </row>
    <row r="534" spans="1:11" x14ac:dyDescent="0.3">
      <c r="A534" t="s">
        <v>1088</v>
      </c>
      <c r="B534" s="1">
        <v>45202.912499999999</v>
      </c>
      <c r="C534" s="2">
        <v>45202.912499999999</v>
      </c>
      <c r="D534" t="s">
        <v>1089</v>
      </c>
      <c r="E534">
        <v>68</v>
      </c>
      <c r="F534" t="s">
        <v>739</v>
      </c>
      <c r="G534" t="str">
        <f>IFERROR(VLOOKUP(Logs_Reseau_Part5[[#This Row],[Cell_ID]],Registre_Maintenance_Part[[ID_Antenne]:[Colonne2]],2,FALSE),"")</f>
        <v/>
      </c>
      <c r="H534" t="str">
        <f>IFERROR(VLOOKUP(Logs_Reseau_Part5[[#This Row],[Cell_ID]],Registre_Maintenance_Part[[ID_Antenne]:[Colonne2]],3,FALSE),"")</f>
        <v/>
      </c>
      <c r="I534" t="str">
        <f>IFERROR(VLOOKUP(Logs_Reseau_Part5[[#This Row],[Cell_ID]],Registre_Maintenance_Part[[ID_Antenne]:[Colonne2]],4,FALSE),"")</f>
        <v/>
      </c>
      <c r="J534" t="str">
        <f>IFERROR(VLOOKUP(Logs_Reseau_Part5[[#This Row],[Cell_ID]],Registre_Maintenance_Part[[ID_Antenne]:[Colonne2]],5,FALSE),"")</f>
        <v/>
      </c>
      <c r="K534" t="str">
        <f>IFERROR(VLOOKUP(Logs_Reseau_Part5[[#This Row],[Cell_ID]],Registre_Maintenance_Part[[ID_Antenne]:[Colonne2]],6,FALSE),"")</f>
        <v/>
      </c>
    </row>
    <row r="535" spans="1:11" x14ac:dyDescent="0.3">
      <c r="A535" t="s">
        <v>1195</v>
      </c>
      <c r="B535" s="1">
        <v>45203.003472222219</v>
      </c>
      <c r="C535" s="2">
        <v>45203.003472222219</v>
      </c>
      <c r="D535" t="s">
        <v>1212</v>
      </c>
      <c r="E535">
        <v>46</v>
      </c>
      <c r="F535" t="s">
        <v>737</v>
      </c>
      <c r="G535" t="str">
        <f>IFERROR(VLOOKUP(Logs_Reseau_Part5[[#This Row],[Cell_ID]],Registre_Maintenance_Part[[ID_Antenne]:[Colonne2]],2,FALSE),"")</f>
        <v/>
      </c>
      <c r="H535" t="str">
        <f>IFERROR(VLOOKUP(Logs_Reseau_Part5[[#This Row],[Cell_ID]],Registre_Maintenance_Part[[ID_Antenne]:[Colonne2]],3,FALSE),"")</f>
        <v/>
      </c>
      <c r="I535" t="str">
        <f>IFERROR(VLOOKUP(Logs_Reseau_Part5[[#This Row],[Cell_ID]],Registre_Maintenance_Part[[ID_Antenne]:[Colonne2]],4,FALSE),"")</f>
        <v/>
      </c>
      <c r="J535" t="str">
        <f>IFERROR(VLOOKUP(Logs_Reseau_Part5[[#This Row],[Cell_ID]],Registre_Maintenance_Part[[ID_Antenne]:[Colonne2]],5,FALSE),"")</f>
        <v/>
      </c>
      <c r="K535" t="str">
        <f>IFERROR(VLOOKUP(Logs_Reseau_Part5[[#This Row],[Cell_ID]],Registre_Maintenance_Part[[ID_Antenne]:[Colonne2]],6,FALSE),"")</f>
        <v/>
      </c>
    </row>
    <row r="536" spans="1:11" x14ac:dyDescent="0.3">
      <c r="A536" t="s">
        <v>1243</v>
      </c>
      <c r="B536" s="1">
        <v>45203.009027777778</v>
      </c>
      <c r="C536" s="2">
        <v>45203.009027777778</v>
      </c>
      <c r="D536" t="s">
        <v>1218</v>
      </c>
      <c r="E536">
        <v>49</v>
      </c>
      <c r="F536" t="s">
        <v>734</v>
      </c>
      <c r="G536" t="str">
        <f>IFERROR(VLOOKUP(Logs_Reseau_Part5[[#This Row],[Cell_ID]],Registre_Maintenance_Part[[ID_Antenne]:[Colonne2]],2,FALSE),"")</f>
        <v/>
      </c>
      <c r="H536" t="str">
        <f>IFERROR(VLOOKUP(Logs_Reseau_Part5[[#This Row],[Cell_ID]],Registre_Maintenance_Part[[ID_Antenne]:[Colonne2]],3,FALSE),"")</f>
        <v/>
      </c>
      <c r="I536" t="str">
        <f>IFERROR(VLOOKUP(Logs_Reseau_Part5[[#This Row],[Cell_ID]],Registre_Maintenance_Part[[ID_Antenne]:[Colonne2]],4,FALSE),"")</f>
        <v/>
      </c>
      <c r="J536" t="str">
        <f>IFERROR(VLOOKUP(Logs_Reseau_Part5[[#This Row],[Cell_ID]],Registre_Maintenance_Part[[ID_Antenne]:[Colonne2]],5,FALSE),"")</f>
        <v/>
      </c>
      <c r="K536" t="str">
        <f>IFERROR(VLOOKUP(Logs_Reseau_Part5[[#This Row],[Cell_ID]],Registre_Maintenance_Part[[ID_Antenne]:[Colonne2]],6,FALSE),"")</f>
        <v/>
      </c>
    </row>
    <row r="537" spans="1:11" x14ac:dyDescent="0.3">
      <c r="A537" t="s">
        <v>1263</v>
      </c>
      <c r="B537" s="1">
        <v>45203.03125</v>
      </c>
      <c r="C537" s="2">
        <v>45203.03125</v>
      </c>
      <c r="D537" t="s">
        <v>743</v>
      </c>
      <c r="E537">
        <v>36</v>
      </c>
      <c r="F537" t="s">
        <v>739</v>
      </c>
      <c r="G537" t="str">
        <f>IFERROR(VLOOKUP(Logs_Reseau_Part5[[#This Row],[Cell_ID]],Registre_Maintenance_Part[[ID_Antenne]:[Colonne2]],2,FALSE),"")</f>
        <v/>
      </c>
      <c r="H537" t="str">
        <f>IFERROR(VLOOKUP(Logs_Reseau_Part5[[#This Row],[Cell_ID]],Registre_Maintenance_Part[[ID_Antenne]:[Colonne2]],3,FALSE),"")</f>
        <v/>
      </c>
      <c r="I537" t="str">
        <f>IFERROR(VLOOKUP(Logs_Reseau_Part5[[#This Row],[Cell_ID]],Registre_Maintenance_Part[[ID_Antenne]:[Colonne2]],4,FALSE),"")</f>
        <v/>
      </c>
      <c r="J537" t="str">
        <f>IFERROR(VLOOKUP(Logs_Reseau_Part5[[#This Row],[Cell_ID]],Registre_Maintenance_Part[[ID_Antenne]:[Colonne2]],5,FALSE),"")</f>
        <v/>
      </c>
      <c r="K537" t="str">
        <f>IFERROR(VLOOKUP(Logs_Reseau_Part5[[#This Row],[Cell_ID]],Registre_Maintenance_Part[[ID_Antenne]:[Colonne2]],6,FALSE),"")</f>
        <v/>
      </c>
    </row>
    <row r="538" spans="1:11" x14ac:dyDescent="0.3">
      <c r="A538" t="s">
        <v>781</v>
      </c>
      <c r="B538" s="1">
        <v>45203.059027777781</v>
      </c>
      <c r="C538" s="2">
        <v>45203.059027777781</v>
      </c>
      <c r="D538" t="s">
        <v>788</v>
      </c>
      <c r="E538">
        <v>49</v>
      </c>
      <c r="F538" t="s">
        <v>734</v>
      </c>
      <c r="G538" t="str">
        <f>IFERROR(VLOOKUP(Logs_Reseau_Part5[[#This Row],[Cell_ID]],Registre_Maintenance_Part[[ID_Antenne]:[Colonne2]],2,FALSE),"")</f>
        <v/>
      </c>
      <c r="H538" t="str">
        <f>IFERROR(VLOOKUP(Logs_Reseau_Part5[[#This Row],[Cell_ID]],Registre_Maintenance_Part[[ID_Antenne]:[Colonne2]],3,FALSE),"")</f>
        <v/>
      </c>
      <c r="I538" t="str">
        <f>IFERROR(VLOOKUP(Logs_Reseau_Part5[[#This Row],[Cell_ID]],Registre_Maintenance_Part[[ID_Antenne]:[Colonne2]],4,FALSE),"")</f>
        <v/>
      </c>
      <c r="J538" t="str">
        <f>IFERROR(VLOOKUP(Logs_Reseau_Part5[[#This Row],[Cell_ID]],Registre_Maintenance_Part[[ID_Antenne]:[Colonne2]],5,FALSE),"")</f>
        <v/>
      </c>
      <c r="K538" t="str">
        <f>IFERROR(VLOOKUP(Logs_Reseau_Part5[[#This Row],[Cell_ID]],Registre_Maintenance_Part[[ID_Antenne]:[Colonne2]],6,FALSE),"")</f>
        <v/>
      </c>
    </row>
    <row r="539" spans="1:11" x14ac:dyDescent="0.3">
      <c r="A539" t="s">
        <v>1140</v>
      </c>
      <c r="B539" s="1">
        <v>45203.213888888888</v>
      </c>
      <c r="C539" s="2">
        <v>45203.213888888888</v>
      </c>
      <c r="D539" t="s">
        <v>1142</v>
      </c>
      <c r="E539">
        <v>5</v>
      </c>
      <c r="F539" t="s">
        <v>734</v>
      </c>
      <c r="G539" t="str">
        <f>IFERROR(VLOOKUP(Logs_Reseau_Part5[[#This Row],[Cell_ID]],Registre_Maintenance_Part[[ID_Antenne]:[Colonne2]],2,FALSE),"")</f>
        <v/>
      </c>
      <c r="H539" t="str">
        <f>IFERROR(VLOOKUP(Logs_Reseau_Part5[[#This Row],[Cell_ID]],Registre_Maintenance_Part[[ID_Antenne]:[Colonne2]],3,FALSE),"")</f>
        <v/>
      </c>
      <c r="I539" t="str">
        <f>IFERROR(VLOOKUP(Logs_Reseau_Part5[[#This Row],[Cell_ID]],Registre_Maintenance_Part[[ID_Antenne]:[Colonne2]],4,FALSE),"")</f>
        <v/>
      </c>
      <c r="J539" t="str">
        <f>IFERROR(VLOOKUP(Logs_Reseau_Part5[[#This Row],[Cell_ID]],Registre_Maintenance_Part[[ID_Antenne]:[Colonne2]],5,FALSE),"")</f>
        <v/>
      </c>
      <c r="K539" t="str">
        <f>IFERROR(VLOOKUP(Logs_Reseau_Part5[[#This Row],[Cell_ID]],Registre_Maintenance_Part[[ID_Antenne]:[Colonne2]],6,FALSE),"")</f>
        <v/>
      </c>
    </row>
    <row r="540" spans="1:11" x14ac:dyDescent="0.3">
      <c r="A540" t="s">
        <v>1243</v>
      </c>
      <c r="B540" s="1">
        <v>45203.227777777778</v>
      </c>
      <c r="C540" s="2">
        <v>45203.227777777778</v>
      </c>
      <c r="D540" t="s">
        <v>960</v>
      </c>
      <c r="E540">
        <v>61</v>
      </c>
      <c r="F540" t="s">
        <v>737</v>
      </c>
      <c r="G540" t="str">
        <f>IFERROR(VLOOKUP(Logs_Reseau_Part5[[#This Row],[Cell_ID]],Registre_Maintenance_Part[[ID_Antenne]:[Colonne2]],2,FALSE),"")</f>
        <v/>
      </c>
      <c r="H540" t="str">
        <f>IFERROR(VLOOKUP(Logs_Reseau_Part5[[#This Row],[Cell_ID]],Registre_Maintenance_Part[[ID_Antenne]:[Colonne2]],3,FALSE),"")</f>
        <v/>
      </c>
      <c r="I540" t="str">
        <f>IFERROR(VLOOKUP(Logs_Reseau_Part5[[#This Row],[Cell_ID]],Registre_Maintenance_Part[[ID_Antenne]:[Colonne2]],4,FALSE),"")</f>
        <v/>
      </c>
      <c r="J540" t="str">
        <f>IFERROR(VLOOKUP(Logs_Reseau_Part5[[#This Row],[Cell_ID]],Registre_Maintenance_Part[[ID_Antenne]:[Colonne2]],5,FALSE),"")</f>
        <v/>
      </c>
      <c r="K540" t="str">
        <f>IFERROR(VLOOKUP(Logs_Reseau_Part5[[#This Row],[Cell_ID]],Registre_Maintenance_Part[[ID_Antenne]:[Colonne2]],6,FALSE),"")</f>
        <v/>
      </c>
    </row>
    <row r="541" spans="1:11" x14ac:dyDescent="0.3">
      <c r="A541" t="s">
        <v>1406</v>
      </c>
      <c r="B541" s="1">
        <v>45203.273611111108</v>
      </c>
      <c r="C541" s="2">
        <v>45203.273611111108</v>
      </c>
      <c r="D541" t="s">
        <v>779</v>
      </c>
      <c r="E541">
        <v>23</v>
      </c>
      <c r="F541" t="s">
        <v>739</v>
      </c>
      <c r="G541" t="str">
        <f>IFERROR(VLOOKUP(Logs_Reseau_Part5[[#This Row],[Cell_ID]],Registre_Maintenance_Part[[ID_Antenne]:[Colonne2]],2,FALSE),"")</f>
        <v/>
      </c>
      <c r="H541" t="str">
        <f>IFERROR(VLOOKUP(Logs_Reseau_Part5[[#This Row],[Cell_ID]],Registre_Maintenance_Part[[ID_Antenne]:[Colonne2]],3,FALSE),"")</f>
        <v/>
      </c>
      <c r="I541" t="str">
        <f>IFERROR(VLOOKUP(Logs_Reseau_Part5[[#This Row],[Cell_ID]],Registre_Maintenance_Part[[ID_Antenne]:[Colonne2]],4,FALSE),"")</f>
        <v/>
      </c>
      <c r="J541" t="str">
        <f>IFERROR(VLOOKUP(Logs_Reseau_Part5[[#This Row],[Cell_ID]],Registre_Maintenance_Part[[ID_Antenne]:[Colonne2]],5,FALSE),"")</f>
        <v/>
      </c>
      <c r="K541" t="str">
        <f>IFERROR(VLOOKUP(Logs_Reseau_Part5[[#This Row],[Cell_ID]],Registre_Maintenance_Part[[ID_Antenne]:[Colonne2]],6,FALSE),"")</f>
        <v/>
      </c>
    </row>
    <row r="542" spans="1:11" x14ac:dyDescent="0.3">
      <c r="A542" t="s">
        <v>904</v>
      </c>
      <c r="B542" s="1">
        <v>45203.277777777781</v>
      </c>
      <c r="C542" s="2">
        <v>45203.277777777781</v>
      </c>
      <c r="D542" t="s">
        <v>920</v>
      </c>
      <c r="E542">
        <v>79</v>
      </c>
      <c r="F542" t="s">
        <v>737</v>
      </c>
      <c r="G542" t="str">
        <f>IFERROR(VLOOKUP(Logs_Reseau_Part5[[#This Row],[Cell_ID]],Registre_Maintenance_Part[[ID_Antenne]:[Colonne2]],2,FALSE),"")</f>
        <v/>
      </c>
      <c r="H542" t="str">
        <f>IFERROR(VLOOKUP(Logs_Reseau_Part5[[#This Row],[Cell_ID]],Registre_Maintenance_Part[[ID_Antenne]:[Colonne2]],3,FALSE),"")</f>
        <v/>
      </c>
      <c r="I542" t="str">
        <f>IFERROR(VLOOKUP(Logs_Reseau_Part5[[#This Row],[Cell_ID]],Registre_Maintenance_Part[[ID_Antenne]:[Colonne2]],4,FALSE),"")</f>
        <v/>
      </c>
      <c r="J542" t="str">
        <f>IFERROR(VLOOKUP(Logs_Reseau_Part5[[#This Row],[Cell_ID]],Registre_Maintenance_Part[[ID_Antenne]:[Colonne2]],5,FALSE),"")</f>
        <v/>
      </c>
      <c r="K542" t="str">
        <f>IFERROR(VLOOKUP(Logs_Reseau_Part5[[#This Row],[Cell_ID]],Registre_Maintenance_Part[[ID_Antenne]:[Colonne2]],6,FALSE),"")</f>
        <v/>
      </c>
    </row>
    <row r="543" spans="1:11" x14ac:dyDescent="0.3">
      <c r="A543" t="s">
        <v>1263</v>
      </c>
      <c r="B543" s="1">
        <v>45203.324305555558</v>
      </c>
      <c r="C543" s="2">
        <v>45203.324305555558</v>
      </c>
      <c r="D543" t="s">
        <v>1279</v>
      </c>
      <c r="E543">
        <v>34</v>
      </c>
      <c r="F543" t="s">
        <v>734</v>
      </c>
      <c r="G543" t="str">
        <f>IFERROR(VLOOKUP(Logs_Reseau_Part5[[#This Row],[Cell_ID]],Registre_Maintenance_Part[[ID_Antenne]:[Colonne2]],2,FALSE),"")</f>
        <v/>
      </c>
      <c r="H543" t="str">
        <f>IFERROR(VLOOKUP(Logs_Reseau_Part5[[#This Row],[Cell_ID]],Registre_Maintenance_Part[[ID_Antenne]:[Colonne2]],3,FALSE),"")</f>
        <v/>
      </c>
      <c r="I543" t="str">
        <f>IFERROR(VLOOKUP(Logs_Reseau_Part5[[#This Row],[Cell_ID]],Registre_Maintenance_Part[[ID_Antenne]:[Colonne2]],4,FALSE),"")</f>
        <v/>
      </c>
      <c r="J543" t="str">
        <f>IFERROR(VLOOKUP(Logs_Reseau_Part5[[#This Row],[Cell_ID]],Registre_Maintenance_Part[[ID_Antenne]:[Colonne2]],5,FALSE),"")</f>
        <v/>
      </c>
      <c r="K543" t="str">
        <f>IFERROR(VLOOKUP(Logs_Reseau_Part5[[#This Row],[Cell_ID]],Registre_Maintenance_Part[[ID_Antenne]:[Colonne2]],6,FALSE),"")</f>
        <v/>
      </c>
    </row>
    <row r="544" spans="1:11" x14ac:dyDescent="0.3">
      <c r="A544" t="s">
        <v>1001</v>
      </c>
      <c r="B544" s="1">
        <v>45203.35833333333</v>
      </c>
      <c r="C544" s="2">
        <v>45203.35833333333</v>
      </c>
      <c r="D544" t="s">
        <v>1006</v>
      </c>
      <c r="E544">
        <v>5</v>
      </c>
      <c r="F544" t="s">
        <v>734</v>
      </c>
      <c r="G544" t="str">
        <f>IFERROR(VLOOKUP(Logs_Reseau_Part5[[#This Row],[Cell_ID]],Registre_Maintenance_Part[[ID_Antenne]:[Colonne2]],2,FALSE),"")</f>
        <v/>
      </c>
      <c r="H544" t="str">
        <f>IFERROR(VLOOKUP(Logs_Reseau_Part5[[#This Row],[Cell_ID]],Registre_Maintenance_Part[[ID_Antenne]:[Colonne2]],3,FALSE),"")</f>
        <v/>
      </c>
      <c r="I544" t="str">
        <f>IFERROR(VLOOKUP(Logs_Reseau_Part5[[#This Row],[Cell_ID]],Registre_Maintenance_Part[[ID_Antenne]:[Colonne2]],4,FALSE),"")</f>
        <v/>
      </c>
      <c r="J544" t="str">
        <f>IFERROR(VLOOKUP(Logs_Reseau_Part5[[#This Row],[Cell_ID]],Registre_Maintenance_Part[[ID_Antenne]:[Colonne2]],5,FALSE),"")</f>
        <v/>
      </c>
      <c r="K544" t="str">
        <f>IFERROR(VLOOKUP(Logs_Reseau_Part5[[#This Row],[Cell_ID]],Registre_Maintenance_Part[[ID_Antenne]:[Colonne2]],6,FALSE),"")</f>
        <v/>
      </c>
    </row>
    <row r="545" spans="1:11" x14ac:dyDescent="0.3">
      <c r="A545" t="s">
        <v>1310</v>
      </c>
      <c r="B545" s="1">
        <v>45203.425694444442</v>
      </c>
      <c r="C545" s="2">
        <v>45203.425694444442</v>
      </c>
      <c r="D545" t="s">
        <v>1328</v>
      </c>
      <c r="E545">
        <v>62</v>
      </c>
      <c r="F545" t="s">
        <v>734</v>
      </c>
      <c r="G545" t="str">
        <f>IFERROR(VLOOKUP(Logs_Reseau_Part5[[#This Row],[Cell_ID]],Registre_Maintenance_Part[[ID_Antenne]:[Colonne2]],2,FALSE),"")</f>
        <v/>
      </c>
      <c r="H545" t="str">
        <f>IFERROR(VLOOKUP(Logs_Reseau_Part5[[#This Row],[Cell_ID]],Registre_Maintenance_Part[[ID_Antenne]:[Colonne2]],3,FALSE),"")</f>
        <v/>
      </c>
      <c r="I545" t="str">
        <f>IFERROR(VLOOKUP(Logs_Reseau_Part5[[#This Row],[Cell_ID]],Registre_Maintenance_Part[[ID_Antenne]:[Colonne2]],4,FALSE),"")</f>
        <v/>
      </c>
      <c r="J545" t="str">
        <f>IFERROR(VLOOKUP(Logs_Reseau_Part5[[#This Row],[Cell_ID]],Registre_Maintenance_Part[[ID_Antenne]:[Colonne2]],5,FALSE),"")</f>
        <v/>
      </c>
      <c r="K545" t="str">
        <f>IFERROR(VLOOKUP(Logs_Reseau_Part5[[#This Row],[Cell_ID]],Registre_Maintenance_Part[[ID_Antenne]:[Colonne2]],6,FALSE),"")</f>
        <v/>
      </c>
    </row>
    <row r="546" spans="1:11" x14ac:dyDescent="0.3">
      <c r="A546" t="s">
        <v>1026</v>
      </c>
      <c r="B546" s="1">
        <v>45203.447916666657</v>
      </c>
      <c r="C546" s="2">
        <v>45203.447916666657</v>
      </c>
      <c r="D546" t="s">
        <v>953</v>
      </c>
      <c r="E546">
        <v>84</v>
      </c>
      <c r="F546" t="s">
        <v>739</v>
      </c>
      <c r="G546" t="str">
        <f>IFERROR(VLOOKUP(Logs_Reseau_Part5[[#This Row],[Cell_ID]],Registre_Maintenance_Part[[ID_Antenne]:[Colonne2]],2,FALSE),"")</f>
        <v/>
      </c>
      <c r="H546" t="str">
        <f>IFERROR(VLOOKUP(Logs_Reseau_Part5[[#This Row],[Cell_ID]],Registre_Maintenance_Part[[ID_Antenne]:[Colonne2]],3,FALSE),"")</f>
        <v/>
      </c>
      <c r="I546" t="str">
        <f>IFERROR(VLOOKUP(Logs_Reseau_Part5[[#This Row],[Cell_ID]],Registre_Maintenance_Part[[ID_Antenne]:[Colonne2]],4,FALSE),"")</f>
        <v/>
      </c>
      <c r="J546" t="str">
        <f>IFERROR(VLOOKUP(Logs_Reseau_Part5[[#This Row],[Cell_ID]],Registre_Maintenance_Part[[ID_Antenne]:[Colonne2]],5,FALSE),"")</f>
        <v/>
      </c>
      <c r="K546" t="str">
        <f>IFERROR(VLOOKUP(Logs_Reseau_Part5[[#This Row],[Cell_ID]],Registre_Maintenance_Part[[ID_Antenne]:[Colonne2]],6,FALSE),"")</f>
        <v/>
      </c>
    </row>
    <row r="547" spans="1:11" x14ac:dyDescent="0.3">
      <c r="A547" t="s">
        <v>1061</v>
      </c>
      <c r="B547" s="1">
        <v>45203.477083333331</v>
      </c>
      <c r="C547" s="2">
        <v>45203.477083333331</v>
      </c>
      <c r="D547" t="s">
        <v>1087</v>
      </c>
      <c r="E547">
        <v>93</v>
      </c>
      <c r="F547" t="s">
        <v>737</v>
      </c>
      <c r="G547" t="str">
        <f>IFERROR(VLOOKUP(Logs_Reseau_Part5[[#This Row],[Cell_ID]],Registre_Maintenance_Part[[ID_Antenne]:[Colonne2]],2,FALSE),"")</f>
        <v/>
      </c>
      <c r="H547" t="str">
        <f>IFERROR(VLOOKUP(Logs_Reseau_Part5[[#This Row],[Cell_ID]],Registre_Maintenance_Part[[ID_Antenne]:[Colonne2]],3,FALSE),"")</f>
        <v/>
      </c>
      <c r="I547" t="str">
        <f>IFERROR(VLOOKUP(Logs_Reseau_Part5[[#This Row],[Cell_ID]],Registre_Maintenance_Part[[ID_Antenne]:[Colonne2]],4,FALSE),"")</f>
        <v/>
      </c>
      <c r="J547" t="str">
        <f>IFERROR(VLOOKUP(Logs_Reseau_Part5[[#This Row],[Cell_ID]],Registre_Maintenance_Part[[ID_Antenne]:[Colonne2]],5,FALSE),"")</f>
        <v/>
      </c>
      <c r="K547" t="str">
        <f>IFERROR(VLOOKUP(Logs_Reseau_Part5[[#This Row],[Cell_ID]],Registre_Maintenance_Part[[ID_Antenne]:[Colonne2]],6,FALSE),"")</f>
        <v/>
      </c>
    </row>
    <row r="548" spans="1:11" x14ac:dyDescent="0.3">
      <c r="A548" t="s">
        <v>1363</v>
      </c>
      <c r="B548" s="1">
        <v>45203.570833333331</v>
      </c>
      <c r="C548" s="2">
        <v>45203.570833333331</v>
      </c>
      <c r="D548" t="s">
        <v>1381</v>
      </c>
      <c r="E548">
        <v>68</v>
      </c>
      <c r="F548" t="s">
        <v>739</v>
      </c>
      <c r="G548" t="str">
        <f>IFERROR(VLOOKUP(Logs_Reseau_Part5[[#This Row],[Cell_ID]],Registre_Maintenance_Part[[ID_Antenne]:[Colonne2]],2,FALSE),"")</f>
        <v/>
      </c>
      <c r="H548" t="str">
        <f>IFERROR(VLOOKUP(Logs_Reseau_Part5[[#This Row],[Cell_ID]],Registre_Maintenance_Part[[ID_Antenne]:[Colonne2]],3,FALSE),"")</f>
        <v/>
      </c>
      <c r="I548" t="str">
        <f>IFERROR(VLOOKUP(Logs_Reseau_Part5[[#This Row],[Cell_ID]],Registre_Maintenance_Part[[ID_Antenne]:[Colonne2]],4,FALSE),"")</f>
        <v/>
      </c>
      <c r="J548" t="str">
        <f>IFERROR(VLOOKUP(Logs_Reseau_Part5[[#This Row],[Cell_ID]],Registre_Maintenance_Part[[ID_Antenne]:[Colonne2]],5,FALSE),"")</f>
        <v/>
      </c>
      <c r="K548" t="str">
        <f>IFERROR(VLOOKUP(Logs_Reseau_Part5[[#This Row],[Cell_ID]],Registre_Maintenance_Part[[ID_Antenne]:[Colonne2]],6,FALSE),"")</f>
        <v/>
      </c>
    </row>
    <row r="549" spans="1:11" x14ac:dyDescent="0.3">
      <c r="A549" t="s">
        <v>1221</v>
      </c>
      <c r="B549" s="1">
        <v>45203.615277777782</v>
      </c>
      <c r="C549" s="2">
        <v>45203.615277777782</v>
      </c>
      <c r="D549" t="s">
        <v>1227</v>
      </c>
      <c r="E549">
        <v>41</v>
      </c>
      <c r="F549" t="s">
        <v>734</v>
      </c>
      <c r="G549" t="str">
        <f>IFERROR(VLOOKUP(Logs_Reseau_Part5[[#This Row],[Cell_ID]],Registre_Maintenance_Part[[ID_Antenne]:[Colonne2]],2,FALSE),"")</f>
        <v/>
      </c>
      <c r="H549" t="str">
        <f>IFERROR(VLOOKUP(Logs_Reseau_Part5[[#This Row],[Cell_ID]],Registre_Maintenance_Part[[ID_Antenne]:[Colonne2]],3,FALSE),"")</f>
        <v/>
      </c>
      <c r="I549" t="str">
        <f>IFERROR(VLOOKUP(Logs_Reseau_Part5[[#This Row],[Cell_ID]],Registre_Maintenance_Part[[ID_Antenne]:[Colonne2]],4,FALSE),"")</f>
        <v/>
      </c>
      <c r="J549" t="str">
        <f>IFERROR(VLOOKUP(Logs_Reseau_Part5[[#This Row],[Cell_ID]],Registre_Maintenance_Part[[ID_Antenne]:[Colonne2]],5,FALSE),"")</f>
        <v/>
      </c>
      <c r="K549" t="str">
        <f>IFERROR(VLOOKUP(Logs_Reseau_Part5[[#This Row],[Cell_ID]],Registre_Maintenance_Part[[ID_Antenne]:[Colonne2]],6,FALSE),"")</f>
        <v/>
      </c>
    </row>
    <row r="550" spans="1:11" x14ac:dyDescent="0.3">
      <c r="A550" t="s">
        <v>1088</v>
      </c>
      <c r="B550" s="1">
        <v>45203.67291666667</v>
      </c>
      <c r="C550" s="2">
        <v>45203.67291666667</v>
      </c>
      <c r="D550" t="s">
        <v>1106</v>
      </c>
      <c r="E550">
        <v>82</v>
      </c>
      <c r="F550" t="s">
        <v>734</v>
      </c>
      <c r="G550" t="str">
        <f>IFERROR(VLOOKUP(Logs_Reseau_Part5[[#This Row],[Cell_ID]],Registre_Maintenance_Part[[ID_Antenne]:[Colonne2]],2,FALSE),"")</f>
        <v/>
      </c>
      <c r="H550" t="str">
        <f>IFERROR(VLOOKUP(Logs_Reseau_Part5[[#This Row],[Cell_ID]],Registre_Maintenance_Part[[ID_Antenne]:[Colonne2]],3,FALSE),"")</f>
        <v/>
      </c>
      <c r="I550" t="str">
        <f>IFERROR(VLOOKUP(Logs_Reseau_Part5[[#This Row],[Cell_ID]],Registre_Maintenance_Part[[ID_Antenne]:[Colonne2]],4,FALSE),"")</f>
        <v/>
      </c>
      <c r="J550" t="str">
        <f>IFERROR(VLOOKUP(Logs_Reseau_Part5[[#This Row],[Cell_ID]],Registre_Maintenance_Part[[ID_Antenne]:[Colonne2]],5,FALSE),"")</f>
        <v/>
      </c>
      <c r="K550" t="str">
        <f>IFERROR(VLOOKUP(Logs_Reseau_Part5[[#This Row],[Cell_ID]],Registre_Maintenance_Part[[ID_Antenne]:[Colonne2]],6,FALSE),"")</f>
        <v/>
      </c>
    </row>
    <row r="551" spans="1:11" x14ac:dyDescent="0.3">
      <c r="A551" t="s">
        <v>1221</v>
      </c>
      <c r="B551" s="1">
        <v>45203.71597222222</v>
      </c>
      <c r="C551" s="2">
        <v>45203.71597222222</v>
      </c>
      <c r="D551" t="s">
        <v>1236</v>
      </c>
      <c r="E551">
        <v>68</v>
      </c>
      <c r="F551" t="s">
        <v>737</v>
      </c>
      <c r="G551" t="str">
        <f>IFERROR(VLOOKUP(Logs_Reseau_Part5[[#This Row],[Cell_ID]],Registre_Maintenance_Part[[ID_Antenne]:[Colonne2]],2,FALSE),"")</f>
        <v/>
      </c>
      <c r="H551" t="str">
        <f>IFERROR(VLOOKUP(Logs_Reseau_Part5[[#This Row],[Cell_ID]],Registre_Maintenance_Part[[ID_Antenne]:[Colonne2]],3,FALSE),"")</f>
        <v/>
      </c>
      <c r="I551" t="str">
        <f>IFERROR(VLOOKUP(Logs_Reseau_Part5[[#This Row],[Cell_ID]],Registre_Maintenance_Part[[ID_Antenne]:[Colonne2]],4,FALSE),"")</f>
        <v/>
      </c>
      <c r="J551" t="str">
        <f>IFERROR(VLOOKUP(Logs_Reseau_Part5[[#This Row],[Cell_ID]],Registre_Maintenance_Part[[ID_Antenne]:[Colonne2]],5,FALSE),"")</f>
        <v/>
      </c>
      <c r="K551" t="str">
        <f>IFERROR(VLOOKUP(Logs_Reseau_Part5[[#This Row],[Cell_ID]],Registre_Maintenance_Part[[ID_Antenne]:[Colonne2]],6,FALSE),"")</f>
        <v/>
      </c>
    </row>
    <row r="552" spans="1:11" x14ac:dyDescent="0.3">
      <c r="A552" t="s">
        <v>904</v>
      </c>
      <c r="B552" s="1">
        <v>45203.718055555553</v>
      </c>
      <c r="C552" s="2">
        <v>45203.718055555553</v>
      </c>
      <c r="D552" t="s">
        <v>930</v>
      </c>
      <c r="E552">
        <v>114</v>
      </c>
      <c r="F552" t="s">
        <v>737</v>
      </c>
      <c r="G552" t="str">
        <f>IFERROR(VLOOKUP(Logs_Reseau_Part5[[#This Row],[Cell_ID]],Registre_Maintenance_Part[[ID_Antenne]:[Colonne2]],2,FALSE),"")</f>
        <v/>
      </c>
      <c r="H552" t="str">
        <f>IFERROR(VLOOKUP(Logs_Reseau_Part5[[#This Row],[Cell_ID]],Registre_Maintenance_Part[[ID_Antenne]:[Colonne2]],3,FALSE),"")</f>
        <v/>
      </c>
      <c r="I552" t="str">
        <f>IFERROR(VLOOKUP(Logs_Reseau_Part5[[#This Row],[Cell_ID]],Registre_Maintenance_Part[[ID_Antenne]:[Colonne2]],4,FALSE),"")</f>
        <v/>
      </c>
      <c r="J552" t="str">
        <f>IFERROR(VLOOKUP(Logs_Reseau_Part5[[#This Row],[Cell_ID]],Registre_Maintenance_Part[[ID_Antenne]:[Colonne2]],5,FALSE),"")</f>
        <v/>
      </c>
      <c r="K552" t="str">
        <f>IFERROR(VLOOKUP(Logs_Reseau_Part5[[#This Row],[Cell_ID]],Registre_Maintenance_Part[[ID_Antenne]:[Colonne2]],6,FALSE),"")</f>
        <v/>
      </c>
    </row>
    <row r="553" spans="1:11" x14ac:dyDescent="0.3">
      <c r="A553" t="s">
        <v>825</v>
      </c>
      <c r="B553" s="1">
        <v>45203.810416666667</v>
      </c>
      <c r="C553" s="2">
        <v>45203.810416666667</v>
      </c>
      <c r="D553" t="s">
        <v>829</v>
      </c>
      <c r="E553">
        <v>78</v>
      </c>
      <c r="F553" t="s">
        <v>739</v>
      </c>
      <c r="G553" t="str">
        <f>IFERROR(VLOOKUP(Logs_Reseau_Part5[[#This Row],[Cell_ID]],Registre_Maintenance_Part[[ID_Antenne]:[Colonne2]],2,FALSE),"")</f>
        <v/>
      </c>
      <c r="H553" t="str">
        <f>IFERROR(VLOOKUP(Logs_Reseau_Part5[[#This Row],[Cell_ID]],Registre_Maintenance_Part[[ID_Antenne]:[Colonne2]],3,FALSE),"")</f>
        <v/>
      </c>
      <c r="I553" t="str">
        <f>IFERROR(VLOOKUP(Logs_Reseau_Part5[[#This Row],[Cell_ID]],Registre_Maintenance_Part[[ID_Antenne]:[Colonne2]],4,FALSE),"")</f>
        <v/>
      </c>
      <c r="J553" t="str">
        <f>IFERROR(VLOOKUP(Logs_Reseau_Part5[[#This Row],[Cell_ID]],Registre_Maintenance_Part[[ID_Antenne]:[Colonne2]],5,FALSE),"")</f>
        <v/>
      </c>
      <c r="K553" t="str">
        <f>IFERROR(VLOOKUP(Logs_Reseau_Part5[[#This Row],[Cell_ID]],Registre_Maintenance_Part[[ID_Antenne]:[Colonne2]],6,FALSE),"")</f>
        <v/>
      </c>
    </row>
    <row r="554" spans="1:11" x14ac:dyDescent="0.3">
      <c r="A554" t="s">
        <v>941</v>
      </c>
      <c r="B554" s="1">
        <v>45203.864583333343</v>
      </c>
      <c r="C554" s="2">
        <v>45203.864583333343</v>
      </c>
      <c r="D554" t="s">
        <v>963</v>
      </c>
      <c r="E554">
        <v>100</v>
      </c>
      <c r="F554" t="s">
        <v>739</v>
      </c>
      <c r="G554" t="str">
        <f>IFERROR(VLOOKUP(Logs_Reseau_Part5[[#This Row],[Cell_ID]],Registre_Maintenance_Part[[ID_Antenne]:[Colonne2]],2,FALSE),"")</f>
        <v/>
      </c>
      <c r="H554" t="str">
        <f>IFERROR(VLOOKUP(Logs_Reseau_Part5[[#This Row],[Cell_ID]],Registre_Maintenance_Part[[ID_Antenne]:[Colonne2]],3,FALSE),"")</f>
        <v/>
      </c>
      <c r="I554" t="str">
        <f>IFERROR(VLOOKUP(Logs_Reseau_Part5[[#This Row],[Cell_ID]],Registre_Maintenance_Part[[ID_Antenne]:[Colonne2]],4,FALSE),"")</f>
        <v/>
      </c>
      <c r="J554" t="str">
        <f>IFERROR(VLOOKUP(Logs_Reseau_Part5[[#This Row],[Cell_ID]],Registre_Maintenance_Part[[ID_Antenne]:[Colonne2]],5,FALSE),"")</f>
        <v/>
      </c>
      <c r="K554" t="str">
        <f>IFERROR(VLOOKUP(Logs_Reseau_Part5[[#This Row],[Cell_ID]],Registre_Maintenance_Part[[ID_Antenne]:[Colonne2]],6,FALSE),"")</f>
        <v/>
      </c>
    </row>
    <row r="555" spans="1:11" x14ac:dyDescent="0.3">
      <c r="A555" t="s">
        <v>1140</v>
      </c>
      <c r="B555" s="1">
        <v>45203.884027777778</v>
      </c>
      <c r="C555" s="2">
        <v>45203.884027777778</v>
      </c>
      <c r="D555" t="s">
        <v>1160</v>
      </c>
      <c r="E555">
        <v>116</v>
      </c>
      <c r="F555" t="s">
        <v>737</v>
      </c>
      <c r="G555" t="str">
        <f>IFERROR(VLOOKUP(Logs_Reseau_Part5[[#This Row],[Cell_ID]],Registre_Maintenance_Part[[ID_Antenne]:[Colonne2]],2,FALSE),"")</f>
        <v/>
      </c>
      <c r="H555" t="str">
        <f>IFERROR(VLOOKUP(Logs_Reseau_Part5[[#This Row],[Cell_ID]],Registre_Maintenance_Part[[ID_Antenne]:[Colonne2]],3,FALSE),"")</f>
        <v/>
      </c>
      <c r="I555" t="str">
        <f>IFERROR(VLOOKUP(Logs_Reseau_Part5[[#This Row],[Cell_ID]],Registre_Maintenance_Part[[ID_Antenne]:[Colonne2]],4,FALSE),"")</f>
        <v/>
      </c>
      <c r="J555" t="str">
        <f>IFERROR(VLOOKUP(Logs_Reseau_Part5[[#This Row],[Cell_ID]],Registre_Maintenance_Part[[ID_Antenne]:[Colonne2]],5,FALSE),"")</f>
        <v/>
      </c>
      <c r="K555" t="str">
        <f>IFERROR(VLOOKUP(Logs_Reseau_Part5[[#This Row],[Cell_ID]],Registre_Maintenance_Part[[ID_Antenne]:[Colonne2]],6,FALSE),"")</f>
        <v/>
      </c>
    </row>
    <row r="556" spans="1:11" x14ac:dyDescent="0.3">
      <c r="A556" t="s">
        <v>1347</v>
      </c>
      <c r="B556" s="1">
        <v>45203.89166666667</v>
      </c>
      <c r="C556" s="2">
        <v>45203.89166666667</v>
      </c>
      <c r="D556" t="s">
        <v>905</v>
      </c>
      <c r="E556">
        <v>7</v>
      </c>
      <c r="F556" t="s">
        <v>737</v>
      </c>
      <c r="G556" t="str">
        <f>IFERROR(VLOOKUP(Logs_Reseau_Part5[[#This Row],[Cell_ID]],Registre_Maintenance_Part[[ID_Antenne]:[Colonne2]],2,FALSE),"")</f>
        <v/>
      </c>
      <c r="H556" t="str">
        <f>IFERROR(VLOOKUP(Logs_Reseau_Part5[[#This Row],[Cell_ID]],Registre_Maintenance_Part[[ID_Antenne]:[Colonne2]],3,FALSE),"")</f>
        <v/>
      </c>
      <c r="I556" t="str">
        <f>IFERROR(VLOOKUP(Logs_Reseau_Part5[[#This Row],[Cell_ID]],Registre_Maintenance_Part[[ID_Antenne]:[Colonne2]],4,FALSE),"")</f>
        <v/>
      </c>
      <c r="J556" t="str">
        <f>IFERROR(VLOOKUP(Logs_Reseau_Part5[[#This Row],[Cell_ID]],Registre_Maintenance_Part[[ID_Antenne]:[Colonne2]],5,FALSE),"")</f>
        <v/>
      </c>
      <c r="K556" t="str">
        <f>IFERROR(VLOOKUP(Logs_Reseau_Part5[[#This Row],[Cell_ID]],Registre_Maintenance_Part[[ID_Antenne]:[Colonne2]],6,FALSE),"")</f>
        <v/>
      </c>
    </row>
    <row r="557" spans="1:11" x14ac:dyDescent="0.3">
      <c r="A557" t="s">
        <v>781</v>
      </c>
      <c r="B557" s="1">
        <v>45203.893750000003</v>
      </c>
      <c r="C557" s="2">
        <v>45203.893750000003</v>
      </c>
      <c r="D557" t="s">
        <v>785</v>
      </c>
      <c r="E557">
        <v>32</v>
      </c>
      <c r="F557" t="s">
        <v>734</v>
      </c>
      <c r="G557" t="str">
        <f>IFERROR(VLOOKUP(Logs_Reseau_Part5[[#This Row],[Cell_ID]],Registre_Maintenance_Part[[ID_Antenne]:[Colonne2]],2,FALSE),"")</f>
        <v/>
      </c>
      <c r="H557" t="str">
        <f>IFERROR(VLOOKUP(Logs_Reseau_Part5[[#This Row],[Cell_ID]],Registre_Maintenance_Part[[ID_Antenne]:[Colonne2]],3,FALSE),"")</f>
        <v/>
      </c>
      <c r="I557" t="str">
        <f>IFERROR(VLOOKUP(Logs_Reseau_Part5[[#This Row],[Cell_ID]],Registre_Maintenance_Part[[ID_Antenne]:[Colonne2]],4,FALSE),"")</f>
        <v/>
      </c>
      <c r="J557" t="str">
        <f>IFERROR(VLOOKUP(Logs_Reseau_Part5[[#This Row],[Cell_ID]],Registre_Maintenance_Part[[ID_Antenne]:[Colonne2]],5,FALSE),"")</f>
        <v/>
      </c>
      <c r="K557" t="str">
        <f>IFERROR(VLOOKUP(Logs_Reseau_Part5[[#This Row],[Cell_ID]],Registre_Maintenance_Part[[ID_Antenne]:[Colonne2]],6,FALSE),"")</f>
        <v/>
      </c>
    </row>
    <row r="558" spans="1:11" x14ac:dyDescent="0.3">
      <c r="A558" t="s">
        <v>1221</v>
      </c>
      <c r="B558" s="1">
        <v>45203.910416666673</v>
      </c>
      <c r="C558" s="2">
        <v>45203.910416666673</v>
      </c>
      <c r="D558" t="s">
        <v>1200</v>
      </c>
      <c r="E558">
        <v>62</v>
      </c>
      <c r="F558" t="s">
        <v>734</v>
      </c>
      <c r="G558" t="str">
        <f>IFERROR(VLOOKUP(Logs_Reseau_Part5[[#This Row],[Cell_ID]],Registre_Maintenance_Part[[ID_Antenne]:[Colonne2]],2,FALSE),"")</f>
        <v/>
      </c>
      <c r="H558" t="str">
        <f>IFERROR(VLOOKUP(Logs_Reseau_Part5[[#This Row],[Cell_ID]],Registre_Maintenance_Part[[ID_Antenne]:[Colonne2]],3,FALSE),"")</f>
        <v/>
      </c>
      <c r="I558" t="str">
        <f>IFERROR(VLOOKUP(Logs_Reseau_Part5[[#This Row],[Cell_ID]],Registre_Maintenance_Part[[ID_Antenne]:[Colonne2]],4,FALSE),"")</f>
        <v/>
      </c>
      <c r="J558" t="str">
        <f>IFERROR(VLOOKUP(Logs_Reseau_Part5[[#This Row],[Cell_ID]],Registre_Maintenance_Part[[ID_Antenne]:[Colonne2]],5,FALSE),"")</f>
        <v/>
      </c>
      <c r="K558" t="str">
        <f>IFERROR(VLOOKUP(Logs_Reseau_Part5[[#This Row],[Cell_ID]],Registre_Maintenance_Part[[ID_Antenne]:[Colonne2]],6,FALSE),"")</f>
        <v/>
      </c>
    </row>
    <row r="559" spans="1:11" x14ac:dyDescent="0.3">
      <c r="A559" t="s">
        <v>1310</v>
      </c>
      <c r="B559" s="1">
        <v>45203.958333333343</v>
      </c>
      <c r="C559" s="2">
        <v>45203.958333333343</v>
      </c>
      <c r="D559" t="s">
        <v>1319</v>
      </c>
      <c r="E559">
        <v>65</v>
      </c>
      <c r="F559" t="s">
        <v>739</v>
      </c>
      <c r="G559" t="str">
        <f>IFERROR(VLOOKUP(Logs_Reseau_Part5[[#This Row],[Cell_ID]],Registre_Maintenance_Part[[ID_Antenne]:[Colonne2]],2,FALSE),"")</f>
        <v/>
      </c>
      <c r="H559" t="str">
        <f>IFERROR(VLOOKUP(Logs_Reseau_Part5[[#This Row],[Cell_ID]],Registre_Maintenance_Part[[ID_Antenne]:[Colonne2]],3,FALSE),"")</f>
        <v/>
      </c>
      <c r="I559" t="str">
        <f>IFERROR(VLOOKUP(Logs_Reseau_Part5[[#This Row],[Cell_ID]],Registre_Maintenance_Part[[ID_Antenne]:[Colonne2]],4,FALSE),"")</f>
        <v/>
      </c>
      <c r="J559" t="str">
        <f>IFERROR(VLOOKUP(Logs_Reseau_Part5[[#This Row],[Cell_ID]],Registre_Maintenance_Part[[ID_Antenne]:[Colonne2]],5,FALSE),"")</f>
        <v/>
      </c>
      <c r="K559" t="str">
        <f>IFERROR(VLOOKUP(Logs_Reseau_Part5[[#This Row],[Cell_ID]],Registre_Maintenance_Part[[ID_Antenne]:[Colonne2]],6,FALSE),"")</f>
        <v/>
      </c>
    </row>
    <row r="560" spans="1:11" x14ac:dyDescent="0.3">
      <c r="A560" t="s">
        <v>1167</v>
      </c>
      <c r="B560" s="1">
        <v>45203.991666666669</v>
      </c>
      <c r="C560" s="2">
        <v>45203.991666666669</v>
      </c>
      <c r="D560" t="s">
        <v>1181</v>
      </c>
      <c r="E560">
        <v>5</v>
      </c>
      <c r="F560" t="s">
        <v>739</v>
      </c>
      <c r="G560" t="str">
        <f>IFERROR(VLOOKUP(Logs_Reseau_Part5[[#This Row],[Cell_ID]],Registre_Maintenance_Part[[ID_Antenne]:[Colonne2]],2,FALSE),"")</f>
        <v/>
      </c>
      <c r="H560" t="str">
        <f>IFERROR(VLOOKUP(Logs_Reseau_Part5[[#This Row],[Cell_ID]],Registre_Maintenance_Part[[ID_Antenne]:[Colonne2]],3,FALSE),"")</f>
        <v/>
      </c>
      <c r="I560" t="str">
        <f>IFERROR(VLOOKUP(Logs_Reseau_Part5[[#This Row],[Cell_ID]],Registre_Maintenance_Part[[ID_Antenne]:[Colonne2]],4,FALSE),"")</f>
        <v/>
      </c>
      <c r="J560" t="str">
        <f>IFERROR(VLOOKUP(Logs_Reseau_Part5[[#This Row],[Cell_ID]],Registre_Maintenance_Part[[ID_Antenne]:[Colonne2]],5,FALSE),"")</f>
        <v/>
      </c>
      <c r="K560" t="str">
        <f>IFERROR(VLOOKUP(Logs_Reseau_Part5[[#This Row],[Cell_ID]],Registre_Maintenance_Part[[ID_Antenne]:[Colonne2]],6,FALSE),"")</f>
        <v/>
      </c>
    </row>
    <row r="561" spans="1:11" x14ac:dyDescent="0.3">
      <c r="A561" t="s">
        <v>1195</v>
      </c>
      <c r="B561" s="1">
        <v>45204.090277777781</v>
      </c>
      <c r="C561" s="2">
        <v>45204.090277777781</v>
      </c>
      <c r="D561" t="s">
        <v>1218</v>
      </c>
      <c r="E561">
        <v>93</v>
      </c>
      <c r="F561" t="s">
        <v>739</v>
      </c>
      <c r="G561" t="str">
        <f>IFERROR(VLOOKUP(Logs_Reseau_Part5[[#This Row],[Cell_ID]],Registre_Maintenance_Part[[ID_Antenne]:[Colonne2]],2,FALSE),"")</f>
        <v/>
      </c>
      <c r="H561" t="str">
        <f>IFERROR(VLOOKUP(Logs_Reseau_Part5[[#This Row],[Cell_ID]],Registre_Maintenance_Part[[ID_Antenne]:[Colonne2]],3,FALSE),"")</f>
        <v/>
      </c>
      <c r="I561" t="str">
        <f>IFERROR(VLOOKUP(Logs_Reseau_Part5[[#This Row],[Cell_ID]],Registre_Maintenance_Part[[ID_Antenne]:[Colonne2]],4,FALSE),"")</f>
        <v/>
      </c>
      <c r="J561" t="str">
        <f>IFERROR(VLOOKUP(Logs_Reseau_Part5[[#This Row],[Cell_ID]],Registre_Maintenance_Part[[ID_Antenne]:[Colonne2]],5,FALSE),"")</f>
        <v/>
      </c>
      <c r="K561" t="str">
        <f>IFERROR(VLOOKUP(Logs_Reseau_Part5[[#This Row],[Cell_ID]],Registre_Maintenance_Part[[ID_Antenne]:[Colonne2]],6,FALSE),"")</f>
        <v/>
      </c>
    </row>
    <row r="562" spans="1:11" x14ac:dyDescent="0.3">
      <c r="A562" t="s">
        <v>1195</v>
      </c>
      <c r="B562" s="1">
        <v>45204.09097222222</v>
      </c>
      <c r="C562" s="2">
        <v>45204.09097222222</v>
      </c>
      <c r="D562" t="s">
        <v>1210</v>
      </c>
      <c r="E562">
        <v>81</v>
      </c>
      <c r="F562" t="s">
        <v>734</v>
      </c>
      <c r="G562" t="str">
        <f>IFERROR(VLOOKUP(Logs_Reseau_Part5[[#This Row],[Cell_ID]],Registre_Maintenance_Part[[ID_Antenne]:[Colonne2]],2,FALSE),"")</f>
        <v/>
      </c>
      <c r="H562" t="str">
        <f>IFERROR(VLOOKUP(Logs_Reseau_Part5[[#This Row],[Cell_ID]],Registre_Maintenance_Part[[ID_Antenne]:[Colonne2]],3,FALSE),"")</f>
        <v/>
      </c>
      <c r="I562" t="str">
        <f>IFERROR(VLOOKUP(Logs_Reseau_Part5[[#This Row],[Cell_ID]],Registre_Maintenance_Part[[ID_Antenne]:[Colonne2]],4,FALSE),"")</f>
        <v/>
      </c>
      <c r="J562" t="str">
        <f>IFERROR(VLOOKUP(Logs_Reseau_Part5[[#This Row],[Cell_ID]],Registre_Maintenance_Part[[ID_Antenne]:[Colonne2]],5,FALSE),"")</f>
        <v/>
      </c>
      <c r="K562" t="str">
        <f>IFERROR(VLOOKUP(Logs_Reseau_Part5[[#This Row],[Cell_ID]],Registre_Maintenance_Part[[ID_Antenne]:[Colonne2]],6,FALSE),"")</f>
        <v/>
      </c>
    </row>
    <row r="563" spans="1:11" x14ac:dyDescent="0.3">
      <c r="A563" t="s">
        <v>904</v>
      </c>
      <c r="B563" s="1">
        <v>45204.20208333333</v>
      </c>
      <c r="C563" s="2">
        <v>45204.20208333333</v>
      </c>
      <c r="D563" t="s">
        <v>910</v>
      </c>
      <c r="E563">
        <v>10</v>
      </c>
      <c r="F563" t="s">
        <v>734</v>
      </c>
      <c r="G563" t="str">
        <f>IFERROR(VLOOKUP(Logs_Reseau_Part5[[#This Row],[Cell_ID]],Registre_Maintenance_Part[[ID_Antenne]:[Colonne2]],2,FALSE),"")</f>
        <v/>
      </c>
      <c r="H563" t="str">
        <f>IFERROR(VLOOKUP(Logs_Reseau_Part5[[#This Row],[Cell_ID]],Registre_Maintenance_Part[[ID_Antenne]:[Colonne2]],3,FALSE),"")</f>
        <v/>
      </c>
      <c r="I563" t="str">
        <f>IFERROR(VLOOKUP(Logs_Reseau_Part5[[#This Row],[Cell_ID]],Registre_Maintenance_Part[[ID_Antenne]:[Colonne2]],4,FALSE),"")</f>
        <v/>
      </c>
      <c r="J563" t="str">
        <f>IFERROR(VLOOKUP(Logs_Reseau_Part5[[#This Row],[Cell_ID]],Registre_Maintenance_Part[[ID_Antenne]:[Colonne2]],5,FALSE),"")</f>
        <v/>
      </c>
      <c r="K563" t="str">
        <f>IFERROR(VLOOKUP(Logs_Reseau_Part5[[#This Row],[Cell_ID]],Registre_Maintenance_Part[[ID_Antenne]:[Colonne2]],6,FALSE),"")</f>
        <v/>
      </c>
    </row>
    <row r="564" spans="1:11" x14ac:dyDescent="0.3">
      <c r="A564" t="s">
        <v>941</v>
      </c>
      <c r="B564" s="1">
        <v>45204.314583333333</v>
      </c>
      <c r="C564" s="2">
        <v>45204.314583333333</v>
      </c>
      <c r="D564" t="s">
        <v>968</v>
      </c>
      <c r="E564">
        <v>120</v>
      </c>
      <c r="F564" t="s">
        <v>737</v>
      </c>
      <c r="G564" t="str">
        <f>IFERROR(VLOOKUP(Logs_Reseau_Part5[[#This Row],[Cell_ID]],Registre_Maintenance_Part[[ID_Antenne]:[Colonne2]],2,FALSE),"")</f>
        <v/>
      </c>
      <c r="H564" t="str">
        <f>IFERROR(VLOOKUP(Logs_Reseau_Part5[[#This Row],[Cell_ID]],Registre_Maintenance_Part[[ID_Antenne]:[Colonne2]],3,FALSE),"")</f>
        <v/>
      </c>
      <c r="I564" t="str">
        <f>IFERROR(VLOOKUP(Logs_Reseau_Part5[[#This Row],[Cell_ID]],Registre_Maintenance_Part[[ID_Antenne]:[Colonne2]],4,FALSE),"")</f>
        <v/>
      </c>
      <c r="J564" t="str">
        <f>IFERROR(VLOOKUP(Logs_Reseau_Part5[[#This Row],[Cell_ID]],Registre_Maintenance_Part[[ID_Antenne]:[Colonne2]],5,FALSE),"")</f>
        <v/>
      </c>
      <c r="K564" t="str">
        <f>IFERROR(VLOOKUP(Logs_Reseau_Part5[[#This Row],[Cell_ID]],Registre_Maintenance_Part[[ID_Antenne]:[Colonne2]],6,FALSE),"")</f>
        <v/>
      </c>
    </row>
    <row r="565" spans="1:11" x14ac:dyDescent="0.3">
      <c r="A565" t="s">
        <v>732</v>
      </c>
      <c r="B565" s="1">
        <v>45204.338888888888</v>
      </c>
      <c r="C565" s="2">
        <v>45204.338888888888</v>
      </c>
      <c r="D565" t="s">
        <v>779</v>
      </c>
      <c r="E565">
        <v>60</v>
      </c>
      <c r="F565" t="s">
        <v>734</v>
      </c>
      <c r="G565" t="str">
        <f>IFERROR(VLOOKUP(Logs_Reseau_Part5[[#This Row],[Cell_ID]],Registre_Maintenance_Part[[ID_Antenne]:[Colonne2]],2,FALSE),"")</f>
        <v/>
      </c>
      <c r="H565" t="str">
        <f>IFERROR(VLOOKUP(Logs_Reseau_Part5[[#This Row],[Cell_ID]],Registre_Maintenance_Part[[ID_Antenne]:[Colonne2]],3,FALSE),"")</f>
        <v/>
      </c>
      <c r="I565" t="str">
        <f>IFERROR(VLOOKUP(Logs_Reseau_Part5[[#This Row],[Cell_ID]],Registre_Maintenance_Part[[ID_Antenne]:[Colonne2]],4,FALSE),"")</f>
        <v/>
      </c>
      <c r="J565" t="str">
        <f>IFERROR(VLOOKUP(Logs_Reseau_Part5[[#This Row],[Cell_ID]],Registre_Maintenance_Part[[ID_Antenne]:[Colonne2]],5,FALSE),"")</f>
        <v/>
      </c>
      <c r="K565" t="str">
        <f>IFERROR(VLOOKUP(Logs_Reseau_Part5[[#This Row],[Cell_ID]],Registre_Maintenance_Part[[ID_Antenne]:[Colonne2]],6,FALSE),"")</f>
        <v/>
      </c>
    </row>
    <row r="566" spans="1:11" x14ac:dyDescent="0.3">
      <c r="A566" t="s">
        <v>1167</v>
      </c>
      <c r="B566" s="1">
        <v>45204.39166666667</v>
      </c>
      <c r="C566" s="2">
        <v>45204.39166666667</v>
      </c>
      <c r="D566" t="s">
        <v>886</v>
      </c>
      <c r="E566">
        <v>98</v>
      </c>
      <c r="F566" t="s">
        <v>739</v>
      </c>
      <c r="G566" t="str">
        <f>IFERROR(VLOOKUP(Logs_Reseau_Part5[[#This Row],[Cell_ID]],Registre_Maintenance_Part[[ID_Antenne]:[Colonne2]],2,FALSE),"")</f>
        <v/>
      </c>
      <c r="H566" t="str">
        <f>IFERROR(VLOOKUP(Logs_Reseau_Part5[[#This Row],[Cell_ID]],Registre_Maintenance_Part[[ID_Antenne]:[Colonne2]],3,FALSE),"")</f>
        <v/>
      </c>
      <c r="I566" t="str">
        <f>IFERROR(VLOOKUP(Logs_Reseau_Part5[[#This Row],[Cell_ID]],Registre_Maintenance_Part[[ID_Antenne]:[Colonne2]],4,FALSE),"")</f>
        <v/>
      </c>
      <c r="J566" t="str">
        <f>IFERROR(VLOOKUP(Logs_Reseau_Part5[[#This Row],[Cell_ID]],Registre_Maintenance_Part[[ID_Antenne]:[Colonne2]],5,FALSE),"")</f>
        <v/>
      </c>
      <c r="K566" t="str">
        <f>IFERROR(VLOOKUP(Logs_Reseau_Part5[[#This Row],[Cell_ID]],Registre_Maintenance_Part[[ID_Antenne]:[Colonne2]],6,FALSE),"")</f>
        <v/>
      </c>
    </row>
    <row r="567" spans="1:11" x14ac:dyDescent="0.3">
      <c r="A567" t="s">
        <v>980</v>
      </c>
      <c r="B567" s="1">
        <v>45204.570138888892</v>
      </c>
      <c r="C567" s="2">
        <v>45204.570138888892</v>
      </c>
      <c r="D567" t="s">
        <v>984</v>
      </c>
      <c r="E567">
        <v>13</v>
      </c>
      <c r="F567" t="s">
        <v>739</v>
      </c>
      <c r="G567" t="str">
        <f>IFERROR(VLOOKUP(Logs_Reseau_Part5[[#This Row],[Cell_ID]],Registre_Maintenance_Part[[ID_Antenne]:[Colonne2]],2,FALSE),"")</f>
        <v/>
      </c>
      <c r="H567" t="str">
        <f>IFERROR(VLOOKUP(Logs_Reseau_Part5[[#This Row],[Cell_ID]],Registre_Maintenance_Part[[ID_Antenne]:[Colonne2]],3,FALSE),"")</f>
        <v/>
      </c>
      <c r="I567" t="str">
        <f>IFERROR(VLOOKUP(Logs_Reseau_Part5[[#This Row],[Cell_ID]],Registre_Maintenance_Part[[ID_Antenne]:[Colonne2]],4,FALSE),"")</f>
        <v/>
      </c>
      <c r="J567" t="str">
        <f>IFERROR(VLOOKUP(Logs_Reseau_Part5[[#This Row],[Cell_ID]],Registre_Maintenance_Part[[ID_Antenne]:[Colonne2]],5,FALSE),"")</f>
        <v/>
      </c>
      <c r="K567" t="str">
        <f>IFERROR(VLOOKUP(Logs_Reseau_Part5[[#This Row],[Cell_ID]],Registre_Maintenance_Part[[ID_Antenne]:[Colonne2]],6,FALSE),"")</f>
        <v/>
      </c>
    </row>
    <row r="568" spans="1:11" x14ac:dyDescent="0.3">
      <c r="A568" t="s">
        <v>1363</v>
      </c>
      <c r="B568" s="1">
        <v>45204.665277777778</v>
      </c>
      <c r="C568" s="2">
        <v>45204.665277777778</v>
      </c>
      <c r="D568" t="s">
        <v>1072</v>
      </c>
      <c r="E568">
        <v>56</v>
      </c>
      <c r="F568" t="s">
        <v>734</v>
      </c>
      <c r="G568" t="str">
        <f>IFERROR(VLOOKUP(Logs_Reseau_Part5[[#This Row],[Cell_ID]],Registre_Maintenance_Part[[ID_Antenne]:[Colonne2]],2,FALSE),"")</f>
        <v/>
      </c>
      <c r="H568" t="str">
        <f>IFERROR(VLOOKUP(Logs_Reseau_Part5[[#This Row],[Cell_ID]],Registre_Maintenance_Part[[ID_Antenne]:[Colonne2]],3,FALSE),"")</f>
        <v/>
      </c>
      <c r="I568" t="str">
        <f>IFERROR(VLOOKUP(Logs_Reseau_Part5[[#This Row],[Cell_ID]],Registre_Maintenance_Part[[ID_Antenne]:[Colonne2]],4,FALSE),"")</f>
        <v/>
      </c>
      <c r="J568" t="str">
        <f>IFERROR(VLOOKUP(Logs_Reseau_Part5[[#This Row],[Cell_ID]],Registre_Maintenance_Part[[ID_Antenne]:[Colonne2]],5,FALSE),"")</f>
        <v/>
      </c>
      <c r="K568" t="str">
        <f>IFERROR(VLOOKUP(Logs_Reseau_Part5[[#This Row],[Cell_ID]],Registre_Maintenance_Part[[ID_Antenne]:[Colonne2]],6,FALSE),"")</f>
        <v/>
      </c>
    </row>
    <row r="569" spans="1:11" x14ac:dyDescent="0.3">
      <c r="A569" t="s">
        <v>1140</v>
      </c>
      <c r="B569" s="1">
        <v>45204.68472222222</v>
      </c>
      <c r="C569" s="2">
        <v>45204.68472222222</v>
      </c>
      <c r="D569" t="s">
        <v>1163</v>
      </c>
      <c r="E569">
        <v>92</v>
      </c>
      <c r="F569" t="s">
        <v>734</v>
      </c>
      <c r="G569" t="str">
        <f>IFERROR(VLOOKUP(Logs_Reseau_Part5[[#This Row],[Cell_ID]],Registre_Maintenance_Part[[ID_Antenne]:[Colonne2]],2,FALSE),"")</f>
        <v/>
      </c>
      <c r="H569" t="str">
        <f>IFERROR(VLOOKUP(Logs_Reseau_Part5[[#This Row],[Cell_ID]],Registre_Maintenance_Part[[ID_Antenne]:[Colonne2]],3,FALSE),"")</f>
        <v/>
      </c>
      <c r="I569" t="str">
        <f>IFERROR(VLOOKUP(Logs_Reseau_Part5[[#This Row],[Cell_ID]],Registre_Maintenance_Part[[ID_Antenne]:[Colonne2]],4,FALSE),"")</f>
        <v/>
      </c>
      <c r="J569" t="str">
        <f>IFERROR(VLOOKUP(Logs_Reseau_Part5[[#This Row],[Cell_ID]],Registre_Maintenance_Part[[ID_Antenne]:[Colonne2]],5,FALSE),"")</f>
        <v/>
      </c>
      <c r="K569" t="str">
        <f>IFERROR(VLOOKUP(Logs_Reseau_Part5[[#This Row],[Cell_ID]],Registre_Maintenance_Part[[ID_Antenne]:[Colonne2]],6,FALSE),"")</f>
        <v/>
      </c>
    </row>
    <row r="570" spans="1:11" x14ac:dyDescent="0.3">
      <c r="A570" t="s">
        <v>980</v>
      </c>
      <c r="B570" s="1">
        <v>45204.759027777778</v>
      </c>
      <c r="C570" s="2">
        <v>45204.759027777778</v>
      </c>
      <c r="D570" t="s">
        <v>994</v>
      </c>
      <c r="E570">
        <v>105</v>
      </c>
      <c r="F570" t="s">
        <v>739</v>
      </c>
      <c r="G570" t="str">
        <f>IFERROR(VLOOKUP(Logs_Reseau_Part5[[#This Row],[Cell_ID]],Registre_Maintenance_Part[[ID_Antenne]:[Colonne2]],2,FALSE),"")</f>
        <v/>
      </c>
      <c r="H570" t="str">
        <f>IFERROR(VLOOKUP(Logs_Reseau_Part5[[#This Row],[Cell_ID]],Registre_Maintenance_Part[[ID_Antenne]:[Colonne2]],3,FALSE),"")</f>
        <v/>
      </c>
      <c r="I570" t="str">
        <f>IFERROR(VLOOKUP(Logs_Reseau_Part5[[#This Row],[Cell_ID]],Registre_Maintenance_Part[[ID_Antenne]:[Colonne2]],4,FALSE),"")</f>
        <v/>
      </c>
      <c r="J570" t="str">
        <f>IFERROR(VLOOKUP(Logs_Reseau_Part5[[#This Row],[Cell_ID]],Registre_Maintenance_Part[[ID_Antenne]:[Colonne2]],5,FALSE),"")</f>
        <v/>
      </c>
      <c r="K570" t="str">
        <f>IFERROR(VLOOKUP(Logs_Reseau_Part5[[#This Row],[Cell_ID]],Registre_Maintenance_Part[[ID_Antenne]:[Colonne2]],6,FALSE),"")</f>
        <v/>
      </c>
    </row>
    <row r="571" spans="1:11" x14ac:dyDescent="0.3">
      <c r="A571" t="s">
        <v>1243</v>
      </c>
      <c r="B571" s="1">
        <v>45204.84652777778</v>
      </c>
      <c r="C571" s="2">
        <v>45204.84652777778</v>
      </c>
      <c r="D571" t="s">
        <v>1252</v>
      </c>
      <c r="E571">
        <v>16</v>
      </c>
      <c r="F571" t="s">
        <v>739</v>
      </c>
      <c r="G571" t="str">
        <f>IFERROR(VLOOKUP(Logs_Reseau_Part5[[#This Row],[Cell_ID]],Registre_Maintenance_Part[[ID_Antenne]:[Colonne2]],2,FALSE),"")</f>
        <v/>
      </c>
      <c r="H571" t="str">
        <f>IFERROR(VLOOKUP(Logs_Reseau_Part5[[#This Row],[Cell_ID]],Registre_Maintenance_Part[[ID_Antenne]:[Colonne2]],3,FALSE),"")</f>
        <v/>
      </c>
      <c r="I571" t="str">
        <f>IFERROR(VLOOKUP(Logs_Reseau_Part5[[#This Row],[Cell_ID]],Registre_Maintenance_Part[[ID_Antenne]:[Colonne2]],4,FALSE),"")</f>
        <v/>
      </c>
      <c r="J571" t="str">
        <f>IFERROR(VLOOKUP(Logs_Reseau_Part5[[#This Row],[Cell_ID]],Registre_Maintenance_Part[[ID_Antenne]:[Colonne2]],5,FALSE),"")</f>
        <v/>
      </c>
      <c r="K571" t="str">
        <f>IFERROR(VLOOKUP(Logs_Reseau_Part5[[#This Row],[Cell_ID]],Registre_Maintenance_Part[[ID_Antenne]:[Colonne2]],6,FALSE),"")</f>
        <v/>
      </c>
    </row>
    <row r="572" spans="1:11" x14ac:dyDescent="0.3">
      <c r="A572" t="s">
        <v>1001</v>
      </c>
      <c r="B572" s="1">
        <v>45204.895833333343</v>
      </c>
      <c r="C572" s="2">
        <v>45204.895833333343</v>
      </c>
      <c r="D572" t="s">
        <v>1004</v>
      </c>
      <c r="E572">
        <v>42</v>
      </c>
      <c r="F572" t="s">
        <v>737</v>
      </c>
      <c r="G572" t="str">
        <f>IFERROR(VLOOKUP(Logs_Reseau_Part5[[#This Row],[Cell_ID]],Registre_Maintenance_Part[[ID_Antenne]:[Colonne2]],2,FALSE),"")</f>
        <v/>
      </c>
      <c r="H572" t="str">
        <f>IFERROR(VLOOKUP(Logs_Reseau_Part5[[#This Row],[Cell_ID]],Registre_Maintenance_Part[[ID_Antenne]:[Colonne2]],3,FALSE),"")</f>
        <v/>
      </c>
      <c r="I572" t="str">
        <f>IFERROR(VLOOKUP(Logs_Reseau_Part5[[#This Row],[Cell_ID]],Registre_Maintenance_Part[[ID_Antenne]:[Colonne2]],4,FALSE),"")</f>
        <v/>
      </c>
      <c r="J572" t="str">
        <f>IFERROR(VLOOKUP(Logs_Reseau_Part5[[#This Row],[Cell_ID]],Registre_Maintenance_Part[[ID_Antenne]:[Colonne2]],5,FALSE),"")</f>
        <v/>
      </c>
      <c r="K572" t="str">
        <f>IFERROR(VLOOKUP(Logs_Reseau_Part5[[#This Row],[Cell_ID]],Registre_Maintenance_Part[[ID_Antenne]:[Colonne2]],6,FALSE),"")</f>
        <v/>
      </c>
    </row>
    <row r="573" spans="1:11" x14ac:dyDescent="0.3">
      <c r="A573" t="s">
        <v>1263</v>
      </c>
      <c r="B573" s="1">
        <v>45204.916666666657</v>
      </c>
      <c r="C573" s="2">
        <v>45204.916666666657</v>
      </c>
      <c r="D573" t="s">
        <v>1268</v>
      </c>
      <c r="E573">
        <v>64</v>
      </c>
      <c r="F573" t="s">
        <v>739</v>
      </c>
      <c r="G573" t="str">
        <f>IFERROR(VLOOKUP(Logs_Reseau_Part5[[#This Row],[Cell_ID]],Registre_Maintenance_Part[[ID_Antenne]:[Colonne2]],2,FALSE),"")</f>
        <v/>
      </c>
      <c r="H573" t="str">
        <f>IFERROR(VLOOKUP(Logs_Reseau_Part5[[#This Row],[Cell_ID]],Registre_Maintenance_Part[[ID_Antenne]:[Colonne2]],3,FALSE),"")</f>
        <v/>
      </c>
      <c r="I573" t="str">
        <f>IFERROR(VLOOKUP(Logs_Reseau_Part5[[#This Row],[Cell_ID]],Registre_Maintenance_Part[[ID_Antenne]:[Colonne2]],4,FALSE),"")</f>
        <v/>
      </c>
      <c r="J573" t="str">
        <f>IFERROR(VLOOKUP(Logs_Reseau_Part5[[#This Row],[Cell_ID]],Registre_Maintenance_Part[[ID_Antenne]:[Colonne2]],5,FALSE),"")</f>
        <v/>
      </c>
      <c r="K573" t="str">
        <f>IFERROR(VLOOKUP(Logs_Reseau_Part5[[#This Row],[Cell_ID]],Registre_Maintenance_Part[[ID_Antenne]:[Colonne2]],6,FALSE),"")</f>
        <v/>
      </c>
    </row>
    <row r="574" spans="1:11" x14ac:dyDescent="0.3">
      <c r="A574" t="s">
        <v>1116</v>
      </c>
      <c r="B574" s="1">
        <v>45204.931250000001</v>
      </c>
      <c r="C574" s="2">
        <v>45204.931250000001</v>
      </c>
      <c r="D574" t="s">
        <v>1117</v>
      </c>
      <c r="E574">
        <v>66</v>
      </c>
      <c r="F574" t="s">
        <v>734</v>
      </c>
      <c r="G574" t="str">
        <f>IFERROR(VLOOKUP(Logs_Reseau_Part5[[#This Row],[Cell_ID]],Registre_Maintenance_Part[[ID_Antenne]:[Colonne2]],2,FALSE),"")</f>
        <v/>
      </c>
      <c r="H574" t="str">
        <f>IFERROR(VLOOKUP(Logs_Reseau_Part5[[#This Row],[Cell_ID]],Registre_Maintenance_Part[[ID_Antenne]:[Colonne2]],3,FALSE),"")</f>
        <v/>
      </c>
      <c r="I574" t="str">
        <f>IFERROR(VLOOKUP(Logs_Reseau_Part5[[#This Row],[Cell_ID]],Registre_Maintenance_Part[[ID_Antenne]:[Colonne2]],4,FALSE),"")</f>
        <v/>
      </c>
      <c r="J574" t="str">
        <f>IFERROR(VLOOKUP(Logs_Reseau_Part5[[#This Row],[Cell_ID]],Registre_Maintenance_Part[[ID_Antenne]:[Colonne2]],5,FALSE),"")</f>
        <v/>
      </c>
      <c r="K574" t="str">
        <f>IFERROR(VLOOKUP(Logs_Reseau_Part5[[#This Row],[Cell_ID]],Registre_Maintenance_Part[[ID_Antenne]:[Colonne2]],6,FALSE),"")</f>
        <v/>
      </c>
    </row>
    <row r="575" spans="1:11" x14ac:dyDescent="0.3">
      <c r="A575" t="s">
        <v>1363</v>
      </c>
      <c r="B575" s="1">
        <v>45204.948611111111</v>
      </c>
      <c r="C575" s="2">
        <v>45204.948611111111</v>
      </c>
      <c r="D575" t="s">
        <v>1370</v>
      </c>
      <c r="E575">
        <v>47</v>
      </c>
      <c r="F575" t="s">
        <v>737</v>
      </c>
      <c r="G575" t="str">
        <f>IFERROR(VLOOKUP(Logs_Reseau_Part5[[#This Row],[Cell_ID]],Registre_Maintenance_Part[[ID_Antenne]:[Colonne2]],2,FALSE),"")</f>
        <v/>
      </c>
      <c r="H575" t="str">
        <f>IFERROR(VLOOKUP(Logs_Reseau_Part5[[#This Row],[Cell_ID]],Registre_Maintenance_Part[[ID_Antenne]:[Colonne2]],3,FALSE),"")</f>
        <v/>
      </c>
      <c r="I575" t="str">
        <f>IFERROR(VLOOKUP(Logs_Reseau_Part5[[#This Row],[Cell_ID]],Registre_Maintenance_Part[[ID_Antenne]:[Colonne2]],4,FALSE),"")</f>
        <v/>
      </c>
      <c r="J575" t="str">
        <f>IFERROR(VLOOKUP(Logs_Reseau_Part5[[#This Row],[Cell_ID]],Registre_Maintenance_Part[[ID_Antenne]:[Colonne2]],5,FALSE),"")</f>
        <v/>
      </c>
      <c r="K575" t="str">
        <f>IFERROR(VLOOKUP(Logs_Reseau_Part5[[#This Row],[Cell_ID]],Registre_Maintenance_Part[[ID_Antenne]:[Colonne2]],6,FALSE),"")</f>
        <v/>
      </c>
    </row>
    <row r="576" spans="1:11" x14ac:dyDescent="0.3">
      <c r="A576" t="s">
        <v>732</v>
      </c>
      <c r="B576" s="1">
        <v>45204.962500000001</v>
      </c>
      <c r="C576" s="2">
        <v>45204.962500000001</v>
      </c>
      <c r="D576" t="s">
        <v>736</v>
      </c>
      <c r="E576">
        <v>100</v>
      </c>
      <c r="F576" t="s">
        <v>737</v>
      </c>
      <c r="G576" t="str">
        <f>IFERROR(VLOOKUP(Logs_Reseau_Part5[[#This Row],[Cell_ID]],Registre_Maintenance_Part[[ID_Antenne]:[Colonne2]],2,FALSE),"")</f>
        <v/>
      </c>
      <c r="H576" t="str">
        <f>IFERROR(VLOOKUP(Logs_Reseau_Part5[[#This Row],[Cell_ID]],Registre_Maintenance_Part[[ID_Antenne]:[Colonne2]],3,FALSE),"")</f>
        <v/>
      </c>
      <c r="I576" t="str">
        <f>IFERROR(VLOOKUP(Logs_Reseau_Part5[[#This Row],[Cell_ID]],Registre_Maintenance_Part[[ID_Antenne]:[Colonne2]],4,FALSE),"")</f>
        <v/>
      </c>
      <c r="J576" t="str">
        <f>IFERROR(VLOOKUP(Logs_Reseau_Part5[[#This Row],[Cell_ID]],Registre_Maintenance_Part[[ID_Antenne]:[Colonne2]],5,FALSE),"")</f>
        <v/>
      </c>
      <c r="K576" t="str">
        <f>IFERROR(VLOOKUP(Logs_Reseau_Part5[[#This Row],[Cell_ID]],Registre_Maintenance_Part[[ID_Antenne]:[Colonne2]],6,FALSE),"")</f>
        <v/>
      </c>
    </row>
    <row r="577" spans="1:11" x14ac:dyDescent="0.3">
      <c r="A577" t="s">
        <v>1026</v>
      </c>
      <c r="B577" s="1">
        <v>45205.052083333343</v>
      </c>
      <c r="C577" s="2">
        <v>45205.052083333343</v>
      </c>
      <c r="D577" t="s">
        <v>1037</v>
      </c>
      <c r="E577">
        <v>81</v>
      </c>
      <c r="F577" t="s">
        <v>739</v>
      </c>
      <c r="G577" t="str">
        <f>IFERROR(VLOOKUP(Logs_Reseau_Part5[[#This Row],[Cell_ID]],Registre_Maintenance_Part[[ID_Antenne]:[Colonne2]],2,FALSE),"")</f>
        <v/>
      </c>
      <c r="H577" t="str">
        <f>IFERROR(VLOOKUP(Logs_Reseau_Part5[[#This Row],[Cell_ID]],Registre_Maintenance_Part[[ID_Antenne]:[Colonne2]],3,FALSE),"")</f>
        <v/>
      </c>
      <c r="I577" t="str">
        <f>IFERROR(VLOOKUP(Logs_Reseau_Part5[[#This Row],[Cell_ID]],Registre_Maintenance_Part[[ID_Antenne]:[Colonne2]],4,FALSE),"")</f>
        <v/>
      </c>
      <c r="J577" t="str">
        <f>IFERROR(VLOOKUP(Logs_Reseau_Part5[[#This Row],[Cell_ID]],Registre_Maintenance_Part[[ID_Antenne]:[Colonne2]],5,FALSE),"")</f>
        <v/>
      </c>
      <c r="K577" t="str">
        <f>IFERROR(VLOOKUP(Logs_Reseau_Part5[[#This Row],[Cell_ID]],Registre_Maintenance_Part[[ID_Antenne]:[Colonne2]],6,FALSE),"")</f>
        <v/>
      </c>
    </row>
    <row r="578" spans="1:11" x14ac:dyDescent="0.3">
      <c r="A578" t="s">
        <v>941</v>
      </c>
      <c r="B578" s="1">
        <v>45205.102777777778</v>
      </c>
      <c r="C578" s="2">
        <v>45205.102777777778</v>
      </c>
      <c r="D578" t="s">
        <v>976</v>
      </c>
      <c r="E578">
        <v>84</v>
      </c>
      <c r="F578" t="s">
        <v>739</v>
      </c>
      <c r="G578" t="str">
        <f>IFERROR(VLOOKUP(Logs_Reseau_Part5[[#This Row],[Cell_ID]],Registre_Maintenance_Part[[ID_Antenne]:[Colonne2]],2,FALSE),"")</f>
        <v/>
      </c>
      <c r="H578" t="str">
        <f>IFERROR(VLOOKUP(Logs_Reseau_Part5[[#This Row],[Cell_ID]],Registre_Maintenance_Part[[ID_Antenne]:[Colonne2]],3,FALSE),"")</f>
        <v/>
      </c>
      <c r="I578" t="str">
        <f>IFERROR(VLOOKUP(Logs_Reseau_Part5[[#This Row],[Cell_ID]],Registre_Maintenance_Part[[ID_Antenne]:[Colonne2]],4,FALSE),"")</f>
        <v/>
      </c>
      <c r="J578" t="str">
        <f>IFERROR(VLOOKUP(Logs_Reseau_Part5[[#This Row],[Cell_ID]],Registre_Maintenance_Part[[ID_Antenne]:[Colonne2]],5,FALSE),"")</f>
        <v/>
      </c>
      <c r="K578" t="str">
        <f>IFERROR(VLOOKUP(Logs_Reseau_Part5[[#This Row],[Cell_ID]],Registre_Maintenance_Part[[ID_Antenne]:[Colonne2]],6,FALSE),"")</f>
        <v/>
      </c>
    </row>
    <row r="579" spans="1:11" x14ac:dyDescent="0.3">
      <c r="A579" t="s">
        <v>941</v>
      </c>
      <c r="B579" s="1">
        <v>45205.11041666667</v>
      </c>
      <c r="C579" s="2">
        <v>45205.11041666667</v>
      </c>
      <c r="D579" t="s">
        <v>763</v>
      </c>
      <c r="E579">
        <v>104</v>
      </c>
      <c r="F579" t="s">
        <v>734</v>
      </c>
      <c r="G579" t="str">
        <f>IFERROR(VLOOKUP(Logs_Reseau_Part5[[#This Row],[Cell_ID]],Registre_Maintenance_Part[[ID_Antenne]:[Colonne2]],2,FALSE),"")</f>
        <v/>
      </c>
      <c r="H579" t="str">
        <f>IFERROR(VLOOKUP(Logs_Reseau_Part5[[#This Row],[Cell_ID]],Registre_Maintenance_Part[[ID_Antenne]:[Colonne2]],3,FALSE),"")</f>
        <v/>
      </c>
      <c r="I579" t="str">
        <f>IFERROR(VLOOKUP(Logs_Reseau_Part5[[#This Row],[Cell_ID]],Registre_Maintenance_Part[[ID_Antenne]:[Colonne2]],4,FALSE),"")</f>
        <v/>
      </c>
      <c r="J579" t="str">
        <f>IFERROR(VLOOKUP(Logs_Reseau_Part5[[#This Row],[Cell_ID]],Registre_Maintenance_Part[[ID_Antenne]:[Colonne2]],5,FALSE),"")</f>
        <v/>
      </c>
      <c r="K579" t="str">
        <f>IFERROR(VLOOKUP(Logs_Reseau_Part5[[#This Row],[Cell_ID]],Registre_Maintenance_Part[[ID_Antenne]:[Colonne2]],6,FALSE),"")</f>
        <v/>
      </c>
    </row>
    <row r="580" spans="1:11" x14ac:dyDescent="0.3">
      <c r="A580" t="s">
        <v>1221</v>
      </c>
      <c r="B580" s="1">
        <v>45205.236111111109</v>
      </c>
      <c r="C580" s="2">
        <v>45205.236111111109</v>
      </c>
      <c r="D580" t="s">
        <v>916</v>
      </c>
      <c r="E580">
        <v>67</v>
      </c>
      <c r="F580" t="s">
        <v>737</v>
      </c>
      <c r="G580" t="str">
        <f>IFERROR(VLOOKUP(Logs_Reseau_Part5[[#This Row],[Cell_ID]],Registre_Maintenance_Part[[ID_Antenne]:[Colonne2]],2,FALSE),"")</f>
        <v/>
      </c>
      <c r="H580" t="str">
        <f>IFERROR(VLOOKUP(Logs_Reseau_Part5[[#This Row],[Cell_ID]],Registre_Maintenance_Part[[ID_Antenne]:[Colonne2]],3,FALSE),"")</f>
        <v/>
      </c>
      <c r="I580" t="str">
        <f>IFERROR(VLOOKUP(Logs_Reseau_Part5[[#This Row],[Cell_ID]],Registre_Maintenance_Part[[ID_Antenne]:[Colonne2]],4,FALSE),"")</f>
        <v/>
      </c>
      <c r="J580" t="str">
        <f>IFERROR(VLOOKUP(Logs_Reseau_Part5[[#This Row],[Cell_ID]],Registre_Maintenance_Part[[ID_Antenne]:[Colonne2]],5,FALSE),"")</f>
        <v/>
      </c>
      <c r="K580" t="str">
        <f>IFERROR(VLOOKUP(Logs_Reseau_Part5[[#This Row],[Cell_ID]],Registre_Maintenance_Part[[ID_Antenne]:[Colonne2]],6,FALSE),"")</f>
        <v/>
      </c>
    </row>
    <row r="581" spans="1:11" x14ac:dyDescent="0.3">
      <c r="A581" t="s">
        <v>1243</v>
      </c>
      <c r="B581" s="1">
        <v>45205.336805555547</v>
      </c>
      <c r="C581" s="2">
        <v>45205.336805555547</v>
      </c>
      <c r="D581" t="s">
        <v>1253</v>
      </c>
      <c r="E581">
        <v>119</v>
      </c>
      <c r="F581" t="s">
        <v>739</v>
      </c>
      <c r="G581" t="str">
        <f>IFERROR(VLOOKUP(Logs_Reseau_Part5[[#This Row],[Cell_ID]],Registre_Maintenance_Part[[ID_Antenne]:[Colonne2]],2,FALSE),"")</f>
        <v/>
      </c>
      <c r="H581" t="str">
        <f>IFERROR(VLOOKUP(Logs_Reseau_Part5[[#This Row],[Cell_ID]],Registre_Maintenance_Part[[ID_Antenne]:[Colonne2]],3,FALSE),"")</f>
        <v/>
      </c>
      <c r="I581" t="str">
        <f>IFERROR(VLOOKUP(Logs_Reseau_Part5[[#This Row],[Cell_ID]],Registre_Maintenance_Part[[ID_Antenne]:[Colonne2]],4,FALSE),"")</f>
        <v/>
      </c>
      <c r="J581" t="str">
        <f>IFERROR(VLOOKUP(Logs_Reseau_Part5[[#This Row],[Cell_ID]],Registre_Maintenance_Part[[ID_Antenne]:[Colonne2]],5,FALSE),"")</f>
        <v/>
      </c>
      <c r="K581" t="str">
        <f>IFERROR(VLOOKUP(Logs_Reseau_Part5[[#This Row],[Cell_ID]],Registre_Maintenance_Part[[ID_Antenne]:[Colonne2]],6,FALSE),"")</f>
        <v/>
      </c>
    </row>
    <row r="582" spans="1:11" x14ac:dyDescent="0.3">
      <c r="A582" t="s">
        <v>1332</v>
      </c>
      <c r="B582" s="1">
        <v>45205.365972222222</v>
      </c>
      <c r="C582" s="2">
        <v>45205.365972222222</v>
      </c>
      <c r="D582" t="s">
        <v>1162</v>
      </c>
      <c r="E582">
        <v>32</v>
      </c>
      <c r="F582" t="s">
        <v>734</v>
      </c>
      <c r="G582" t="str">
        <f>IFERROR(VLOOKUP(Logs_Reseau_Part5[[#This Row],[Cell_ID]],Registre_Maintenance_Part[[ID_Antenne]:[Colonne2]],2,FALSE),"")</f>
        <v/>
      </c>
      <c r="H582" t="str">
        <f>IFERROR(VLOOKUP(Logs_Reseau_Part5[[#This Row],[Cell_ID]],Registre_Maintenance_Part[[ID_Antenne]:[Colonne2]],3,FALSE),"")</f>
        <v/>
      </c>
      <c r="I582" t="str">
        <f>IFERROR(VLOOKUP(Logs_Reseau_Part5[[#This Row],[Cell_ID]],Registre_Maintenance_Part[[ID_Antenne]:[Colonne2]],4,FALSE),"")</f>
        <v/>
      </c>
      <c r="J582" t="str">
        <f>IFERROR(VLOOKUP(Logs_Reseau_Part5[[#This Row],[Cell_ID]],Registre_Maintenance_Part[[ID_Antenne]:[Colonne2]],5,FALSE),"")</f>
        <v/>
      </c>
      <c r="K582" t="str">
        <f>IFERROR(VLOOKUP(Logs_Reseau_Part5[[#This Row],[Cell_ID]],Registre_Maintenance_Part[[ID_Antenne]:[Colonne2]],6,FALSE),"")</f>
        <v/>
      </c>
    </row>
    <row r="583" spans="1:11" x14ac:dyDescent="0.3">
      <c r="A583" t="s">
        <v>1088</v>
      </c>
      <c r="B583" s="1">
        <v>45205.480555555558</v>
      </c>
      <c r="C583" s="2">
        <v>45205.480555555558</v>
      </c>
      <c r="D583" t="s">
        <v>1091</v>
      </c>
      <c r="E583">
        <v>43</v>
      </c>
      <c r="F583" t="s">
        <v>737</v>
      </c>
      <c r="G583" t="str">
        <f>IFERROR(VLOOKUP(Logs_Reseau_Part5[[#This Row],[Cell_ID]],Registre_Maintenance_Part[[ID_Antenne]:[Colonne2]],2,FALSE),"")</f>
        <v/>
      </c>
      <c r="H583" t="str">
        <f>IFERROR(VLOOKUP(Logs_Reseau_Part5[[#This Row],[Cell_ID]],Registre_Maintenance_Part[[ID_Antenne]:[Colonne2]],3,FALSE),"")</f>
        <v/>
      </c>
      <c r="I583" t="str">
        <f>IFERROR(VLOOKUP(Logs_Reseau_Part5[[#This Row],[Cell_ID]],Registre_Maintenance_Part[[ID_Antenne]:[Colonne2]],4,FALSE),"")</f>
        <v/>
      </c>
      <c r="J583" t="str">
        <f>IFERROR(VLOOKUP(Logs_Reseau_Part5[[#This Row],[Cell_ID]],Registre_Maintenance_Part[[ID_Antenne]:[Colonne2]],5,FALSE),"")</f>
        <v/>
      </c>
      <c r="K583" t="str">
        <f>IFERROR(VLOOKUP(Logs_Reseau_Part5[[#This Row],[Cell_ID]],Registre_Maintenance_Part[[ID_Antenne]:[Colonne2]],6,FALSE),"")</f>
        <v/>
      </c>
    </row>
    <row r="584" spans="1:11" x14ac:dyDescent="0.3">
      <c r="A584" t="s">
        <v>1116</v>
      </c>
      <c r="B584" s="1">
        <v>45205.527083333327</v>
      </c>
      <c r="C584" s="2">
        <v>45205.527083333327</v>
      </c>
      <c r="D584" t="s">
        <v>1121</v>
      </c>
      <c r="E584">
        <v>40</v>
      </c>
      <c r="F584" t="s">
        <v>739</v>
      </c>
      <c r="G584" t="str">
        <f>IFERROR(VLOOKUP(Logs_Reseau_Part5[[#This Row],[Cell_ID]],Registre_Maintenance_Part[[ID_Antenne]:[Colonne2]],2,FALSE),"")</f>
        <v/>
      </c>
      <c r="H584" t="str">
        <f>IFERROR(VLOOKUP(Logs_Reseau_Part5[[#This Row],[Cell_ID]],Registre_Maintenance_Part[[ID_Antenne]:[Colonne2]],3,FALSE),"")</f>
        <v/>
      </c>
      <c r="I584" t="str">
        <f>IFERROR(VLOOKUP(Logs_Reseau_Part5[[#This Row],[Cell_ID]],Registre_Maintenance_Part[[ID_Antenne]:[Colonne2]],4,FALSE),"")</f>
        <v/>
      </c>
      <c r="J584" t="str">
        <f>IFERROR(VLOOKUP(Logs_Reseau_Part5[[#This Row],[Cell_ID]],Registre_Maintenance_Part[[ID_Antenne]:[Colonne2]],5,FALSE),"")</f>
        <v/>
      </c>
      <c r="K584" t="str">
        <f>IFERROR(VLOOKUP(Logs_Reseau_Part5[[#This Row],[Cell_ID]],Registre_Maintenance_Part[[ID_Antenne]:[Colonne2]],6,FALSE),"")</f>
        <v/>
      </c>
    </row>
    <row r="585" spans="1:11" x14ac:dyDescent="0.3">
      <c r="A585" t="s">
        <v>1310</v>
      </c>
      <c r="B585" s="1">
        <v>45205.586111111108</v>
      </c>
      <c r="C585" s="2">
        <v>45205.586111111108</v>
      </c>
      <c r="D585" t="s">
        <v>1322</v>
      </c>
      <c r="E585">
        <v>89</v>
      </c>
      <c r="F585" t="s">
        <v>739</v>
      </c>
      <c r="G585" t="str">
        <f>IFERROR(VLOOKUP(Logs_Reseau_Part5[[#This Row],[Cell_ID]],Registre_Maintenance_Part[[ID_Antenne]:[Colonne2]],2,FALSE),"")</f>
        <v/>
      </c>
      <c r="H585" t="str">
        <f>IFERROR(VLOOKUP(Logs_Reseau_Part5[[#This Row],[Cell_ID]],Registre_Maintenance_Part[[ID_Antenne]:[Colonne2]],3,FALSE),"")</f>
        <v/>
      </c>
      <c r="I585" t="str">
        <f>IFERROR(VLOOKUP(Logs_Reseau_Part5[[#This Row],[Cell_ID]],Registre_Maintenance_Part[[ID_Antenne]:[Colonne2]],4,FALSE),"")</f>
        <v/>
      </c>
      <c r="J585" t="str">
        <f>IFERROR(VLOOKUP(Logs_Reseau_Part5[[#This Row],[Cell_ID]],Registre_Maintenance_Part[[ID_Antenne]:[Colonne2]],5,FALSE),"")</f>
        <v/>
      </c>
      <c r="K585" t="str">
        <f>IFERROR(VLOOKUP(Logs_Reseau_Part5[[#This Row],[Cell_ID]],Registre_Maintenance_Part[[ID_Antenne]:[Colonne2]],6,FALSE),"")</f>
        <v/>
      </c>
    </row>
    <row r="586" spans="1:11" x14ac:dyDescent="0.3">
      <c r="A586" t="s">
        <v>732</v>
      </c>
      <c r="B586" s="1">
        <v>45205.599999999999</v>
      </c>
      <c r="C586" s="2">
        <v>45205.599999999999</v>
      </c>
      <c r="D586" t="s">
        <v>770</v>
      </c>
      <c r="E586">
        <v>19</v>
      </c>
      <c r="F586" t="s">
        <v>737</v>
      </c>
      <c r="G586" t="str">
        <f>IFERROR(VLOOKUP(Logs_Reseau_Part5[[#This Row],[Cell_ID]],Registre_Maintenance_Part[[ID_Antenne]:[Colonne2]],2,FALSE),"")</f>
        <v/>
      </c>
      <c r="H586" t="str">
        <f>IFERROR(VLOOKUP(Logs_Reseau_Part5[[#This Row],[Cell_ID]],Registre_Maintenance_Part[[ID_Antenne]:[Colonne2]],3,FALSE),"")</f>
        <v/>
      </c>
      <c r="I586" t="str">
        <f>IFERROR(VLOOKUP(Logs_Reseau_Part5[[#This Row],[Cell_ID]],Registre_Maintenance_Part[[ID_Antenne]:[Colonne2]],4,FALSE),"")</f>
        <v/>
      </c>
      <c r="J586" t="str">
        <f>IFERROR(VLOOKUP(Logs_Reseau_Part5[[#This Row],[Cell_ID]],Registre_Maintenance_Part[[ID_Antenne]:[Colonne2]],5,FALSE),"")</f>
        <v/>
      </c>
      <c r="K586" t="str">
        <f>IFERROR(VLOOKUP(Logs_Reseau_Part5[[#This Row],[Cell_ID]],Registre_Maintenance_Part[[ID_Antenne]:[Colonne2]],6,FALSE),"")</f>
        <v/>
      </c>
    </row>
    <row r="587" spans="1:11" x14ac:dyDescent="0.3">
      <c r="A587" t="s">
        <v>1263</v>
      </c>
      <c r="B587" s="1">
        <v>45205.640277777777</v>
      </c>
      <c r="C587" s="2">
        <v>45205.640277777777</v>
      </c>
      <c r="D587" t="s">
        <v>882</v>
      </c>
      <c r="E587">
        <v>52</v>
      </c>
      <c r="F587" t="s">
        <v>734</v>
      </c>
      <c r="G587" t="str">
        <f>IFERROR(VLOOKUP(Logs_Reseau_Part5[[#This Row],[Cell_ID]],Registre_Maintenance_Part[[ID_Antenne]:[Colonne2]],2,FALSE),"")</f>
        <v/>
      </c>
      <c r="H587" t="str">
        <f>IFERROR(VLOOKUP(Logs_Reseau_Part5[[#This Row],[Cell_ID]],Registre_Maintenance_Part[[ID_Antenne]:[Colonne2]],3,FALSE),"")</f>
        <v/>
      </c>
      <c r="I587" t="str">
        <f>IFERROR(VLOOKUP(Logs_Reseau_Part5[[#This Row],[Cell_ID]],Registre_Maintenance_Part[[ID_Antenne]:[Colonne2]],4,FALSE),"")</f>
        <v/>
      </c>
      <c r="J587" t="str">
        <f>IFERROR(VLOOKUP(Logs_Reseau_Part5[[#This Row],[Cell_ID]],Registre_Maintenance_Part[[ID_Antenne]:[Colonne2]],5,FALSE),"")</f>
        <v/>
      </c>
      <c r="K587" t="str">
        <f>IFERROR(VLOOKUP(Logs_Reseau_Part5[[#This Row],[Cell_ID]],Registre_Maintenance_Part[[ID_Antenne]:[Colonne2]],6,FALSE),"")</f>
        <v/>
      </c>
    </row>
    <row r="588" spans="1:11" x14ac:dyDescent="0.3">
      <c r="A588" t="s">
        <v>904</v>
      </c>
      <c r="B588" s="1">
        <v>45205.711111111108</v>
      </c>
      <c r="C588" s="2">
        <v>45205.711111111108</v>
      </c>
      <c r="D588" t="s">
        <v>923</v>
      </c>
      <c r="E588">
        <v>109</v>
      </c>
      <c r="F588" t="s">
        <v>739</v>
      </c>
      <c r="G588" t="str">
        <f>IFERROR(VLOOKUP(Logs_Reseau_Part5[[#This Row],[Cell_ID]],Registre_Maintenance_Part[[ID_Antenne]:[Colonne2]],2,FALSE),"")</f>
        <v/>
      </c>
      <c r="H588" t="str">
        <f>IFERROR(VLOOKUP(Logs_Reseau_Part5[[#This Row],[Cell_ID]],Registre_Maintenance_Part[[ID_Antenne]:[Colonne2]],3,FALSE),"")</f>
        <v/>
      </c>
      <c r="I588" t="str">
        <f>IFERROR(VLOOKUP(Logs_Reseau_Part5[[#This Row],[Cell_ID]],Registre_Maintenance_Part[[ID_Antenne]:[Colonne2]],4,FALSE),"")</f>
        <v/>
      </c>
      <c r="J588" t="str">
        <f>IFERROR(VLOOKUP(Logs_Reseau_Part5[[#This Row],[Cell_ID]],Registre_Maintenance_Part[[ID_Antenne]:[Colonne2]],5,FALSE),"")</f>
        <v/>
      </c>
      <c r="K588" t="str">
        <f>IFERROR(VLOOKUP(Logs_Reseau_Part5[[#This Row],[Cell_ID]],Registre_Maintenance_Part[[ID_Antenne]:[Colonne2]],6,FALSE),"")</f>
        <v/>
      </c>
    </row>
    <row r="589" spans="1:11" x14ac:dyDescent="0.3">
      <c r="A589" t="s">
        <v>1088</v>
      </c>
      <c r="B589" s="1">
        <v>45205.775694444441</v>
      </c>
      <c r="C589" s="2">
        <v>45205.775694444441</v>
      </c>
      <c r="D589" t="s">
        <v>1111</v>
      </c>
      <c r="E589">
        <v>56</v>
      </c>
      <c r="F589" t="s">
        <v>739</v>
      </c>
      <c r="G589" t="str">
        <f>IFERROR(VLOOKUP(Logs_Reseau_Part5[[#This Row],[Cell_ID]],Registre_Maintenance_Part[[ID_Antenne]:[Colonne2]],2,FALSE),"")</f>
        <v/>
      </c>
      <c r="H589" t="str">
        <f>IFERROR(VLOOKUP(Logs_Reseau_Part5[[#This Row],[Cell_ID]],Registre_Maintenance_Part[[ID_Antenne]:[Colonne2]],3,FALSE),"")</f>
        <v/>
      </c>
      <c r="I589" t="str">
        <f>IFERROR(VLOOKUP(Logs_Reseau_Part5[[#This Row],[Cell_ID]],Registre_Maintenance_Part[[ID_Antenne]:[Colonne2]],4,FALSE),"")</f>
        <v/>
      </c>
      <c r="J589" t="str">
        <f>IFERROR(VLOOKUP(Logs_Reseau_Part5[[#This Row],[Cell_ID]],Registre_Maintenance_Part[[ID_Antenne]:[Colonne2]],5,FALSE),"")</f>
        <v/>
      </c>
      <c r="K589" t="str">
        <f>IFERROR(VLOOKUP(Logs_Reseau_Part5[[#This Row],[Cell_ID]],Registre_Maintenance_Part[[ID_Antenne]:[Colonne2]],6,FALSE),"")</f>
        <v/>
      </c>
    </row>
    <row r="590" spans="1:11" x14ac:dyDescent="0.3">
      <c r="A590" t="s">
        <v>1001</v>
      </c>
      <c r="B590" s="1">
        <v>45205.793749999997</v>
      </c>
      <c r="C590" s="2">
        <v>45205.793749999997</v>
      </c>
      <c r="D590" t="s">
        <v>1020</v>
      </c>
      <c r="E590">
        <v>99</v>
      </c>
      <c r="F590" t="s">
        <v>737</v>
      </c>
      <c r="G590" t="str">
        <f>IFERROR(VLOOKUP(Logs_Reseau_Part5[[#This Row],[Cell_ID]],Registre_Maintenance_Part[[ID_Antenne]:[Colonne2]],2,FALSE),"")</f>
        <v/>
      </c>
      <c r="H590" t="str">
        <f>IFERROR(VLOOKUP(Logs_Reseau_Part5[[#This Row],[Cell_ID]],Registre_Maintenance_Part[[ID_Antenne]:[Colonne2]],3,FALSE),"")</f>
        <v/>
      </c>
      <c r="I590" t="str">
        <f>IFERROR(VLOOKUP(Logs_Reseau_Part5[[#This Row],[Cell_ID]],Registre_Maintenance_Part[[ID_Antenne]:[Colonne2]],4,FALSE),"")</f>
        <v/>
      </c>
      <c r="J590" t="str">
        <f>IFERROR(VLOOKUP(Logs_Reseau_Part5[[#This Row],[Cell_ID]],Registre_Maintenance_Part[[ID_Antenne]:[Colonne2]],5,FALSE),"")</f>
        <v/>
      </c>
      <c r="K590" t="str">
        <f>IFERROR(VLOOKUP(Logs_Reseau_Part5[[#This Row],[Cell_ID]],Registre_Maintenance_Part[[ID_Antenne]:[Colonne2]],6,FALSE),"")</f>
        <v/>
      </c>
    </row>
    <row r="591" spans="1:11" x14ac:dyDescent="0.3">
      <c r="A591" t="s">
        <v>1310</v>
      </c>
      <c r="B591" s="1">
        <v>45205.805555555547</v>
      </c>
      <c r="C591" s="2">
        <v>45205.805555555547</v>
      </c>
      <c r="D591" t="s">
        <v>1314</v>
      </c>
      <c r="E591">
        <v>110</v>
      </c>
      <c r="F591" t="s">
        <v>734</v>
      </c>
      <c r="G591" t="str">
        <f>IFERROR(VLOOKUP(Logs_Reseau_Part5[[#This Row],[Cell_ID]],Registre_Maintenance_Part[[ID_Antenne]:[Colonne2]],2,FALSE),"")</f>
        <v/>
      </c>
      <c r="H591" t="str">
        <f>IFERROR(VLOOKUP(Logs_Reseau_Part5[[#This Row],[Cell_ID]],Registre_Maintenance_Part[[ID_Antenne]:[Colonne2]],3,FALSE),"")</f>
        <v/>
      </c>
      <c r="I591" t="str">
        <f>IFERROR(VLOOKUP(Logs_Reseau_Part5[[#This Row],[Cell_ID]],Registre_Maintenance_Part[[ID_Antenne]:[Colonne2]],4,FALSE),"")</f>
        <v/>
      </c>
      <c r="J591" t="str">
        <f>IFERROR(VLOOKUP(Logs_Reseau_Part5[[#This Row],[Cell_ID]],Registre_Maintenance_Part[[ID_Antenne]:[Colonne2]],5,FALSE),"")</f>
        <v/>
      </c>
      <c r="K591" t="str">
        <f>IFERROR(VLOOKUP(Logs_Reseau_Part5[[#This Row],[Cell_ID]],Registre_Maintenance_Part[[ID_Antenne]:[Colonne2]],6,FALSE),"")</f>
        <v/>
      </c>
    </row>
    <row r="592" spans="1:11" x14ac:dyDescent="0.3">
      <c r="A592" t="s">
        <v>825</v>
      </c>
      <c r="B592" s="1">
        <v>45205.816666666673</v>
      </c>
      <c r="C592" s="2">
        <v>45205.816666666673</v>
      </c>
      <c r="D592" t="s">
        <v>848</v>
      </c>
      <c r="E592">
        <v>33</v>
      </c>
      <c r="F592" t="s">
        <v>739</v>
      </c>
      <c r="G592" t="str">
        <f>IFERROR(VLOOKUP(Logs_Reseau_Part5[[#This Row],[Cell_ID]],Registre_Maintenance_Part[[ID_Antenne]:[Colonne2]],2,FALSE),"")</f>
        <v/>
      </c>
      <c r="H592" t="str">
        <f>IFERROR(VLOOKUP(Logs_Reseau_Part5[[#This Row],[Cell_ID]],Registre_Maintenance_Part[[ID_Antenne]:[Colonne2]],3,FALSE),"")</f>
        <v/>
      </c>
      <c r="I592" t="str">
        <f>IFERROR(VLOOKUP(Logs_Reseau_Part5[[#This Row],[Cell_ID]],Registre_Maintenance_Part[[ID_Antenne]:[Colonne2]],4,FALSE),"")</f>
        <v/>
      </c>
      <c r="J592" t="str">
        <f>IFERROR(VLOOKUP(Logs_Reseau_Part5[[#This Row],[Cell_ID]],Registre_Maintenance_Part[[ID_Antenne]:[Colonne2]],5,FALSE),"")</f>
        <v/>
      </c>
      <c r="K592" t="str">
        <f>IFERROR(VLOOKUP(Logs_Reseau_Part5[[#This Row],[Cell_ID]],Registre_Maintenance_Part[[ID_Antenne]:[Colonne2]],6,FALSE),"")</f>
        <v/>
      </c>
    </row>
    <row r="593" spans="1:11" x14ac:dyDescent="0.3">
      <c r="A593" t="s">
        <v>1310</v>
      </c>
      <c r="B593" s="1">
        <v>45205.87222222222</v>
      </c>
      <c r="C593" s="2">
        <v>45205.87222222222</v>
      </c>
      <c r="D593" t="s">
        <v>1317</v>
      </c>
      <c r="E593">
        <v>17</v>
      </c>
      <c r="F593" t="s">
        <v>734</v>
      </c>
      <c r="G593" t="str">
        <f>IFERROR(VLOOKUP(Logs_Reseau_Part5[[#This Row],[Cell_ID]],Registre_Maintenance_Part[[ID_Antenne]:[Colonne2]],2,FALSE),"")</f>
        <v/>
      </c>
      <c r="H593" t="str">
        <f>IFERROR(VLOOKUP(Logs_Reseau_Part5[[#This Row],[Cell_ID]],Registre_Maintenance_Part[[ID_Antenne]:[Colonne2]],3,FALSE),"")</f>
        <v/>
      </c>
      <c r="I593" t="str">
        <f>IFERROR(VLOOKUP(Logs_Reseau_Part5[[#This Row],[Cell_ID]],Registre_Maintenance_Part[[ID_Antenne]:[Colonne2]],4,FALSE),"")</f>
        <v/>
      </c>
      <c r="J593" t="str">
        <f>IFERROR(VLOOKUP(Logs_Reseau_Part5[[#This Row],[Cell_ID]],Registre_Maintenance_Part[[ID_Antenne]:[Colonne2]],5,FALSE),"")</f>
        <v/>
      </c>
      <c r="K593" t="str">
        <f>IFERROR(VLOOKUP(Logs_Reseau_Part5[[#This Row],[Cell_ID]],Registre_Maintenance_Part[[ID_Antenne]:[Colonne2]],6,FALSE),"")</f>
        <v/>
      </c>
    </row>
    <row r="594" spans="1:11" x14ac:dyDescent="0.3">
      <c r="A594" t="s">
        <v>1195</v>
      </c>
      <c r="B594" s="1">
        <v>45205.89166666667</v>
      </c>
      <c r="C594" s="2">
        <v>45205.89166666667</v>
      </c>
      <c r="D594" t="s">
        <v>1185</v>
      </c>
      <c r="E594">
        <v>45</v>
      </c>
      <c r="F594" t="s">
        <v>737</v>
      </c>
      <c r="G594" t="str">
        <f>IFERROR(VLOOKUP(Logs_Reseau_Part5[[#This Row],[Cell_ID]],Registre_Maintenance_Part[[ID_Antenne]:[Colonne2]],2,FALSE),"")</f>
        <v/>
      </c>
      <c r="H594" t="str">
        <f>IFERROR(VLOOKUP(Logs_Reseau_Part5[[#This Row],[Cell_ID]],Registre_Maintenance_Part[[ID_Antenne]:[Colonne2]],3,FALSE),"")</f>
        <v/>
      </c>
      <c r="I594" t="str">
        <f>IFERROR(VLOOKUP(Logs_Reseau_Part5[[#This Row],[Cell_ID]],Registre_Maintenance_Part[[ID_Antenne]:[Colonne2]],4,FALSE),"")</f>
        <v/>
      </c>
      <c r="J594" t="str">
        <f>IFERROR(VLOOKUP(Logs_Reseau_Part5[[#This Row],[Cell_ID]],Registre_Maintenance_Part[[ID_Antenne]:[Colonne2]],5,FALSE),"")</f>
        <v/>
      </c>
      <c r="K594" t="str">
        <f>IFERROR(VLOOKUP(Logs_Reseau_Part5[[#This Row],[Cell_ID]],Registre_Maintenance_Part[[ID_Antenne]:[Colonne2]],6,FALSE),"")</f>
        <v/>
      </c>
    </row>
    <row r="595" spans="1:11" x14ac:dyDescent="0.3">
      <c r="A595" t="s">
        <v>941</v>
      </c>
      <c r="B595" s="1">
        <v>45205.929861111108</v>
      </c>
      <c r="C595" s="2">
        <v>45205.929861111108</v>
      </c>
      <c r="D595" t="s">
        <v>965</v>
      </c>
      <c r="E595">
        <v>82</v>
      </c>
      <c r="F595" t="s">
        <v>739</v>
      </c>
      <c r="G595" t="str">
        <f>IFERROR(VLOOKUP(Logs_Reseau_Part5[[#This Row],[Cell_ID]],Registre_Maintenance_Part[[ID_Antenne]:[Colonne2]],2,FALSE),"")</f>
        <v/>
      </c>
      <c r="H595" t="str">
        <f>IFERROR(VLOOKUP(Logs_Reseau_Part5[[#This Row],[Cell_ID]],Registre_Maintenance_Part[[ID_Antenne]:[Colonne2]],3,FALSE),"")</f>
        <v/>
      </c>
      <c r="I595" t="str">
        <f>IFERROR(VLOOKUP(Logs_Reseau_Part5[[#This Row],[Cell_ID]],Registre_Maintenance_Part[[ID_Antenne]:[Colonne2]],4,FALSE),"")</f>
        <v/>
      </c>
      <c r="J595" t="str">
        <f>IFERROR(VLOOKUP(Logs_Reseau_Part5[[#This Row],[Cell_ID]],Registre_Maintenance_Part[[ID_Antenne]:[Colonne2]],5,FALSE),"")</f>
        <v/>
      </c>
      <c r="K595" t="str">
        <f>IFERROR(VLOOKUP(Logs_Reseau_Part5[[#This Row],[Cell_ID]],Registre_Maintenance_Part[[ID_Antenne]:[Colonne2]],6,FALSE),"")</f>
        <v/>
      </c>
    </row>
    <row r="596" spans="1:11" x14ac:dyDescent="0.3">
      <c r="A596" t="s">
        <v>1221</v>
      </c>
      <c r="B596" s="1">
        <v>45205.96875</v>
      </c>
      <c r="C596" s="2">
        <v>45205.96875</v>
      </c>
      <c r="D596" t="s">
        <v>1230</v>
      </c>
      <c r="E596">
        <v>84</v>
      </c>
      <c r="F596" t="s">
        <v>737</v>
      </c>
      <c r="G596" t="str">
        <f>IFERROR(VLOOKUP(Logs_Reseau_Part5[[#This Row],[Cell_ID]],Registre_Maintenance_Part[[ID_Antenne]:[Colonne2]],2,FALSE),"")</f>
        <v/>
      </c>
      <c r="H596" t="str">
        <f>IFERROR(VLOOKUP(Logs_Reseau_Part5[[#This Row],[Cell_ID]],Registre_Maintenance_Part[[ID_Antenne]:[Colonne2]],3,FALSE),"")</f>
        <v/>
      </c>
      <c r="I596" t="str">
        <f>IFERROR(VLOOKUP(Logs_Reseau_Part5[[#This Row],[Cell_ID]],Registre_Maintenance_Part[[ID_Antenne]:[Colonne2]],4,FALSE),"")</f>
        <v/>
      </c>
      <c r="J596" t="str">
        <f>IFERROR(VLOOKUP(Logs_Reseau_Part5[[#This Row],[Cell_ID]],Registre_Maintenance_Part[[ID_Antenne]:[Colonne2]],5,FALSE),"")</f>
        <v/>
      </c>
      <c r="K596" t="str">
        <f>IFERROR(VLOOKUP(Logs_Reseau_Part5[[#This Row],[Cell_ID]],Registre_Maintenance_Part[[ID_Antenne]:[Colonne2]],6,FALSE),"")</f>
        <v/>
      </c>
    </row>
    <row r="597" spans="1:11" x14ac:dyDescent="0.3">
      <c r="A597" t="s">
        <v>980</v>
      </c>
      <c r="B597" s="1">
        <v>45206.162499999999</v>
      </c>
      <c r="C597" s="2">
        <v>45206.162499999999</v>
      </c>
      <c r="D597" t="s">
        <v>991</v>
      </c>
      <c r="E597">
        <v>69</v>
      </c>
      <c r="F597" t="s">
        <v>734</v>
      </c>
      <c r="G597" t="str">
        <f>IFERROR(VLOOKUP(Logs_Reseau_Part5[[#This Row],[Cell_ID]],Registre_Maintenance_Part[[ID_Antenne]:[Colonne2]],2,FALSE),"")</f>
        <v/>
      </c>
      <c r="H597" t="str">
        <f>IFERROR(VLOOKUP(Logs_Reseau_Part5[[#This Row],[Cell_ID]],Registre_Maintenance_Part[[ID_Antenne]:[Colonne2]],3,FALSE),"")</f>
        <v/>
      </c>
      <c r="I597" t="str">
        <f>IFERROR(VLOOKUP(Logs_Reseau_Part5[[#This Row],[Cell_ID]],Registre_Maintenance_Part[[ID_Antenne]:[Colonne2]],4,FALSE),"")</f>
        <v/>
      </c>
      <c r="J597" t="str">
        <f>IFERROR(VLOOKUP(Logs_Reseau_Part5[[#This Row],[Cell_ID]],Registre_Maintenance_Part[[ID_Antenne]:[Colonne2]],5,FALSE),"")</f>
        <v/>
      </c>
      <c r="K597" t="str">
        <f>IFERROR(VLOOKUP(Logs_Reseau_Part5[[#This Row],[Cell_ID]],Registre_Maintenance_Part[[ID_Antenne]:[Colonne2]],6,FALSE),"")</f>
        <v/>
      </c>
    </row>
    <row r="598" spans="1:11" x14ac:dyDescent="0.3">
      <c r="A598" t="s">
        <v>825</v>
      </c>
      <c r="B598" s="1">
        <v>45206.167361111111</v>
      </c>
      <c r="C598" s="2">
        <v>45206.167361111111</v>
      </c>
      <c r="D598" t="s">
        <v>860</v>
      </c>
      <c r="E598">
        <v>64</v>
      </c>
      <c r="F598" t="s">
        <v>737</v>
      </c>
      <c r="G598" t="str">
        <f>IFERROR(VLOOKUP(Logs_Reseau_Part5[[#This Row],[Cell_ID]],Registre_Maintenance_Part[[ID_Antenne]:[Colonne2]],2,FALSE),"")</f>
        <v/>
      </c>
      <c r="H598" t="str">
        <f>IFERROR(VLOOKUP(Logs_Reseau_Part5[[#This Row],[Cell_ID]],Registre_Maintenance_Part[[ID_Antenne]:[Colonne2]],3,FALSE),"")</f>
        <v/>
      </c>
      <c r="I598" t="str">
        <f>IFERROR(VLOOKUP(Logs_Reseau_Part5[[#This Row],[Cell_ID]],Registre_Maintenance_Part[[ID_Antenne]:[Colonne2]],4,FALSE),"")</f>
        <v/>
      </c>
      <c r="J598" t="str">
        <f>IFERROR(VLOOKUP(Logs_Reseau_Part5[[#This Row],[Cell_ID]],Registre_Maintenance_Part[[ID_Antenne]:[Colonne2]],5,FALSE),"")</f>
        <v/>
      </c>
      <c r="K598" t="str">
        <f>IFERROR(VLOOKUP(Logs_Reseau_Part5[[#This Row],[Cell_ID]],Registre_Maintenance_Part[[ID_Antenne]:[Colonne2]],6,FALSE),"")</f>
        <v/>
      </c>
    </row>
    <row r="599" spans="1:11" x14ac:dyDescent="0.3">
      <c r="A599" t="s">
        <v>1384</v>
      </c>
      <c r="B599" s="1">
        <v>45206.259027777778</v>
      </c>
      <c r="C599" s="2">
        <v>45206.259027777778</v>
      </c>
      <c r="D599" t="s">
        <v>1393</v>
      </c>
      <c r="E599">
        <v>104</v>
      </c>
      <c r="F599" t="s">
        <v>734</v>
      </c>
      <c r="G599" t="str">
        <f>IFERROR(VLOOKUP(Logs_Reseau_Part5[[#This Row],[Cell_ID]],Registre_Maintenance_Part[[ID_Antenne]:[Colonne2]],2,FALSE),"")</f>
        <v/>
      </c>
      <c r="H599" t="str">
        <f>IFERROR(VLOOKUP(Logs_Reseau_Part5[[#This Row],[Cell_ID]],Registre_Maintenance_Part[[ID_Antenne]:[Colonne2]],3,FALSE),"")</f>
        <v/>
      </c>
      <c r="I599" t="str">
        <f>IFERROR(VLOOKUP(Logs_Reseau_Part5[[#This Row],[Cell_ID]],Registre_Maintenance_Part[[ID_Antenne]:[Colonne2]],4,FALSE),"")</f>
        <v/>
      </c>
      <c r="J599" t="str">
        <f>IFERROR(VLOOKUP(Logs_Reseau_Part5[[#This Row],[Cell_ID]],Registre_Maintenance_Part[[ID_Antenne]:[Colonne2]],5,FALSE),"")</f>
        <v/>
      </c>
      <c r="K599" t="str">
        <f>IFERROR(VLOOKUP(Logs_Reseau_Part5[[#This Row],[Cell_ID]],Registre_Maintenance_Part[[ID_Antenne]:[Colonne2]],6,FALSE),"")</f>
        <v/>
      </c>
    </row>
    <row r="600" spans="1:11" x14ac:dyDescent="0.3">
      <c r="A600" t="s">
        <v>781</v>
      </c>
      <c r="B600" s="1">
        <v>45206.273611111108</v>
      </c>
      <c r="C600" s="2">
        <v>45206.273611111108</v>
      </c>
      <c r="D600" t="s">
        <v>791</v>
      </c>
      <c r="E600">
        <v>117</v>
      </c>
      <c r="F600" t="s">
        <v>739</v>
      </c>
      <c r="G600" t="str">
        <f>IFERROR(VLOOKUP(Logs_Reseau_Part5[[#This Row],[Cell_ID]],Registre_Maintenance_Part[[ID_Antenne]:[Colonne2]],2,FALSE),"")</f>
        <v/>
      </c>
      <c r="H600" t="str">
        <f>IFERROR(VLOOKUP(Logs_Reseau_Part5[[#This Row],[Cell_ID]],Registre_Maintenance_Part[[ID_Antenne]:[Colonne2]],3,FALSE),"")</f>
        <v/>
      </c>
      <c r="I600" t="str">
        <f>IFERROR(VLOOKUP(Logs_Reseau_Part5[[#This Row],[Cell_ID]],Registre_Maintenance_Part[[ID_Antenne]:[Colonne2]],4,FALSE),"")</f>
        <v/>
      </c>
      <c r="J600" t="str">
        <f>IFERROR(VLOOKUP(Logs_Reseau_Part5[[#This Row],[Cell_ID]],Registre_Maintenance_Part[[ID_Antenne]:[Colonne2]],5,FALSE),"")</f>
        <v/>
      </c>
      <c r="K600" t="str">
        <f>IFERROR(VLOOKUP(Logs_Reseau_Part5[[#This Row],[Cell_ID]],Registre_Maintenance_Part[[ID_Antenne]:[Colonne2]],6,FALSE),"")</f>
        <v/>
      </c>
    </row>
    <row r="601" spans="1:11" x14ac:dyDescent="0.3">
      <c r="A601" t="s">
        <v>1221</v>
      </c>
      <c r="B601" s="1">
        <v>45206.366666666669</v>
      </c>
      <c r="C601" s="2">
        <v>45206.366666666669</v>
      </c>
      <c r="D601" t="s">
        <v>953</v>
      </c>
      <c r="E601">
        <v>69</v>
      </c>
      <c r="F601" t="s">
        <v>737</v>
      </c>
      <c r="G601" t="str">
        <f>IFERROR(VLOOKUP(Logs_Reseau_Part5[[#This Row],[Cell_ID]],Registre_Maintenance_Part[[ID_Antenne]:[Colonne2]],2,FALSE),"")</f>
        <v/>
      </c>
      <c r="H601" t="str">
        <f>IFERROR(VLOOKUP(Logs_Reseau_Part5[[#This Row],[Cell_ID]],Registre_Maintenance_Part[[ID_Antenne]:[Colonne2]],3,FALSE),"")</f>
        <v/>
      </c>
      <c r="I601" t="str">
        <f>IFERROR(VLOOKUP(Logs_Reseau_Part5[[#This Row],[Cell_ID]],Registre_Maintenance_Part[[ID_Antenne]:[Colonne2]],4,FALSE),"")</f>
        <v/>
      </c>
      <c r="J601" t="str">
        <f>IFERROR(VLOOKUP(Logs_Reseau_Part5[[#This Row],[Cell_ID]],Registre_Maintenance_Part[[ID_Antenne]:[Colonne2]],5,FALSE),"")</f>
        <v/>
      </c>
      <c r="K601" t="str">
        <f>IFERROR(VLOOKUP(Logs_Reseau_Part5[[#This Row],[Cell_ID]],Registre_Maintenance_Part[[ID_Antenne]:[Colonne2]],6,FALSE),"")</f>
        <v/>
      </c>
    </row>
    <row r="602" spans="1:11" x14ac:dyDescent="0.3">
      <c r="A602" t="s">
        <v>1384</v>
      </c>
      <c r="B602" s="1">
        <v>45206.366666666669</v>
      </c>
      <c r="C602" s="2">
        <v>45206.366666666669</v>
      </c>
      <c r="D602" t="s">
        <v>1398</v>
      </c>
      <c r="E602">
        <v>30</v>
      </c>
      <c r="F602" t="s">
        <v>739</v>
      </c>
      <c r="G602" t="str">
        <f>IFERROR(VLOOKUP(Logs_Reseau_Part5[[#This Row],[Cell_ID]],Registre_Maintenance_Part[[ID_Antenne]:[Colonne2]],2,FALSE),"")</f>
        <v/>
      </c>
      <c r="H602" t="str">
        <f>IFERROR(VLOOKUP(Logs_Reseau_Part5[[#This Row],[Cell_ID]],Registre_Maintenance_Part[[ID_Antenne]:[Colonne2]],3,FALSE),"")</f>
        <v/>
      </c>
      <c r="I602" t="str">
        <f>IFERROR(VLOOKUP(Logs_Reseau_Part5[[#This Row],[Cell_ID]],Registre_Maintenance_Part[[ID_Antenne]:[Colonne2]],4,FALSE),"")</f>
        <v/>
      </c>
      <c r="J602" t="str">
        <f>IFERROR(VLOOKUP(Logs_Reseau_Part5[[#This Row],[Cell_ID]],Registre_Maintenance_Part[[ID_Antenne]:[Colonne2]],5,FALSE),"")</f>
        <v/>
      </c>
      <c r="K602" t="str">
        <f>IFERROR(VLOOKUP(Logs_Reseau_Part5[[#This Row],[Cell_ID]],Registre_Maintenance_Part[[ID_Antenne]:[Colonne2]],6,FALSE),"")</f>
        <v/>
      </c>
    </row>
    <row r="603" spans="1:11" x14ac:dyDescent="0.3">
      <c r="A603" t="s">
        <v>781</v>
      </c>
      <c r="B603" s="1">
        <v>45206.384027777778</v>
      </c>
      <c r="C603" s="2">
        <v>45206.384027777778</v>
      </c>
      <c r="D603" t="s">
        <v>804</v>
      </c>
      <c r="E603">
        <v>109</v>
      </c>
      <c r="F603" t="s">
        <v>739</v>
      </c>
      <c r="G603" t="str">
        <f>IFERROR(VLOOKUP(Logs_Reseau_Part5[[#This Row],[Cell_ID]],Registre_Maintenance_Part[[ID_Antenne]:[Colonne2]],2,FALSE),"")</f>
        <v/>
      </c>
      <c r="H603" t="str">
        <f>IFERROR(VLOOKUP(Logs_Reseau_Part5[[#This Row],[Cell_ID]],Registre_Maintenance_Part[[ID_Antenne]:[Colonne2]],3,FALSE),"")</f>
        <v/>
      </c>
      <c r="I603" t="str">
        <f>IFERROR(VLOOKUP(Logs_Reseau_Part5[[#This Row],[Cell_ID]],Registre_Maintenance_Part[[ID_Antenne]:[Colonne2]],4,FALSE),"")</f>
        <v/>
      </c>
      <c r="J603" t="str">
        <f>IFERROR(VLOOKUP(Logs_Reseau_Part5[[#This Row],[Cell_ID]],Registre_Maintenance_Part[[ID_Antenne]:[Colonne2]],5,FALSE),"")</f>
        <v/>
      </c>
      <c r="K603" t="str">
        <f>IFERROR(VLOOKUP(Logs_Reseau_Part5[[#This Row],[Cell_ID]],Registre_Maintenance_Part[[ID_Antenne]:[Colonne2]],6,FALSE),"")</f>
        <v/>
      </c>
    </row>
    <row r="604" spans="1:11" x14ac:dyDescent="0.3">
      <c r="A604" t="s">
        <v>1347</v>
      </c>
      <c r="B604" s="1">
        <v>45206.43472222222</v>
      </c>
      <c r="C604" s="2">
        <v>45206.43472222222</v>
      </c>
      <c r="D604" t="s">
        <v>757</v>
      </c>
      <c r="E604">
        <v>98</v>
      </c>
      <c r="F604" t="s">
        <v>734</v>
      </c>
      <c r="G604" t="str">
        <f>IFERROR(VLOOKUP(Logs_Reseau_Part5[[#This Row],[Cell_ID]],Registre_Maintenance_Part[[ID_Antenne]:[Colonne2]],2,FALSE),"")</f>
        <v/>
      </c>
      <c r="H604" t="str">
        <f>IFERROR(VLOOKUP(Logs_Reseau_Part5[[#This Row],[Cell_ID]],Registre_Maintenance_Part[[ID_Antenne]:[Colonne2]],3,FALSE),"")</f>
        <v/>
      </c>
      <c r="I604" t="str">
        <f>IFERROR(VLOOKUP(Logs_Reseau_Part5[[#This Row],[Cell_ID]],Registre_Maintenance_Part[[ID_Antenne]:[Colonne2]],4,FALSE),"")</f>
        <v/>
      </c>
      <c r="J604" t="str">
        <f>IFERROR(VLOOKUP(Logs_Reseau_Part5[[#This Row],[Cell_ID]],Registre_Maintenance_Part[[ID_Antenne]:[Colonne2]],5,FALSE),"")</f>
        <v/>
      </c>
      <c r="K604" t="str">
        <f>IFERROR(VLOOKUP(Logs_Reseau_Part5[[#This Row],[Cell_ID]],Registre_Maintenance_Part[[ID_Antenne]:[Colonne2]],6,FALSE),"")</f>
        <v/>
      </c>
    </row>
    <row r="605" spans="1:11" x14ac:dyDescent="0.3">
      <c r="A605" t="s">
        <v>1167</v>
      </c>
      <c r="B605" s="1">
        <v>45206.472222222219</v>
      </c>
      <c r="C605" s="2">
        <v>45206.472222222219</v>
      </c>
      <c r="D605" t="s">
        <v>1187</v>
      </c>
      <c r="E605">
        <v>69</v>
      </c>
      <c r="F605" t="s">
        <v>739</v>
      </c>
      <c r="G605" t="str">
        <f>IFERROR(VLOOKUP(Logs_Reseau_Part5[[#This Row],[Cell_ID]],Registre_Maintenance_Part[[ID_Antenne]:[Colonne2]],2,FALSE),"")</f>
        <v/>
      </c>
      <c r="H605" t="str">
        <f>IFERROR(VLOOKUP(Logs_Reseau_Part5[[#This Row],[Cell_ID]],Registre_Maintenance_Part[[ID_Antenne]:[Colonne2]],3,FALSE),"")</f>
        <v/>
      </c>
      <c r="I605" t="str">
        <f>IFERROR(VLOOKUP(Logs_Reseau_Part5[[#This Row],[Cell_ID]],Registre_Maintenance_Part[[ID_Antenne]:[Colonne2]],4,FALSE),"")</f>
        <v/>
      </c>
      <c r="J605" t="str">
        <f>IFERROR(VLOOKUP(Logs_Reseau_Part5[[#This Row],[Cell_ID]],Registre_Maintenance_Part[[ID_Antenne]:[Colonne2]],5,FALSE),"")</f>
        <v/>
      </c>
      <c r="K605" t="str">
        <f>IFERROR(VLOOKUP(Logs_Reseau_Part5[[#This Row],[Cell_ID]],Registre_Maintenance_Part[[ID_Antenne]:[Colonne2]],6,FALSE),"")</f>
        <v/>
      </c>
    </row>
    <row r="606" spans="1:11" x14ac:dyDescent="0.3">
      <c r="A606" t="s">
        <v>1310</v>
      </c>
      <c r="B606" s="1">
        <v>45206.572222222218</v>
      </c>
      <c r="C606" s="2">
        <v>45206.572222222218</v>
      </c>
      <c r="D606" t="s">
        <v>1084</v>
      </c>
      <c r="E606">
        <v>10</v>
      </c>
      <c r="F606" t="s">
        <v>734</v>
      </c>
      <c r="G606" t="str">
        <f>IFERROR(VLOOKUP(Logs_Reseau_Part5[[#This Row],[Cell_ID]],Registre_Maintenance_Part[[ID_Antenne]:[Colonne2]],2,FALSE),"")</f>
        <v/>
      </c>
      <c r="H606" t="str">
        <f>IFERROR(VLOOKUP(Logs_Reseau_Part5[[#This Row],[Cell_ID]],Registre_Maintenance_Part[[ID_Antenne]:[Colonne2]],3,FALSE),"")</f>
        <v/>
      </c>
      <c r="I606" t="str">
        <f>IFERROR(VLOOKUP(Logs_Reseau_Part5[[#This Row],[Cell_ID]],Registre_Maintenance_Part[[ID_Antenne]:[Colonne2]],4,FALSE),"")</f>
        <v/>
      </c>
      <c r="J606" t="str">
        <f>IFERROR(VLOOKUP(Logs_Reseau_Part5[[#This Row],[Cell_ID]],Registre_Maintenance_Part[[ID_Antenne]:[Colonne2]],5,FALSE),"")</f>
        <v/>
      </c>
      <c r="K606" t="str">
        <f>IFERROR(VLOOKUP(Logs_Reseau_Part5[[#This Row],[Cell_ID]],Registre_Maintenance_Part[[ID_Antenne]:[Colonne2]],6,FALSE),"")</f>
        <v/>
      </c>
    </row>
    <row r="607" spans="1:11" x14ac:dyDescent="0.3">
      <c r="A607" t="s">
        <v>825</v>
      </c>
      <c r="B607" s="1">
        <v>45206.6875</v>
      </c>
      <c r="C607" s="2">
        <v>45206.6875</v>
      </c>
      <c r="D607" t="s">
        <v>853</v>
      </c>
      <c r="E607">
        <v>76</v>
      </c>
      <c r="F607" t="s">
        <v>739</v>
      </c>
      <c r="G607" t="str">
        <f>IFERROR(VLOOKUP(Logs_Reseau_Part5[[#This Row],[Cell_ID]],Registre_Maintenance_Part[[ID_Antenne]:[Colonne2]],2,FALSE),"")</f>
        <v/>
      </c>
      <c r="H607" t="str">
        <f>IFERROR(VLOOKUP(Logs_Reseau_Part5[[#This Row],[Cell_ID]],Registre_Maintenance_Part[[ID_Antenne]:[Colonne2]],3,FALSE),"")</f>
        <v/>
      </c>
      <c r="I607" t="str">
        <f>IFERROR(VLOOKUP(Logs_Reseau_Part5[[#This Row],[Cell_ID]],Registre_Maintenance_Part[[ID_Antenne]:[Colonne2]],4,FALSE),"")</f>
        <v/>
      </c>
      <c r="J607" t="str">
        <f>IFERROR(VLOOKUP(Logs_Reseau_Part5[[#This Row],[Cell_ID]],Registre_Maintenance_Part[[ID_Antenne]:[Colonne2]],5,FALSE),"")</f>
        <v/>
      </c>
      <c r="K607" t="str">
        <f>IFERROR(VLOOKUP(Logs_Reseau_Part5[[#This Row],[Cell_ID]],Registre_Maintenance_Part[[ID_Antenne]:[Colonne2]],6,FALSE),"")</f>
        <v/>
      </c>
    </row>
    <row r="608" spans="1:11" x14ac:dyDescent="0.3">
      <c r="A608" t="s">
        <v>1088</v>
      </c>
      <c r="B608" s="1">
        <v>45206.768055555563</v>
      </c>
      <c r="C608" s="2">
        <v>45206.768055555563</v>
      </c>
      <c r="D608" t="s">
        <v>1114</v>
      </c>
      <c r="E608">
        <v>35</v>
      </c>
      <c r="F608" t="s">
        <v>739</v>
      </c>
      <c r="G608" t="str">
        <f>IFERROR(VLOOKUP(Logs_Reseau_Part5[[#This Row],[Cell_ID]],Registre_Maintenance_Part[[ID_Antenne]:[Colonne2]],2,FALSE),"")</f>
        <v/>
      </c>
      <c r="H608" t="str">
        <f>IFERROR(VLOOKUP(Logs_Reseau_Part5[[#This Row],[Cell_ID]],Registre_Maintenance_Part[[ID_Antenne]:[Colonne2]],3,FALSE),"")</f>
        <v/>
      </c>
      <c r="I608" t="str">
        <f>IFERROR(VLOOKUP(Logs_Reseau_Part5[[#This Row],[Cell_ID]],Registre_Maintenance_Part[[ID_Antenne]:[Colonne2]],4,FALSE),"")</f>
        <v/>
      </c>
      <c r="J608" t="str">
        <f>IFERROR(VLOOKUP(Logs_Reseau_Part5[[#This Row],[Cell_ID]],Registre_Maintenance_Part[[ID_Antenne]:[Colonne2]],5,FALSE),"")</f>
        <v/>
      </c>
      <c r="K608" t="str">
        <f>IFERROR(VLOOKUP(Logs_Reseau_Part5[[#This Row],[Cell_ID]],Registre_Maintenance_Part[[ID_Antenne]:[Colonne2]],6,FALSE),"")</f>
        <v/>
      </c>
    </row>
    <row r="609" spans="1:11" x14ac:dyDescent="0.3">
      <c r="A609" t="s">
        <v>1406</v>
      </c>
      <c r="B609" s="1">
        <v>45206.902777777781</v>
      </c>
      <c r="C609" s="2">
        <v>45206.902777777781</v>
      </c>
      <c r="D609" t="s">
        <v>1407</v>
      </c>
      <c r="E609">
        <v>75</v>
      </c>
      <c r="F609" t="s">
        <v>739</v>
      </c>
      <c r="G609" t="str">
        <f>IFERROR(VLOOKUP(Logs_Reseau_Part5[[#This Row],[Cell_ID]],Registre_Maintenance_Part[[ID_Antenne]:[Colonne2]],2,FALSE),"")</f>
        <v/>
      </c>
      <c r="H609" t="str">
        <f>IFERROR(VLOOKUP(Logs_Reseau_Part5[[#This Row],[Cell_ID]],Registre_Maintenance_Part[[ID_Antenne]:[Colonne2]],3,FALSE),"")</f>
        <v/>
      </c>
      <c r="I609" t="str">
        <f>IFERROR(VLOOKUP(Logs_Reseau_Part5[[#This Row],[Cell_ID]],Registre_Maintenance_Part[[ID_Antenne]:[Colonne2]],4,FALSE),"")</f>
        <v/>
      </c>
      <c r="J609" t="str">
        <f>IFERROR(VLOOKUP(Logs_Reseau_Part5[[#This Row],[Cell_ID]],Registre_Maintenance_Part[[ID_Antenne]:[Colonne2]],5,FALSE),"")</f>
        <v/>
      </c>
      <c r="K609" t="str">
        <f>IFERROR(VLOOKUP(Logs_Reseau_Part5[[#This Row],[Cell_ID]],Registre_Maintenance_Part[[ID_Antenne]:[Colonne2]],6,FALSE),"")</f>
        <v/>
      </c>
    </row>
    <row r="610" spans="1:11" x14ac:dyDescent="0.3">
      <c r="A610" t="s">
        <v>732</v>
      </c>
      <c r="B610" s="1">
        <v>45206.919444444437</v>
      </c>
      <c r="C610" s="2">
        <v>45206.919444444437</v>
      </c>
      <c r="D610" t="s">
        <v>759</v>
      </c>
      <c r="E610">
        <v>13</v>
      </c>
      <c r="F610" t="s">
        <v>737</v>
      </c>
      <c r="G610" t="str">
        <f>IFERROR(VLOOKUP(Logs_Reseau_Part5[[#This Row],[Cell_ID]],Registre_Maintenance_Part[[ID_Antenne]:[Colonne2]],2,FALSE),"")</f>
        <v/>
      </c>
      <c r="H610" t="str">
        <f>IFERROR(VLOOKUP(Logs_Reseau_Part5[[#This Row],[Cell_ID]],Registre_Maintenance_Part[[ID_Antenne]:[Colonne2]],3,FALSE),"")</f>
        <v/>
      </c>
      <c r="I610" t="str">
        <f>IFERROR(VLOOKUP(Logs_Reseau_Part5[[#This Row],[Cell_ID]],Registre_Maintenance_Part[[ID_Antenne]:[Colonne2]],4,FALSE),"")</f>
        <v/>
      </c>
      <c r="J610" t="str">
        <f>IFERROR(VLOOKUP(Logs_Reseau_Part5[[#This Row],[Cell_ID]],Registre_Maintenance_Part[[ID_Antenne]:[Colonne2]],5,FALSE),"")</f>
        <v/>
      </c>
      <c r="K610" t="str">
        <f>IFERROR(VLOOKUP(Logs_Reseau_Part5[[#This Row],[Cell_ID]],Registre_Maintenance_Part[[ID_Antenne]:[Colonne2]],6,FALSE),"")</f>
        <v/>
      </c>
    </row>
    <row r="611" spans="1:11" x14ac:dyDescent="0.3">
      <c r="A611" t="s">
        <v>1140</v>
      </c>
      <c r="B611" s="1">
        <v>45207.070833333331</v>
      </c>
      <c r="C611" s="2">
        <v>45207.070833333331</v>
      </c>
      <c r="D611" t="s">
        <v>1147</v>
      </c>
      <c r="E611">
        <v>94</v>
      </c>
      <c r="F611" t="s">
        <v>737</v>
      </c>
      <c r="G611" t="str">
        <f>IFERROR(VLOOKUP(Logs_Reseau_Part5[[#This Row],[Cell_ID]],Registre_Maintenance_Part[[ID_Antenne]:[Colonne2]],2,FALSE),"")</f>
        <v/>
      </c>
      <c r="H611" t="str">
        <f>IFERROR(VLOOKUP(Logs_Reseau_Part5[[#This Row],[Cell_ID]],Registre_Maintenance_Part[[ID_Antenne]:[Colonne2]],3,FALSE),"")</f>
        <v/>
      </c>
      <c r="I611" t="str">
        <f>IFERROR(VLOOKUP(Logs_Reseau_Part5[[#This Row],[Cell_ID]],Registre_Maintenance_Part[[ID_Antenne]:[Colonne2]],4,FALSE),"")</f>
        <v/>
      </c>
      <c r="J611" t="str">
        <f>IFERROR(VLOOKUP(Logs_Reseau_Part5[[#This Row],[Cell_ID]],Registre_Maintenance_Part[[ID_Antenne]:[Colonne2]],5,FALSE),"")</f>
        <v/>
      </c>
      <c r="K611" t="str">
        <f>IFERROR(VLOOKUP(Logs_Reseau_Part5[[#This Row],[Cell_ID]],Registre_Maintenance_Part[[ID_Antenne]:[Colonne2]],6,FALSE),"")</f>
        <v/>
      </c>
    </row>
    <row r="612" spans="1:11" x14ac:dyDescent="0.3">
      <c r="A612" t="s">
        <v>781</v>
      </c>
      <c r="B612" s="1">
        <v>45207.102777777778</v>
      </c>
      <c r="C612" s="2">
        <v>45207.102777777778</v>
      </c>
      <c r="D612" t="s">
        <v>793</v>
      </c>
      <c r="E612">
        <v>41</v>
      </c>
      <c r="F612" t="s">
        <v>734</v>
      </c>
      <c r="G612" t="str">
        <f>IFERROR(VLOOKUP(Logs_Reseau_Part5[[#This Row],[Cell_ID]],Registre_Maintenance_Part[[ID_Antenne]:[Colonne2]],2,FALSE),"")</f>
        <v/>
      </c>
      <c r="H612" t="str">
        <f>IFERROR(VLOOKUP(Logs_Reseau_Part5[[#This Row],[Cell_ID]],Registre_Maintenance_Part[[ID_Antenne]:[Colonne2]],3,FALSE),"")</f>
        <v/>
      </c>
      <c r="I612" t="str">
        <f>IFERROR(VLOOKUP(Logs_Reseau_Part5[[#This Row],[Cell_ID]],Registre_Maintenance_Part[[ID_Antenne]:[Colonne2]],4,FALSE),"")</f>
        <v/>
      </c>
      <c r="J612" t="str">
        <f>IFERROR(VLOOKUP(Logs_Reseau_Part5[[#This Row],[Cell_ID]],Registre_Maintenance_Part[[ID_Antenne]:[Colonne2]],5,FALSE),"")</f>
        <v/>
      </c>
      <c r="K612" t="str">
        <f>IFERROR(VLOOKUP(Logs_Reseau_Part5[[#This Row],[Cell_ID]],Registre_Maintenance_Part[[ID_Antenne]:[Colonne2]],6,FALSE),"")</f>
        <v/>
      </c>
    </row>
    <row r="613" spans="1:11" x14ac:dyDescent="0.3">
      <c r="A613" t="s">
        <v>1263</v>
      </c>
      <c r="B613" s="1">
        <v>45207.124305555553</v>
      </c>
      <c r="C613" s="2">
        <v>45207.124305555553</v>
      </c>
      <c r="D613" t="s">
        <v>1264</v>
      </c>
      <c r="E613">
        <v>77</v>
      </c>
      <c r="F613" t="s">
        <v>739</v>
      </c>
      <c r="G613" t="str">
        <f>IFERROR(VLOOKUP(Logs_Reseau_Part5[[#This Row],[Cell_ID]],Registre_Maintenance_Part[[ID_Antenne]:[Colonne2]],2,FALSE),"")</f>
        <v/>
      </c>
      <c r="H613" t="str">
        <f>IFERROR(VLOOKUP(Logs_Reseau_Part5[[#This Row],[Cell_ID]],Registre_Maintenance_Part[[ID_Antenne]:[Colonne2]],3,FALSE),"")</f>
        <v/>
      </c>
      <c r="I613" t="str">
        <f>IFERROR(VLOOKUP(Logs_Reseau_Part5[[#This Row],[Cell_ID]],Registre_Maintenance_Part[[ID_Antenne]:[Colonne2]],4,FALSE),"")</f>
        <v/>
      </c>
      <c r="J613" t="str">
        <f>IFERROR(VLOOKUP(Logs_Reseau_Part5[[#This Row],[Cell_ID]],Registre_Maintenance_Part[[ID_Antenne]:[Colonne2]],5,FALSE),"")</f>
        <v/>
      </c>
      <c r="K613" t="str">
        <f>IFERROR(VLOOKUP(Logs_Reseau_Part5[[#This Row],[Cell_ID]],Registre_Maintenance_Part[[ID_Antenne]:[Colonne2]],6,FALSE),"")</f>
        <v/>
      </c>
    </row>
    <row r="614" spans="1:11" x14ac:dyDescent="0.3">
      <c r="A614" t="s">
        <v>1001</v>
      </c>
      <c r="B614" s="1">
        <v>45207.140277777777</v>
      </c>
      <c r="C614" s="2">
        <v>45207.140277777777</v>
      </c>
      <c r="D614" t="s">
        <v>1005</v>
      </c>
      <c r="E614">
        <v>46</v>
      </c>
      <c r="F614" t="s">
        <v>737</v>
      </c>
      <c r="G614" t="str">
        <f>IFERROR(VLOOKUP(Logs_Reseau_Part5[[#This Row],[Cell_ID]],Registre_Maintenance_Part[[ID_Antenne]:[Colonne2]],2,FALSE),"")</f>
        <v/>
      </c>
      <c r="H614" t="str">
        <f>IFERROR(VLOOKUP(Logs_Reseau_Part5[[#This Row],[Cell_ID]],Registre_Maintenance_Part[[ID_Antenne]:[Colonne2]],3,FALSE),"")</f>
        <v/>
      </c>
      <c r="I614" t="str">
        <f>IFERROR(VLOOKUP(Logs_Reseau_Part5[[#This Row],[Cell_ID]],Registre_Maintenance_Part[[ID_Antenne]:[Colonne2]],4,FALSE),"")</f>
        <v/>
      </c>
      <c r="J614" t="str">
        <f>IFERROR(VLOOKUP(Logs_Reseau_Part5[[#This Row],[Cell_ID]],Registre_Maintenance_Part[[ID_Antenne]:[Colonne2]],5,FALSE),"")</f>
        <v/>
      </c>
      <c r="K614" t="str">
        <f>IFERROR(VLOOKUP(Logs_Reseau_Part5[[#This Row],[Cell_ID]],Registre_Maintenance_Part[[ID_Antenne]:[Colonne2]],6,FALSE),"")</f>
        <v/>
      </c>
    </row>
    <row r="615" spans="1:11" x14ac:dyDescent="0.3">
      <c r="A615" t="s">
        <v>1026</v>
      </c>
      <c r="B615" s="1">
        <v>45207.17291666667</v>
      </c>
      <c r="C615" s="2">
        <v>45207.17291666667</v>
      </c>
      <c r="D615" t="s">
        <v>1058</v>
      </c>
      <c r="E615">
        <v>73</v>
      </c>
      <c r="F615" t="s">
        <v>739</v>
      </c>
      <c r="G615" t="str">
        <f>IFERROR(VLOOKUP(Logs_Reseau_Part5[[#This Row],[Cell_ID]],Registre_Maintenance_Part[[ID_Antenne]:[Colonne2]],2,FALSE),"")</f>
        <v/>
      </c>
      <c r="H615" t="str">
        <f>IFERROR(VLOOKUP(Logs_Reseau_Part5[[#This Row],[Cell_ID]],Registre_Maintenance_Part[[ID_Antenne]:[Colonne2]],3,FALSE),"")</f>
        <v/>
      </c>
      <c r="I615" t="str">
        <f>IFERROR(VLOOKUP(Logs_Reseau_Part5[[#This Row],[Cell_ID]],Registre_Maintenance_Part[[ID_Antenne]:[Colonne2]],4,FALSE),"")</f>
        <v/>
      </c>
      <c r="J615" t="str">
        <f>IFERROR(VLOOKUP(Logs_Reseau_Part5[[#This Row],[Cell_ID]],Registre_Maintenance_Part[[ID_Antenne]:[Colonne2]],5,FALSE),"")</f>
        <v/>
      </c>
      <c r="K615" t="str">
        <f>IFERROR(VLOOKUP(Logs_Reseau_Part5[[#This Row],[Cell_ID]],Registre_Maintenance_Part[[ID_Antenne]:[Colonne2]],6,FALSE),"")</f>
        <v/>
      </c>
    </row>
    <row r="616" spans="1:11" x14ac:dyDescent="0.3">
      <c r="A616" t="s">
        <v>1406</v>
      </c>
      <c r="B616" s="1">
        <v>45207.199305555558</v>
      </c>
      <c r="C616" s="2">
        <v>45207.199305555558</v>
      </c>
      <c r="D616" t="s">
        <v>1343</v>
      </c>
      <c r="E616">
        <v>28</v>
      </c>
      <c r="F616" t="s">
        <v>737</v>
      </c>
      <c r="G616" t="str">
        <f>IFERROR(VLOOKUP(Logs_Reseau_Part5[[#This Row],[Cell_ID]],Registre_Maintenance_Part[[ID_Antenne]:[Colonne2]],2,FALSE),"")</f>
        <v/>
      </c>
      <c r="H616" t="str">
        <f>IFERROR(VLOOKUP(Logs_Reseau_Part5[[#This Row],[Cell_ID]],Registre_Maintenance_Part[[ID_Antenne]:[Colonne2]],3,FALSE),"")</f>
        <v/>
      </c>
      <c r="I616" t="str">
        <f>IFERROR(VLOOKUP(Logs_Reseau_Part5[[#This Row],[Cell_ID]],Registre_Maintenance_Part[[ID_Antenne]:[Colonne2]],4,FALSE),"")</f>
        <v/>
      </c>
      <c r="J616" t="str">
        <f>IFERROR(VLOOKUP(Logs_Reseau_Part5[[#This Row],[Cell_ID]],Registre_Maintenance_Part[[ID_Antenne]:[Colonne2]],5,FALSE),"")</f>
        <v/>
      </c>
      <c r="K616" t="str">
        <f>IFERROR(VLOOKUP(Logs_Reseau_Part5[[#This Row],[Cell_ID]],Registre_Maintenance_Part[[ID_Antenne]:[Colonne2]],6,FALSE),"")</f>
        <v/>
      </c>
    </row>
    <row r="617" spans="1:11" x14ac:dyDescent="0.3">
      <c r="A617" t="s">
        <v>1167</v>
      </c>
      <c r="B617" s="1">
        <v>45207.304861111108</v>
      </c>
      <c r="C617" s="2">
        <v>45207.304861111108</v>
      </c>
      <c r="D617" t="s">
        <v>738</v>
      </c>
      <c r="E617">
        <v>50</v>
      </c>
      <c r="F617" t="s">
        <v>737</v>
      </c>
      <c r="G617" t="str">
        <f>IFERROR(VLOOKUP(Logs_Reseau_Part5[[#This Row],[Cell_ID]],Registre_Maintenance_Part[[ID_Antenne]:[Colonne2]],2,FALSE),"")</f>
        <v/>
      </c>
      <c r="H617" t="str">
        <f>IFERROR(VLOOKUP(Logs_Reseau_Part5[[#This Row],[Cell_ID]],Registre_Maintenance_Part[[ID_Antenne]:[Colonne2]],3,FALSE),"")</f>
        <v/>
      </c>
      <c r="I617" t="str">
        <f>IFERROR(VLOOKUP(Logs_Reseau_Part5[[#This Row],[Cell_ID]],Registre_Maintenance_Part[[ID_Antenne]:[Colonne2]],4,FALSE),"")</f>
        <v/>
      </c>
      <c r="J617" t="str">
        <f>IFERROR(VLOOKUP(Logs_Reseau_Part5[[#This Row],[Cell_ID]],Registre_Maintenance_Part[[ID_Antenne]:[Colonne2]],5,FALSE),"")</f>
        <v/>
      </c>
      <c r="K617" t="str">
        <f>IFERROR(VLOOKUP(Logs_Reseau_Part5[[#This Row],[Cell_ID]],Registre_Maintenance_Part[[ID_Antenne]:[Colonne2]],6,FALSE),"")</f>
        <v/>
      </c>
    </row>
    <row r="618" spans="1:11" x14ac:dyDescent="0.3">
      <c r="A618" t="s">
        <v>1384</v>
      </c>
      <c r="B618" s="1">
        <v>45207.350694444453</v>
      </c>
      <c r="C618" s="2">
        <v>45207.350694444453</v>
      </c>
      <c r="D618" t="s">
        <v>1391</v>
      </c>
      <c r="E618">
        <v>75</v>
      </c>
      <c r="F618" t="s">
        <v>739</v>
      </c>
      <c r="G618" t="str">
        <f>IFERROR(VLOOKUP(Logs_Reseau_Part5[[#This Row],[Cell_ID]],Registre_Maintenance_Part[[ID_Antenne]:[Colonne2]],2,FALSE),"")</f>
        <v/>
      </c>
      <c r="H618" t="str">
        <f>IFERROR(VLOOKUP(Logs_Reseau_Part5[[#This Row],[Cell_ID]],Registre_Maintenance_Part[[ID_Antenne]:[Colonne2]],3,FALSE),"")</f>
        <v/>
      </c>
      <c r="I618" t="str">
        <f>IFERROR(VLOOKUP(Logs_Reseau_Part5[[#This Row],[Cell_ID]],Registre_Maintenance_Part[[ID_Antenne]:[Colonne2]],4,FALSE),"")</f>
        <v/>
      </c>
      <c r="J618" t="str">
        <f>IFERROR(VLOOKUP(Logs_Reseau_Part5[[#This Row],[Cell_ID]],Registre_Maintenance_Part[[ID_Antenne]:[Colonne2]],5,FALSE),"")</f>
        <v/>
      </c>
      <c r="K618" t="str">
        <f>IFERROR(VLOOKUP(Logs_Reseau_Part5[[#This Row],[Cell_ID]],Registre_Maintenance_Part[[ID_Antenne]:[Colonne2]],6,FALSE),"")</f>
        <v/>
      </c>
    </row>
    <row r="619" spans="1:11" x14ac:dyDescent="0.3">
      <c r="A619" t="s">
        <v>1061</v>
      </c>
      <c r="B619" s="1">
        <v>45207.379861111112</v>
      </c>
      <c r="C619" s="2">
        <v>45207.379861111112</v>
      </c>
      <c r="D619" t="s">
        <v>983</v>
      </c>
      <c r="E619">
        <v>118</v>
      </c>
      <c r="F619" t="s">
        <v>739</v>
      </c>
      <c r="G619" t="str">
        <f>IFERROR(VLOOKUP(Logs_Reseau_Part5[[#This Row],[Cell_ID]],Registre_Maintenance_Part[[ID_Antenne]:[Colonne2]],2,FALSE),"")</f>
        <v/>
      </c>
      <c r="H619" t="str">
        <f>IFERROR(VLOOKUP(Logs_Reseau_Part5[[#This Row],[Cell_ID]],Registre_Maintenance_Part[[ID_Antenne]:[Colonne2]],3,FALSE),"")</f>
        <v/>
      </c>
      <c r="I619" t="str">
        <f>IFERROR(VLOOKUP(Logs_Reseau_Part5[[#This Row],[Cell_ID]],Registre_Maintenance_Part[[ID_Antenne]:[Colonne2]],4,FALSE),"")</f>
        <v/>
      </c>
      <c r="J619" t="str">
        <f>IFERROR(VLOOKUP(Logs_Reseau_Part5[[#This Row],[Cell_ID]],Registre_Maintenance_Part[[ID_Antenne]:[Colonne2]],5,FALSE),"")</f>
        <v/>
      </c>
      <c r="K619" t="str">
        <f>IFERROR(VLOOKUP(Logs_Reseau_Part5[[#This Row],[Cell_ID]],Registre_Maintenance_Part[[ID_Antenne]:[Colonne2]],6,FALSE),"")</f>
        <v/>
      </c>
    </row>
    <row r="620" spans="1:11" x14ac:dyDescent="0.3">
      <c r="A620" t="s">
        <v>904</v>
      </c>
      <c r="B620" s="1">
        <v>45207.40625</v>
      </c>
      <c r="C620" s="2">
        <v>45207.40625</v>
      </c>
      <c r="D620" t="s">
        <v>802</v>
      </c>
      <c r="E620">
        <v>49</v>
      </c>
      <c r="F620" t="s">
        <v>737</v>
      </c>
      <c r="G620" t="str">
        <f>IFERROR(VLOOKUP(Logs_Reseau_Part5[[#This Row],[Cell_ID]],Registre_Maintenance_Part[[ID_Antenne]:[Colonne2]],2,FALSE),"")</f>
        <v/>
      </c>
      <c r="H620" t="str">
        <f>IFERROR(VLOOKUP(Logs_Reseau_Part5[[#This Row],[Cell_ID]],Registre_Maintenance_Part[[ID_Antenne]:[Colonne2]],3,FALSE),"")</f>
        <v/>
      </c>
      <c r="I620" t="str">
        <f>IFERROR(VLOOKUP(Logs_Reseau_Part5[[#This Row],[Cell_ID]],Registre_Maintenance_Part[[ID_Antenne]:[Colonne2]],4,FALSE),"")</f>
        <v/>
      </c>
      <c r="J620" t="str">
        <f>IFERROR(VLOOKUP(Logs_Reseau_Part5[[#This Row],[Cell_ID]],Registre_Maintenance_Part[[ID_Antenne]:[Colonne2]],5,FALSE),"")</f>
        <v/>
      </c>
      <c r="K620" t="str">
        <f>IFERROR(VLOOKUP(Logs_Reseau_Part5[[#This Row],[Cell_ID]],Registre_Maintenance_Part[[ID_Antenne]:[Colonne2]],6,FALSE),"")</f>
        <v/>
      </c>
    </row>
    <row r="621" spans="1:11" x14ac:dyDescent="0.3">
      <c r="A621" t="s">
        <v>1310</v>
      </c>
      <c r="B621" s="1">
        <v>45207.472222222219</v>
      </c>
      <c r="C621" s="2">
        <v>45207.472222222219</v>
      </c>
      <c r="D621" t="s">
        <v>1316</v>
      </c>
      <c r="E621">
        <v>30</v>
      </c>
      <c r="F621" t="s">
        <v>739</v>
      </c>
      <c r="G621" t="str">
        <f>IFERROR(VLOOKUP(Logs_Reseau_Part5[[#This Row],[Cell_ID]],Registre_Maintenance_Part[[ID_Antenne]:[Colonne2]],2,FALSE),"")</f>
        <v/>
      </c>
      <c r="H621" t="str">
        <f>IFERROR(VLOOKUP(Logs_Reseau_Part5[[#This Row],[Cell_ID]],Registre_Maintenance_Part[[ID_Antenne]:[Colonne2]],3,FALSE),"")</f>
        <v/>
      </c>
      <c r="I621" t="str">
        <f>IFERROR(VLOOKUP(Logs_Reseau_Part5[[#This Row],[Cell_ID]],Registre_Maintenance_Part[[ID_Antenne]:[Colonne2]],4,FALSE),"")</f>
        <v/>
      </c>
      <c r="J621" t="str">
        <f>IFERROR(VLOOKUP(Logs_Reseau_Part5[[#This Row],[Cell_ID]],Registre_Maintenance_Part[[ID_Antenne]:[Colonne2]],5,FALSE),"")</f>
        <v/>
      </c>
      <c r="K621" t="str">
        <f>IFERROR(VLOOKUP(Logs_Reseau_Part5[[#This Row],[Cell_ID]],Registre_Maintenance_Part[[ID_Antenne]:[Colonne2]],6,FALSE),"")</f>
        <v/>
      </c>
    </row>
    <row r="622" spans="1:11" x14ac:dyDescent="0.3">
      <c r="A622" t="s">
        <v>1167</v>
      </c>
      <c r="B622" s="1">
        <v>45207.525000000001</v>
      </c>
      <c r="C622" s="2">
        <v>45207.525000000001</v>
      </c>
      <c r="D622" t="s">
        <v>1191</v>
      </c>
      <c r="E622">
        <v>83</v>
      </c>
      <c r="F622" t="s">
        <v>734</v>
      </c>
      <c r="G622" t="str">
        <f>IFERROR(VLOOKUP(Logs_Reseau_Part5[[#This Row],[Cell_ID]],Registre_Maintenance_Part[[ID_Antenne]:[Colonne2]],2,FALSE),"")</f>
        <v/>
      </c>
      <c r="H622" t="str">
        <f>IFERROR(VLOOKUP(Logs_Reseau_Part5[[#This Row],[Cell_ID]],Registre_Maintenance_Part[[ID_Antenne]:[Colonne2]],3,FALSE),"")</f>
        <v/>
      </c>
      <c r="I622" t="str">
        <f>IFERROR(VLOOKUP(Logs_Reseau_Part5[[#This Row],[Cell_ID]],Registre_Maintenance_Part[[ID_Antenne]:[Colonne2]],4,FALSE),"")</f>
        <v/>
      </c>
      <c r="J622" t="str">
        <f>IFERROR(VLOOKUP(Logs_Reseau_Part5[[#This Row],[Cell_ID]],Registre_Maintenance_Part[[ID_Antenne]:[Colonne2]],5,FALSE),"")</f>
        <v/>
      </c>
      <c r="K622" t="str">
        <f>IFERROR(VLOOKUP(Logs_Reseau_Part5[[#This Row],[Cell_ID]],Registre_Maintenance_Part[[ID_Antenne]:[Colonne2]],6,FALSE),"")</f>
        <v/>
      </c>
    </row>
    <row r="623" spans="1:11" x14ac:dyDescent="0.3">
      <c r="A623" t="s">
        <v>941</v>
      </c>
      <c r="B623" s="1">
        <v>45207.543055555558</v>
      </c>
      <c r="C623" s="2">
        <v>45207.543055555558</v>
      </c>
      <c r="D623" t="s">
        <v>944</v>
      </c>
      <c r="E623">
        <v>54</v>
      </c>
      <c r="F623" t="s">
        <v>734</v>
      </c>
      <c r="G623" t="str">
        <f>IFERROR(VLOOKUP(Logs_Reseau_Part5[[#This Row],[Cell_ID]],Registre_Maintenance_Part[[ID_Antenne]:[Colonne2]],2,FALSE),"")</f>
        <v/>
      </c>
      <c r="H623" t="str">
        <f>IFERROR(VLOOKUP(Logs_Reseau_Part5[[#This Row],[Cell_ID]],Registre_Maintenance_Part[[ID_Antenne]:[Colonne2]],3,FALSE),"")</f>
        <v/>
      </c>
      <c r="I623" t="str">
        <f>IFERROR(VLOOKUP(Logs_Reseau_Part5[[#This Row],[Cell_ID]],Registre_Maintenance_Part[[ID_Antenne]:[Colonne2]],4,FALSE),"")</f>
        <v/>
      </c>
      <c r="J623" t="str">
        <f>IFERROR(VLOOKUP(Logs_Reseau_Part5[[#This Row],[Cell_ID]],Registre_Maintenance_Part[[ID_Antenne]:[Colonne2]],5,FALSE),"")</f>
        <v/>
      </c>
      <c r="K623" t="str">
        <f>IFERROR(VLOOKUP(Logs_Reseau_Part5[[#This Row],[Cell_ID]],Registre_Maintenance_Part[[ID_Antenne]:[Colonne2]],6,FALSE),"")</f>
        <v/>
      </c>
    </row>
    <row r="624" spans="1:11" x14ac:dyDescent="0.3">
      <c r="A624" t="s">
        <v>1221</v>
      </c>
      <c r="B624" s="1">
        <v>45207.599305555559</v>
      </c>
      <c r="C624" s="2">
        <v>45207.599305555559</v>
      </c>
      <c r="D624" t="s">
        <v>858</v>
      </c>
      <c r="E624">
        <v>59</v>
      </c>
      <c r="F624" t="s">
        <v>734</v>
      </c>
      <c r="G624" t="str">
        <f>IFERROR(VLOOKUP(Logs_Reseau_Part5[[#This Row],[Cell_ID]],Registre_Maintenance_Part[[ID_Antenne]:[Colonne2]],2,FALSE),"")</f>
        <v/>
      </c>
      <c r="H624" t="str">
        <f>IFERROR(VLOOKUP(Logs_Reseau_Part5[[#This Row],[Cell_ID]],Registre_Maintenance_Part[[ID_Antenne]:[Colonne2]],3,FALSE),"")</f>
        <v/>
      </c>
      <c r="I624" t="str">
        <f>IFERROR(VLOOKUP(Logs_Reseau_Part5[[#This Row],[Cell_ID]],Registre_Maintenance_Part[[ID_Antenne]:[Colonne2]],4,FALSE),"")</f>
        <v/>
      </c>
      <c r="J624" t="str">
        <f>IFERROR(VLOOKUP(Logs_Reseau_Part5[[#This Row],[Cell_ID]],Registre_Maintenance_Part[[ID_Antenne]:[Colonne2]],5,FALSE),"")</f>
        <v/>
      </c>
      <c r="K624" t="str">
        <f>IFERROR(VLOOKUP(Logs_Reseau_Part5[[#This Row],[Cell_ID]],Registre_Maintenance_Part[[ID_Antenne]:[Colonne2]],6,FALSE),"")</f>
        <v/>
      </c>
    </row>
    <row r="625" spans="1:11" x14ac:dyDescent="0.3">
      <c r="A625" t="s">
        <v>941</v>
      </c>
      <c r="B625" s="1">
        <v>45207.611111111109</v>
      </c>
      <c r="C625" s="2">
        <v>45207.611111111109</v>
      </c>
      <c r="D625" t="s">
        <v>838</v>
      </c>
      <c r="E625">
        <v>107</v>
      </c>
      <c r="F625" t="s">
        <v>737</v>
      </c>
      <c r="G625" t="str">
        <f>IFERROR(VLOOKUP(Logs_Reseau_Part5[[#This Row],[Cell_ID]],Registre_Maintenance_Part[[ID_Antenne]:[Colonne2]],2,FALSE),"")</f>
        <v/>
      </c>
      <c r="H625" t="str">
        <f>IFERROR(VLOOKUP(Logs_Reseau_Part5[[#This Row],[Cell_ID]],Registre_Maintenance_Part[[ID_Antenne]:[Colonne2]],3,FALSE),"")</f>
        <v/>
      </c>
      <c r="I625" t="str">
        <f>IFERROR(VLOOKUP(Logs_Reseau_Part5[[#This Row],[Cell_ID]],Registre_Maintenance_Part[[ID_Antenne]:[Colonne2]],4,FALSE),"")</f>
        <v/>
      </c>
      <c r="J625" t="str">
        <f>IFERROR(VLOOKUP(Logs_Reseau_Part5[[#This Row],[Cell_ID]],Registre_Maintenance_Part[[ID_Antenne]:[Colonne2]],5,FALSE),"")</f>
        <v/>
      </c>
      <c r="K625" t="str">
        <f>IFERROR(VLOOKUP(Logs_Reseau_Part5[[#This Row],[Cell_ID]],Registre_Maintenance_Part[[ID_Antenne]:[Colonne2]],6,FALSE),"")</f>
        <v/>
      </c>
    </row>
    <row r="626" spans="1:11" x14ac:dyDescent="0.3">
      <c r="A626" t="s">
        <v>980</v>
      </c>
      <c r="B626" s="1">
        <v>45207.713888888888</v>
      </c>
      <c r="C626" s="2">
        <v>45207.713888888888</v>
      </c>
      <c r="D626" t="s">
        <v>981</v>
      </c>
      <c r="E626">
        <v>99</v>
      </c>
      <c r="F626" t="s">
        <v>737</v>
      </c>
      <c r="G626" t="str">
        <f>IFERROR(VLOOKUP(Logs_Reseau_Part5[[#This Row],[Cell_ID]],Registre_Maintenance_Part[[ID_Antenne]:[Colonne2]],2,FALSE),"")</f>
        <v/>
      </c>
      <c r="H626" t="str">
        <f>IFERROR(VLOOKUP(Logs_Reseau_Part5[[#This Row],[Cell_ID]],Registre_Maintenance_Part[[ID_Antenne]:[Colonne2]],3,FALSE),"")</f>
        <v/>
      </c>
      <c r="I626" t="str">
        <f>IFERROR(VLOOKUP(Logs_Reseau_Part5[[#This Row],[Cell_ID]],Registre_Maintenance_Part[[ID_Antenne]:[Colonne2]],4,FALSE),"")</f>
        <v/>
      </c>
      <c r="J626" t="str">
        <f>IFERROR(VLOOKUP(Logs_Reseau_Part5[[#This Row],[Cell_ID]],Registre_Maintenance_Part[[ID_Antenne]:[Colonne2]],5,FALSE),"")</f>
        <v/>
      </c>
      <c r="K626" t="str">
        <f>IFERROR(VLOOKUP(Logs_Reseau_Part5[[#This Row],[Cell_ID]],Registre_Maintenance_Part[[ID_Antenne]:[Colonne2]],6,FALSE),"")</f>
        <v/>
      </c>
    </row>
    <row r="627" spans="1:11" x14ac:dyDescent="0.3">
      <c r="A627" t="s">
        <v>1195</v>
      </c>
      <c r="B627" s="1">
        <v>45207.772916666669</v>
      </c>
      <c r="C627" s="2">
        <v>45207.772916666669</v>
      </c>
      <c r="D627" t="s">
        <v>1185</v>
      </c>
      <c r="E627">
        <v>55</v>
      </c>
      <c r="F627" t="s">
        <v>737</v>
      </c>
      <c r="G627" t="str">
        <f>IFERROR(VLOOKUP(Logs_Reseau_Part5[[#This Row],[Cell_ID]],Registre_Maintenance_Part[[ID_Antenne]:[Colonne2]],2,FALSE),"")</f>
        <v/>
      </c>
      <c r="H627" t="str">
        <f>IFERROR(VLOOKUP(Logs_Reseau_Part5[[#This Row],[Cell_ID]],Registre_Maintenance_Part[[ID_Antenne]:[Colonne2]],3,FALSE),"")</f>
        <v/>
      </c>
      <c r="I627" t="str">
        <f>IFERROR(VLOOKUP(Logs_Reseau_Part5[[#This Row],[Cell_ID]],Registre_Maintenance_Part[[ID_Antenne]:[Colonne2]],4,FALSE),"")</f>
        <v/>
      </c>
      <c r="J627" t="str">
        <f>IFERROR(VLOOKUP(Logs_Reseau_Part5[[#This Row],[Cell_ID]],Registre_Maintenance_Part[[ID_Antenne]:[Colonne2]],5,FALSE),"")</f>
        <v/>
      </c>
      <c r="K627" t="str">
        <f>IFERROR(VLOOKUP(Logs_Reseau_Part5[[#This Row],[Cell_ID]],Registre_Maintenance_Part[[ID_Antenne]:[Colonne2]],6,FALSE),"")</f>
        <v/>
      </c>
    </row>
    <row r="628" spans="1:11" x14ac:dyDescent="0.3">
      <c r="A628" t="s">
        <v>1290</v>
      </c>
      <c r="B628" s="1">
        <v>45207.845833333333</v>
      </c>
      <c r="C628" s="2">
        <v>45207.845833333333</v>
      </c>
      <c r="D628" t="s">
        <v>951</v>
      </c>
      <c r="E628">
        <v>12</v>
      </c>
      <c r="F628" t="s">
        <v>739</v>
      </c>
      <c r="G628" t="str">
        <f>IFERROR(VLOOKUP(Logs_Reseau_Part5[[#This Row],[Cell_ID]],Registre_Maintenance_Part[[ID_Antenne]:[Colonne2]],2,FALSE),"")</f>
        <v/>
      </c>
      <c r="H628" t="str">
        <f>IFERROR(VLOOKUP(Logs_Reseau_Part5[[#This Row],[Cell_ID]],Registre_Maintenance_Part[[ID_Antenne]:[Colonne2]],3,FALSE),"")</f>
        <v/>
      </c>
      <c r="I628" t="str">
        <f>IFERROR(VLOOKUP(Logs_Reseau_Part5[[#This Row],[Cell_ID]],Registre_Maintenance_Part[[ID_Antenne]:[Colonne2]],4,FALSE),"")</f>
        <v/>
      </c>
      <c r="J628" t="str">
        <f>IFERROR(VLOOKUP(Logs_Reseau_Part5[[#This Row],[Cell_ID]],Registre_Maintenance_Part[[ID_Antenne]:[Colonne2]],5,FALSE),"")</f>
        <v/>
      </c>
      <c r="K628" t="str">
        <f>IFERROR(VLOOKUP(Logs_Reseau_Part5[[#This Row],[Cell_ID]],Registre_Maintenance_Part[[ID_Antenne]:[Colonne2]],6,FALSE),"")</f>
        <v/>
      </c>
    </row>
    <row r="629" spans="1:11" x14ac:dyDescent="0.3">
      <c r="A629" t="s">
        <v>1140</v>
      </c>
      <c r="B629" s="1">
        <v>45207.908333333333</v>
      </c>
      <c r="C629" s="2">
        <v>45207.908333333333</v>
      </c>
      <c r="D629" t="s">
        <v>1154</v>
      </c>
      <c r="E629">
        <v>103</v>
      </c>
      <c r="F629" t="s">
        <v>734</v>
      </c>
      <c r="G629" t="str">
        <f>IFERROR(VLOOKUP(Logs_Reseau_Part5[[#This Row],[Cell_ID]],Registre_Maintenance_Part[[ID_Antenne]:[Colonne2]],2,FALSE),"")</f>
        <v/>
      </c>
      <c r="H629" t="str">
        <f>IFERROR(VLOOKUP(Logs_Reseau_Part5[[#This Row],[Cell_ID]],Registre_Maintenance_Part[[ID_Antenne]:[Colonne2]],3,FALSE),"")</f>
        <v/>
      </c>
      <c r="I629" t="str">
        <f>IFERROR(VLOOKUP(Logs_Reseau_Part5[[#This Row],[Cell_ID]],Registre_Maintenance_Part[[ID_Antenne]:[Colonne2]],4,FALSE),"")</f>
        <v/>
      </c>
      <c r="J629" t="str">
        <f>IFERROR(VLOOKUP(Logs_Reseau_Part5[[#This Row],[Cell_ID]],Registre_Maintenance_Part[[ID_Antenne]:[Colonne2]],5,FALSE),"")</f>
        <v/>
      </c>
      <c r="K629" t="str">
        <f>IFERROR(VLOOKUP(Logs_Reseau_Part5[[#This Row],[Cell_ID]],Registre_Maintenance_Part[[ID_Antenne]:[Colonne2]],6,FALSE),"")</f>
        <v/>
      </c>
    </row>
    <row r="630" spans="1:11" x14ac:dyDescent="0.3">
      <c r="A630" t="s">
        <v>1310</v>
      </c>
      <c r="B630" s="1">
        <v>45207.919444444437</v>
      </c>
      <c r="C630" s="2">
        <v>45207.919444444437</v>
      </c>
      <c r="D630" t="s">
        <v>1318</v>
      </c>
      <c r="E630">
        <v>42</v>
      </c>
      <c r="F630" t="s">
        <v>734</v>
      </c>
      <c r="G630" t="str">
        <f>IFERROR(VLOOKUP(Logs_Reseau_Part5[[#This Row],[Cell_ID]],Registre_Maintenance_Part[[ID_Antenne]:[Colonne2]],2,FALSE),"")</f>
        <v/>
      </c>
      <c r="H630" t="str">
        <f>IFERROR(VLOOKUP(Logs_Reseau_Part5[[#This Row],[Cell_ID]],Registre_Maintenance_Part[[ID_Antenne]:[Colonne2]],3,FALSE),"")</f>
        <v/>
      </c>
      <c r="I630" t="str">
        <f>IFERROR(VLOOKUP(Logs_Reseau_Part5[[#This Row],[Cell_ID]],Registre_Maintenance_Part[[ID_Antenne]:[Colonne2]],4,FALSE),"")</f>
        <v/>
      </c>
      <c r="J630" t="str">
        <f>IFERROR(VLOOKUP(Logs_Reseau_Part5[[#This Row],[Cell_ID]],Registre_Maintenance_Part[[ID_Antenne]:[Colonne2]],5,FALSE),"")</f>
        <v/>
      </c>
      <c r="K630" t="str">
        <f>IFERROR(VLOOKUP(Logs_Reseau_Part5[[#This Row],[Cell_ID]],Registre_Maintenance_Part[[ID_Antenne]:[Colonne2]],6,FALSE),"")</f>
        <v/>
      </c>
    </row>
    <row r="631" spans="1:11" x14ac:dyDescent="0.3">
      <c r="A631" t="s">
        <v>980</v>
      </c>
      <c r="B631" s="1">
        <v>45208.047222222223</v>
      </c>
      <c r="C631" s="2">
        <v>45208.047222222223</v>
      </c>
      <c r="D631" t="s">
        <v>783</v>
      </c>
      <c r="E631">
        <v>92</v>
      </c>
      <c r="F631" t="s">
        <v>739</v>
      </c>
      <c r="G631" t="str">
        <f>IFERROR(VLOOKUP(Logs_Reseau_Part5[[#This Row],[Cell_ID]],Registre_Maintenance_Part[[ID_Antenne]:[Colonne2]],2,FALSE),"")</f>
        <v/>
      </c>
      <c r="H631" t="str">
        <f>IFERROR(VLOOKUP(Logs_Reseau_Part5[[#This Row],[Cell_ID]],Registre_Maintenance_Part[[ID_Antenne]:[Colonne2]],3,FALSE),"")</f>
        <v/>
      </c>
      <c r="I631" t="str">
        <f>IFERROR(VLOOKUP(Logs_Reseau_Part5[[#This Row],[Cell_ID]],Registre_Maintenance_Part[[ID_Antenne]:[Colonne2]],4,FALSE),"")</f>
        <v/>
      </c>
      <c r="J631" t="str">
        <f>IFERROR(VLOOKUP(Logs_Reseau_Part5[[#This Row],[Cell_ID]],Registre_Maintenance_Part[[ID_Antenne]:[Colonne2]],5,FALSE),"")</f>
        <v/>
      </c>
      <c r="K631" t="str">
        <f>IFERROR(VLOOKUP(Logs_Reseau_Part5[[#This Row],[Cell_ID]],Registre_Maintenance_Part[[ID_Antenne]:[Colonne2]],6,FALSE),"")</f>
        <v/>
      </c>
    </row>
    <row r="632" spans="1:11" x14ac:dyDescent="0.3">
      <c r="A632" t="s">
        <v>1061</v>
      </c>
      <c r="B632" s="1">
        <v>45208.074999999997</v>
      </c>
      <c r="C632" s="2">
        <v>45208.074999999997</v>
      </c>
      <c r="D632" t="s">
        <v>990</v>
      </c>
      <c r="E632">
        <v>82</v>
      </c>
      <c r="F632" t="s">
        <v>739</v>
      </c>
      <c r="G632" t="str">
        <f>IFERROR(VLOOKUP(Logs_Reseau_Part5[[#This Row],[Cell_ID]],Registre_Maintenance_Part[[ID_Antenne]:[Colonne2]],2,FALSE),"")</f>
        <v/>
      </c>
      <c r="H632" t="str">
        <f>IFERROR(VLOOKUP(Logs_Reseau_Part5[[#This Row],[Cell_ID]],Registre_Maintenance_Part[[ID_Antenne]:[Colonne2]],3,FALSE),"")</f>
        <v/>
      </c>
      <c r="I632" t="str">
        <f>IFERROR(VLOOKUP(Logs_Reseau_Part5[[#This Row],[Cell_ID]],Registre_Maintenance_Part[[ID_Antenne]:[Colonne2]],4,FALSE),"")</f>
        <v/>
      </c>
      <c r="J632" t="str">
        <f>IFERROR(VLOOKUP(Logs_Reseau_Part5[[#This Row],[Cell_ID]],Registre_Maintenance_Part[[ID_Antenne]:[Colonne2]],5,FALSE),"")</f>
        <v/>
      </c>
      <c r="K632" t="str">
        <f>IFERROR(VLOOKUP(Logs_Reseau_Part5[[#This Row],[Cell_ID]],Registre_Maintenance_Part[[ID_Antenne]:[Colonne2]],6,FALSE),"")</f>
        <v/>
      </c>
    </row>
    <row r="633" spans="1:11" x14ac:dyDescent="0.3">
      <c r="A633" t="s">
        <v>1290</v>
      </c>
      <c r="B633" s="1">
        <v>45208.084027777782</v>
      </c>
      <c r="C633" s="2">
        <v>45208.084027777782</v>
      </c>
      <c r="D633" t="s">
        <v>1297</v>
      </c>
      <c r="E633">
        <v>50</v>
      </c>
      <c r="F633" t="s">
        <v>737</v>
      </c>
      <c r="G633" t="str">
        <f>IFERROR(VLOOKUP(Logs_Reseau_Part5[[#This Row],[Cell_ID]],Registre_Maintenance_Part[[ID_Antenne]:[Colonne2]],2,FALSE),"")</f>
        <v/>
      </c>
      <c r="H633" t="str">
        <f>IFERROR(VLOOKUP(Logs_Reseau_Part5[[#This Row],[Cell_ID]],Registre_Maintenance_Part[[ID_Antenne]:[Colonne2]],3,FALSE),"")</f>
        <v/>
      </c>
      <c r="I633" t="str">
        <f>IFERROR(VLOOKUP(Logs_Reseau_Part5[[#This Row],[Cell_ID]],Registre_Maintenance_Part[[ID_Antenne]:[Colonne2]],4,FALSE),"")</f>
        <v/>
      </c>
      <c r="J633" t="str">
        <f>IFERROR(VLOOKUP(Logs_Reseau_Part5[[#This Row],[Cell_ID]],Registre_Maintenance_Part[[ID_Antenne]:[Colonne2]],5,FALSE),"")</f>
        <v/>
      </c>
      <c r="K633" t="str">
        <f>IFERROR(VLOOKUP(Logs_Reseau_Part5[[#This Row],[Cell_ID]],Registre_Maintenance_Part[[ID_Antenne]:[Colonne2]],6,FALSE),"")</f>
        <v/>
      </c>
    </row>
    <row r="634" spans="1:11" x14ac:dyDescent="0.3">
      <c r="A634" t="s">
        <v>980</v>
      </c>
      <c r="B634" s="1">
        <v>45208.172222222223</v>
      </c>
      <c r="C634" s="2">
        <v>45208.172222222223</v>
      </c>
      <c r="D634" t="s">
        <v>785</v>
      </c>
      <c r="E634">
        <v>87</v>
      </c>
      <c r="F634" t="s">
        <v>734</v>
      </c>
      <c r="G634" t="str">
        <f>IFERROR(VLOOKUP(Logs_Reseau_Part5[[#This Row],[Cell_ID]],Registre_Maintenance_Part[[ID_Antenne]:[Colonne2]],2,FALSE),"")</f>
        <v/>
      </c>
      <c r="H634" t="str">
        <f>IFERROR(VLOOKUP(Logs_Reseau_Part5[[#This Row],[Cell_ID]],Registre_Maintenance_Part[[ID_Antenne]:[Colonne2]],3,FALSE),"")</f>
        <v/>
      </c>
      <c r="I634" t="str">
        <f>IFERROR(VLOOKUP(Logs_Reseau_Part5[[#This Row],[Cell_ID]],Registre_Maintenance_Part[[ID_Antenne]:[Colonne2]],4,FALSE),"")</f>
        <v/>
      </c>
      <c r="J634" t="str">
        <f>IFERROR(VLOOKUP(Logs_Reseau_Part5[[#This Row],[Cell_ID]],Registre_Maintenance_Part[[ID_Antenne]:[Colonne2]],5,FALSE),"")</f>
        <v/>
      </c>
      <c r="K634" t="str">
        <f>IFERROR(VLOOKUP(Logs_Reseau_Part5[[#This Row],[Cell_ID]],Registre_Maintenance_Part[[ID_Antenne]:[Colonne2]],6,FALSE),"")</f>
        <v/>
      </c>
    </row>
    <row r="635" spans="1:11" x14ac:dyDescent="0.3">
      <c r="A635" t="s">
        <v>1088</v>
      </c>
      <c r="B635" s="1">
        <v>45208.194444444453</v>
      </c>
      <c r="C635" s="2">
        <v>45208.194444444453</v>
      </c>
      <c r="D635" t="s">
        <v>1109</v>
      </c>
      <c r="E635">
        <v>98</v>
      </c>
      <c r="F635" t="s">
        <v>737</v>
      </c>
      <c r="G635" t="str">
        <f>IFERROR(VLOOKUP(Logs_Reseau_Part5[[#This Row],[Cell_ID]],Registre_Maintenance_Part[[ID_Antenne]:[Colonne2]],2,FALSE),"")</f>
        <v/>
      </c>
      <c r="H635" t="str">
        <f>IFERROR(VLOOKUP(Logs_Reseau_Part5[[#This Row],[Cell_ID]],Registre_Maintenance_Part[[ID_Antenne]:[Colonne2]],3,FALSE),"")</f>
        <v/>
      </c>
      <c r="I635" t="str">
        <f>IFERROR(VLOOKUP(Logs_Reseau_Part5[[#This Row],[Cell_ID]],Registre_Maintenance_Part[[ID_Antenne]:[Colonne2]],4,FALSE),"")</f>
        <v/>
      </c>
      <c r="J635" t="str">
        <f>IFERROR(VLOOKUP(Logs_Reseau_Part5[[#This Row],[Cell_ID]],Registre_Maintenance_Part[[ID_Antenne]:[Colonne2]],5,FALSE),"")</f>
        <v/>
      </c>
      <c r="K635" t="str">
        <f>IFERROR(VLOOKUP(Logs_Reseau_Part5[[#This Row],[Cell_ID]],Registre_Maintenance_Part[[ID_Antenne]:[Colonne2]],6,FALSE),"")</f>
        <v/>
      </c>
    </row>
    <row r="636" spans="1:11" x14ac:dyDescent="0.3">
      <c r="A636" t="s">
        <v>732</v>
      </c>
      <c r="B636" s="1">
        <v>45208.301388888889</v>
      </c>
      <c r="C636" s="2">
        <v>45208.301388888889</v>
      </c>
      <c r="D636" t="s">
        <v>735</v>
      </c>
      <c r="E636">
        <v>38</v>
      </c>
      <c r="F636" t="s">
        <v>734</v>
      </c>
      <c r="G636" t="str">
        <f>IFERROR(VLOOKUP(Logs_Reseau_Part5[[#This Row],[Cell_ID]],Registre_Maintenance_Part[[ID_Antenne]:[Colonne2]],2,FALSE),"")</f>
        <v/>
      </c>
      <c r="H636" t="str">
        <f>IFERROR(VLOOKUP(Logs_Reseau_Part5[[#This Row],[Cell_ID]],Registre_Maintenance_Part[[ID_Antenne]:[Colonne2]],3,FALSE),"")</f>
        <v/>
      </c>
      <c r="I636" t="str">
        <f>IFERROR(VLOOKUP(Logs_Reseau_Part5[[#This Row],[Cell_ID]],Registre_Maintenance_Part[[ID_Antenne]:[Colonne2]],4,FALSE),"")</f>
        <v/>
      </c>
      <c r="J636" t="str">
        <f>IFERROR(VLOOKUP(Logs_Reseau_Part5[[#This Row],[Cell_ID]],Registre_Maintenance_Part[[ID_Antenne]:[Colonne2]],5,FALSE),"")</f>
        <v/>
      </c>
      <c r="K636" t="str">
        <f>IFERROR(VLOOKUP(Logs_Reseau_Part5[[#This Row],[Cell_ID]],Registre_Maintenance_Part[[ID_Antenne]:[Colonne2]],6,FALSE),"")</f>
        <v/>
      </c>
    </row>
    <row r="637" spans="1:11" x14ac:dyDescent="0.3">
      <c r="A637" t="s">
        <v>1332</v>
      </c>
      <c r="B637" s="1">
        <v>45208.494444444441</v>
      </c>
      <c r="C637" s="2">
        <v>45208.494444444441</v>
      </c>
      <c r="D637" t="s">
        <v>1079</v>
      </c>
      <c r="E637">
        <v>59</v>
      </c>
      <c r="F637" t="s">
        <v>737</v>
      </c>
      <c r="G637" t="str">
        <f>IFERROR(VLOOKUP(Logs_Reseau_Part5[[#This Row],[Cell_ID]],Registre_Maintenance_Part[[ID_Antenne]:[Colonne2]],2,FALSE),"")</f>
        <v/>
      </c>
      <c r="H637" t="str">
        <f>IFERROR(VLOOKUP(Logs_Reseau_Part5[[#This Row],[Cell_ID]],Registre_Maintenance_Part[[ID_Antenne]:[Colonne2]],3,FALSE),"")</f>
        <v/>
      </c>
      <c r="I637" t="str">
        <f>IFERROR(VLOOKUP(Logs_Reseau_Part5[[#This Row],[Cell_ID]],Registre_Maintenance_Part[[ID_Antenne]:[Colonne2]],4,FALSE),"")</f>
        <v/>
      </c>
      <c r="J637" t="str">
        <f>IFERROR(VLOOKUP(Logs_Reseau_Part5[[#This Row],[Cell_ID]],Registre_Maintenance_Part[[ID_Antenne]:[Colonne2]],5,FALSE),"")</f>
        <v/>
      </c>
      <c r="K637" t="str">
        <f>IFERROR(VLOOKUP(Logs_Reseau_Part5[[#This Row],[Cell_ID]],Registre_Maintenance_Part[[ID_Antenne]:[Colonne2]],6,FALSE),"")</f>
        <v/>
      </c>
    </row>
    <row r="638" spans="1:11" x14ac:dyDescent="0.3">
      <c r="A638" t="s">
        <v>781</v>
      </c>
      <c r="B638" s="1">
        <v>45208.505555555559</v>
      </c>
      <c r="C638" s="2">
        <v>45208.505555555559</v>
      </c>
      <c r="D638" t="s">
        <v>820</v>
      </c>
      <c r="E638">
        <v>31</v>
      </c>
      <c r="F638" t="s">
        <v>739</v>
      </c>
      <c r="G638" t="str">
        <f>IFERROR(VLOOKUP(Logs_Reseau_Part5[[#This Row],[Cell_ID]],Registre_Maintenance_Part[[ID_Antenne]:[Colonne2]],2,FALSE),"")</f>
        <v/>
      </c>
      <c r="H638" t="str">
        <f>IFERROR(VLOOKUP(Logs_Reseau_Part5[[#This Row],[Cell_ID]],Registre_Maintenance_Part[[ID_Antenne]:[Colonne2]],3,FALSE),"")</f>
        <v/>
      </c>
      <c r="I638" t="str">
        <f>IFERROR(VLOOKUP(Logs_Reseau_Part5[[#This Row],[Cell_ID]],Registre_Maintenance_Part[[ID_Antenne]:[Colonne2]],4,FALSE),"")</f>
        <v/>
      </c>
      <c r="J638" t="str">
        <f>IFERROR(VLOOKUP(Logs_Reseau_Part5[[#This Row],[Cell_ID]],Registre_Maintenance_Part[[ID_Antenne]:[Colonne2]],5,FALSE),"")</f>
        <v/>
      </c>
      <c r="K638" t="str">
        <f>IFERROR(VLOOKUP(Logs_Reseau_Part5[[#This Row],[Cell_ID]],Registre_Maintenance_Part[[ID_Antenne]:[Colonne2]],6,FALSE),"")</f>
        <v/>
      </c>
    </row>
    <row r="639" spans="1:11" x14ac:dyDescent="0.3">
      <c r="A639" t="s">
        <v>1332</v>
      </c>
      <c r="B639" s="1">
        <v>45208.506249999999</v>
      </c>
      <c r="C639" s="2">
        <v>45208.506249999999</v>
      </c>
      <c r="D639" t="s">
        <v>1334</v>
      </c>
      <c r="E639">
        <v>91</v>
      </c>
      <c r="F639" t="s">
        <v>739</v>
      </c>
      <c r="G639" t="str">
        <f>IFERROR(VLOOKUP(Logs_Reseau_Part5[[#This Row],[Cell_ID]],Registre_Maintenance_Part[[ID_Antenne]:[Colonne2]],2,FALSE),"")</f>
        <v/>
      </c>
      <c r="H639" t="str">
        <f>IFERROR(VLOOKUP(Logs_Reseau_Part5[[#This Row],[Cell_ID]],Registre_Maintenance_Part[[ID_Antenne]:[Colonne2]],3,FALSE),"")</f>
        <v/>
      </c>
      <c r="I639" t="str">
        <f>IFERROR(VLOOKUP(Logs_Reseau_Part5[[#This Row],[Cell_ID]],Registre_Maintenance_Part[[ID_Antenne]:[Colonne2]],4,FALSE),"")</f>
        <v/>
      </c>
      <c r="J639" t="str">
        <f>IFERROR(VLOOKUP(Logs_Reseau_Part5[[#This Row],[Cell_ID]],Registre_Maintenance_Part[[ID_Antenne]:[Colonne2]],5,FALSE),"")</f>
        <v/>
      </c>
      <c r="K639" t="str">
        <f>IFERROR(VLOOKUP(Logs_Reseau_Part5[[#This Row],[Cell_ID]],Registre_Maintenance_Part[[ID_Antenne]:[Colonne2]],6,FALSE),"")</f>
        <v/>
      </c>
    </row>
    <row r="640" spans="1:11" x14ac:dyDescent="0.3">
      <c r="A640" t="s">
        <v>1167</v>
      </c>
      <c r="B640" s="1">
        <v>45208.529861111107</v>
      </c>
      <c r="C640" s="2">
        <v>45208.529861111107</v>
      </c>
      <c r="D640" t="s">
        <v>1177</v>
      </c>
      <c r="E640">
        <v>72</v>
      </c>
      <c r="F640" t="s">
        <v>739</v>
      </c>
      <c r="G640" t="str">
        <f>IFERROR(VLOOKUP(Logs_Reseau_Part5[[#This Row],[Cell_ID]],Registre_Maintenance_Part[[ID_Antenne]:[Colonne2]],2,FALSE),"")</f>
        <v/>
      </c>
      <c r="H640" t="str">
        <f>IFERROR(VLOOKUP(Logs_Reseau_Part5[[#This Row],[Cell_ID]],Registre_Maintenance_Part[[ID_Antenne]:[Colonne2]],3,FALSE),"")</f>
        <v/>
      </c>
      <c r="I640" t="str">
        <f>IFERROR(VLOOKUP(Logs_Reseau_Part5[[#This Row],[Cell_ID]],Registre_Maintenance_Part[[ID_Antenne]:[Colonne2]],4,FALSE),"")</f>
        <v/>
      </c>
      <c r="J640" t="str">
        <f>IFERROR(VLOOKUP(Logs_Reseau_Part5[[#This Row],[Cell_ID]],Registre_Maintenance_Part[[ID_Antenne]:[Colonne2]],5,FALSE),"")</f>
        <v/>
      </c>
      <c r="K640" t="str">
        <f>IFERROR(VLOOKUP(Logs_Reseau_Part5[[#This Row],[Cell_ID]],Registre_Maintenance_Part[[ID_Antenne]:[Colonne2]],6,FALSE),"")</f>
        <v/>
      </c>
    </row>
    <row r="641" spans="1:11" x14ac:dyDescent="0.3">
      <c r="A641" t="s">
        <v>941</v>
      </c>
      <c r="B641" s="1">
        <v>45208.594444444447</v>
      </c>
      <c r="C641" s="2">
        <v>45208.594444444447</v>
      </c>
      <c r="D641" t="s">
        <v>974</v>
      </c>
      <c r="E641">
        <v>50</v>
      </c>
      <c r="F641" t="s">
        <v>734</v>
      </c>
      <c r="G641" t="str">
        <f>IFERROR(VLOOKUP(Logs_Reseau_Part5[[#This Row],[Cell_ID]],Registre_Maintenance_Part[[ID_Antenne]:[Colonne2]],2,FALSE),"")</f>
        <v/>
      </c>
      <c r="H641" t="str">
        <f>IFERROR(VLOOKUP(Logs_Reseau_Part5[[#This Row],[Cell_ID]],Registre_Maintenance_Part[[ID_Antenne]:[Colonne2]],3,FALSE),"")</f>
        <v/>
      </c>
      <c r="I641" t="str">
        <f>IFERROR(VLOOKUP(Logs_Reseau_Part5[[#This Row],[Cell_ID]],Registre_Maintenance_Part[[ID_Antenne]:[Colonne2]],4,FALSE),"")</f>
        <v/>
      </c>
      <c r="J641" t="str">
        <f>IFERROR(VLOOKUP(Logs_Reseau_Part5[[#This Row],[Cell_ID]],Registre_Maintenance_Part[[ID_Antenne]:[Colonne2]],5,FALSE),"")</f>
        <v/>
      </c>
      <c r="K641" t="str">
        <f>IFERROR(VLOOKUP(Logs_Reseau_Part5[[#This Row],[Cell_ID]],Registre_Maintenance_Part[[ID_Antenne]:[Colonne2]],6,FALSE),"")</f>
        <v/>
      </c>
    </row>
    <row r="642" spans="1:11" x14ac:dyDescent="0.3">
      <c r="A642" t="s">
        <v>1332</v>
      </c>
      <c r="B642" s="1">
        <v>45208.662499999999</v>
      </c>
      <c r="C642" s="2">
        <v>45208.662499999999</v>
      </c>
      <c r="D642" t="s">
        <v>1338</v>
      </c>
      <c r="E642">
        <v>104</v>
      </c>
      <c r="F642" t="s">
        <v>739</v>
      </c>
      <c r="G642" t="str">
        <f>IFERROR(VLOOKUP(Logs_Reseau_Part5[[#This Row],[Cell_ID]],Registre_Maintenance_Part[[ID_Antenne]:[Colonne2]],2,FALSE),"")</f>
        <v/>
      </c>
      <c r="H642" t="str">
        <f>IFERROR(VLOOKUP(Logs_Reseau_Part5[[#This Row],[Cell_ID]],Registre_Maintenance_Part[[ID_Antenne]:[Colonne2]],3,FALSE),"")</f>
        <v/>
      </c>
      <c r="I642" t="str">
        <f>IFERROR(VLOOKUP(Logs_Reseau_Part5[[#This Row],[Cell_ID]],Registre_Maintenance_Part[[ID_Antenne]:[Colonne2]],4,FALSE),"")</f>
        <v/>
      </c>
      <c r="J642" t="str">
        <f>IFERROR(VLOOKUP(Logs_Reseau_Part5[[#This Row],[Cell_ID]],Registre_Maintenance_Part[[ID_Antenne]:[Colonne2]],5,FALSE),"")</f>
        <v/>
      </c>
      <c r="K642" t="str">
        <f>IFERROR(VLOOKUP(Logs_Reseau_Part5[[#This Row],[Cell_ID]],Registre_Maintenance_Part[[ID_Antenne]:[Colonne2]],6,FALSE),"")</f>
        <v/>
      </c>
    </row>
    <row r="643" spans="1:11" x14ac:dyDescent="0.3">
      <c r="A643" t="s">
        <v>1406</v>
      </c>
      <c r="B643" s="1">
        <v>45208.711111111108</v>
      </c>
      <c r="C643" s="2">
        <v>45208.711111111108</v>
      </c>
      <c r="D643" t="s">
        <v>1087</v>
      </c>
      <c r="E643">
        <v>75</v>
      </c>
      <c r="F643" t="s">
        <v>737</v>
      </c>
      <c r="G643" t="str">
        <f>IFERROR(VLOOKUP(Logs_Reseau_Part5[[#This Row],[Cell_ID]],Registre_Maintenance_Part[[ID_Antenne]:[Colonne2]],2,FALSE),"")</f>
        <v/>
      </c>
      <c r="H643" t="str">
        <f>IFERROR(VLOOKUP(Logs_Reseau_Part5[[#This Row],[Cell_ID]],Registre_Maintenance_Part[[ID_Antenne]:[Colonne2]],3,FALSE),"")</f>
        <v/>
      </c>
      <c r="I643" t="str">
        <f>IFERROR(VLOOKUP(Logs_Reseau_Part5[[#This Row],[Cell_ID]],Registre_Maintenance_Part[[ID_Antenne]:[Colonne2]],4,FALSE),"")</f>
        <v/>
      </c>
      <c r="J643" t="str">
        <f>IFERROR(VLOOKUP(Logs_Reseau_Part5[[#This Row],[Cell_ID]],Registre_Maintenance_Part[[ID_Antenne]:[Colonne2]],5,FALSE),"")</f>
        <v/>
      </c>
      <c r="K643" t="str">
        <f>IFERROR(VLOOKUP(Logs_Reseau_Part5[[#This Row],[Cell_ID]],Registre_Maintenance_Part[[ID_Antenne]:[Colonne2]],6,FALSE),"")</f>
        <v/>
      </c>
    </row>
    <row r="644" spans="1:11" x14ac:dyDescent="0.3">
      <c r="A644" t="s">
        <v>1347</v>
      </c>
      <c r="B644" s="1">
        <v>45208.762499999997</v>
      </c>
      <c r="C644" s="2">
        <v>45208.762499999997</v>
      </c>
      <c r="D644" t="s">
        <v>1349</v>
      </c>
      <c r="E644">
        <v>101</v>
      </c>
      <c r="F644" t="s">
        <v>734</v>
      </c>
      <c r="G644" t="str">
        <f>IFERROR(VLOOKUP(Logs_Reseau_Part5[[#This Row],[Cell_ID]],Registre_Maintenance_Part[[ID_Antenne]:[Colonne2]],2,FALSE),"")</f>
        <v/>
      </c>
      <c r="H644" t="str">
        <f>IFERROR(VLOOKUP(Logs_Reseau_Part5[[#This Row],[Cell_ID]],Registre_Maintenance_Part[[ID_Antenne]:[Colonne2]],3,FALSE),"")</f>
        <v/>
      </c>
      <c r="I644" t="str">
        <f>IFERROR(VLOOKUP(Logs_Reseau_Part5[[#This Row],[Cell_ID]],Registre_Maintenance_Part[[ID_Antenne]:[Colonne2]],4,FALSE),"")</f>
        <v/>
      </c>
      <c r="J644" t="str">
        <f>IFERROR(VLOOKUP(Logs_Reseau_Part5[[#This Row],[Cell_ID]],Registre_Maintenance_Part[[ID_Antenne]:[Colonne2]],5,FALSE),"")</f>
        <v/>
      </c>
      <c r="K644" t="str">
        <f>IFERROR(VLOOKUP(Logs_Reseau_Part5[[#This Row],[Cell_ID]],Registre_Maintenance_Part[[ID_Antenne]:[Colonne2]],6,FALSE),"")</f>
        <v/>
      </c>
    </row>
    <row r="645" spans="1:11" x14ac:dyDescent="0.3">
      <c r="A645" t="s">
        <v>1332</v>
      </c>
      <c r="B645" s="1">
        <v>45209.01666666667</v>
      </c>
      <c r="C645" s="2">
        <v>45209.01666666667</v>
      </c>
      <c r="D645" t="s">
        <v>1345</v>
      </c>
      <c r="E645">
        <v>43</v>
      </c>
      <c r="F645" t="s">
        <v>734</v>
      </c>
      <c r="G645" t="str">
        <f>IFERROR(VLOOKUP(Logs_Reseau_Part5[[#This Row],[Cell_ID]],Registre_Maintenance_Part[[ID_Antenne]:[Colonne2]],2,FALSE),"")</f>
        <v/>
      </c>
      <c r="H645" t="str">
        <f>IFERROR(VLOOKUP(Logs_Reseau_Part5[[#This Row],[Cell_ID]],Registre_Maintenance_Part[[ID_Antenne]:[Colonne2]],3,FALSE),"")</f>
        <v/>
      </c>
      <c r="I645" t="str">
        <f>IFERROR(VLOOKUP(Logs_Reseau_Part5[[#This Row],[Cell_ID]],Registre_Maintenance_Part[[ID_Antenne]:[Colonne2]],4,FALSE),"")</f>
        <v/>
      </c>
      <c r="J645" t="str">
        <f>IFERROR(VLOOKUP(Logs_Reseau_Part5[[#This Row],[Cell_ID]],Registre_Maintenance_Part[[ID_Antenne]:[Colonne2]],5,FALSE),"")</f>
        <v/>
      </c>
      <c r="K645" t="str">
        <f>IFERROR(VLOOKUP(Logs_Reseau_Part5[[#This Row],[Cell_ID]],Registre_Maintenance_Part[[ID_Antenne]:[Colonne2]],6,FALSE),"")</f>
        <v/>
      </c>
    </row>
    <row r="646" spans="1:11" x14ac:dyDescent="0.3">
      <c r="A646" t="s">
        <v>1088</v>
      </c>
      <c r="B646" s="1">
        <v>45209.094444444447</v>
      </c>
      <c r="C646" s="2">
        <v>45209.094444444447</v>
      </c>
      <c r="D646" t="s">
        <v>1108</v>
      </c>
      <c r="E646">
        <v>96</v>
      </c>
      <c r="F646" t="s">
        <v>734</v>
      </c>
      <c r="G646" t="str">
        <f>IFERROR(VLOOKUP(Logs_Reseau_Part5[[#This Row],[Cell_ID]],Registre_Maintenance_Part[[ID_Antenne]:[Colonne2]],2,FALSE),"")</f>
        <v/>
      </c>
      <c r="H646" t="str">
        <f>IFERROR(VLOOKUP(Logs_Reseau_Part5[[#This Row],[Cell_ID]],Registre_Maintenance_Part[[ID_Antenne]:[Colonne2]],3,FALSE),"")</f>
        <v/>
      </c>
      <c r="I646" t="str">
        <f>IFERROR(VLOOKUP(Logs_Reseau_Part5[[#This Row],[Cell_ID]],Registre_Maintenance_Part[[ID_Antenne]:[Colonne2]],4,FALSE),"")</f>
        <v/>
      </c>
      <c r="J646" t="str">
        <f>IFERROR(VLOOKUP(Logs_Reseau_Part5[[#This Row],[Cell_ID]],Registre_Maintenance_Part[[ID_Antenne]:[Colonne2]],5,FALSE),"")</f>
        <v/>
      </c>
      <c r="K646" t="str">
        <f>IFERROR(VLOOKUP(Logs_Reseau_Part5[[#This Row],[Cell_ID]],Registre_Maintenance_Part[[ID_Antenne]:[Colonne2]],6,FALSE),"")</f>
        <v/>
      </c>
    </row>
    <row r="647" spans="1:11" x14ac:dyDescent="0.3">
      <c r="A647" t="s">
        <v>1310</v>
      </c>
      <c r="B647" s="1">
        <v>45209.174305555563</v>
      </c>
      <c r="C647" s="2">
        <v>45209.174305555563</v>
      </c>
      <c r="D647" t="s">
        <v>1286</v>
      </c>
      <c r="E647">
        <v>5</v>
      </c>
      <c r="F647" t="s">
        <v>734</v>
      </c>
      <c r="G647" t="str">
        <f>IFERROR(VLOOKUP(Logs_Reseau_Part5[[#This Row],[Cell_ID]],Registre_Maintenance_Part[[ID_Antenne]:[Colonne2]],2,FALSE),"")</f>
        <v/>
      </c>
      <c r="H647" t="str">
        <f>IFERROR(VLOOKUP(Logs_Reseau_Part5[[#This Row],[Cell_ID]],Registre_Maintenance_Part[[ID_Antenne]:[Colonne2]],3,FALSE),"")</f>
        <v/>
      </c>
      <c r="I647" t="str">
        <f>IFERROR(VLOOKUP(Logs_Reseau_Part5[[#This Row],[Cell_ID]],Registre_Maintenance_Part[[ID_Antenne]:[Colonne2]],4,FALSE),"")</f>
        <v/>
      </c>
      <c r="J647" t="str">
        <f>IFERROR(VLOOKUP(Logs_Reseau_Part5[[#This Row],[Cell_ID]],Registre_Maintenance_Part[[ID_Antenne]:[Colonne2]],5,FALSE),"")</f>
        <v/>
      </c>
      <c r="K647" t="str">
        <f>IFERROR(VLOOKUP(Logs_Reseau_Part5[[#This Row],[Cell_ID]],Registre_Maintenance_Part[[ID_Antenne]:[Colonne2]],6,FALSE),"")</f>
        <v/>
      </c>
    </row>
    <row r="648" spans="1:11" x14ac:dyDescent="0.3">
      <c r="A648" t="s">
        <v>1243</v>
      </c>
      <c r="B648" s="1">
        <v>45209.183333333327</v>
      </c>
      <c r="C648" s="2">
        <v>45209.183333333327</v>
      </c>
      <c r="D648" t="s">
        <v>1261</v>
      </c>
      <c r="E648">
        <v>81</v>
      </c>
      <c r="F648" t="s">
        <v>737</v>
      </c>
      <c r="G648" t="str">
        <f>IFERROR(VLOOKUP(Logs_Reseau_Part5[[#This Row],[Cell_ID]],Registre_Maintenance_Part[[ID_Antenne]:[Colonne2]],2,FALSE),"")</f>
        <v/>
      </c>
      <c r="H648" t="str">
        <f>IFERROR(VLOOKUP(Logs_Reseau_Part5[[#This Row],[Cell_ID]],Registre_Maintenance_Part[[ID_Antenne]:[Colonne2]],3,FALSE),"")</f>
        <v/>
      </c>
      <c r="I648" t="str">
        <f>IFERROR(VLOOKUP(Logs_Reseau_Part5[[#This Row],[Cell_ID]],Registre_Maintenance_Part[[ID_Antenne]:[Colonne2]],4,FALSE),"")</f>
        <v/>
      </c>
      <c r="J648" t="str">
        <f>IFERROR(VLOOKUP(Logs_Reseau_Part5[[#This Row],[Cell_ID]],Registre_Maintenance_Part[[ID_Antenne]:[Colonne2]],5,FALSE),"")</f>
        <v/>
      </c>
      <c r="K648" t="str">
        <f>IFERROR(VLOOKUP(Logs_Reseau_Part5[[#This Row],[Cell_ID]],Registre_Maintenance_Part[[ID_Antenne]:[Colonne2]],6,FALSE),"")</f>
        <v/>
      </c>
    </row>
    <row r="649" spans="1:11" x14ac:dyDescent="0.3">
      <c r="A649" t="s">
        <v>1088</v>
      </c>
      <c r="B649" s="1">
        <v>45209.239583333343</v>
      </c>
      <c r="C649" s="2">
        <v>45209.239583333343</v>
      </c>
      <c r="D649" t="s">
        <v>1090</v>
      </c>
      <c r="E649">
        <v>42</v>
      </c>
      <c r="F649" t="s">
        <v>739</v>
      </c>
      <c r="G649" t="str">
        <f>IFERROR(VLOOKUP(Logs_Reseau_Part5[[#This Row],[Cell_ID]],Registre_Maintenance_Part[[ID_Antenne]:[Colonne2]],2,FALSE),"")</f>
        <v/>
      </c>
      <c r="H649" t="str">
        <f>IFERROR(VLOOKUP(Logs_Reseau_Part5[[#This Row],[Cell_ID]],Registre_Maintenance_Part[[ID_Antenne]:[Colonne2]],3,FALSE),"")</f>
        <v/>
      </c>
      <c r="I649" t="str">
        <f>IFERROR(VLOOKUP(Logs_Reseau_Part5[[#This Row],[Cell_ID]],Registre_Maintenance_Part[[ID_Antenne]:[Colonne2]],4,FALSE),"")</f>
        <v/>
      </c>
      <c r="J649" t="str">
        <f>IFERROR(VLOOKUP(Logs_Reseau_Part5[[#This Row],[Cell_ID]],Registre_Maintenance_Part[[ID_Antenne]:[Colonne2]],5,FALSE),"")</f>
        <v/>
      </c>
      <c r="K649" t="str">
        <f>IFERROR(VLOOKUP(Logs_Reseau_Part5[[#This Row],[Cell_ID]],Registre_Maintenance_Part[[ID_Antenne]:[Colonne2]],6,FALSE),"")</f>
        <v/>
      </c>
    </row>
    <row r="650" spans="1:11" x14ac:dyDescent="0.3">
      <c r="A650" t="s">
        <v>1061</v>
      </c>
      <c r="B650" s="1">
        <v>45209.251388888893</v>
      </c>
      <c r="C650" s="2">
        <v>45209.251388888893</v>
      </c>
      <c r="D650" t="s">
        <v>988</v>
      </c>
      <c r="E650">
        <v>46</v>
      </c>
      <c r="F650" t="s">
        <v>737</v>
      </c>
      <c r="G650" t="str">
        <f>IFERROR(VLOOKUP(Logs_Reseau_Part5[[#This Row],[Cell_ID]],Registre_Maintenance_Part[[ID_Antenne]:[Colonne2]],2,FALSE),"")</f>
        <v/>
      </c>
      <c r="H650" t="str">
        <f>IFERROR(VLOOKUP(Logs_Reseau_Part5[[#This Row],[Cell_ID]],Registre_Maintenance_Part[[ID_Antenne]:[Colonne2]],3,FALSE),"")</f>
        <v/>
      </c>
      <c r="I650" t="str">
        <f>IFERROR(VLOOKUP(Logs_Reseau_Part5[[#This Row],[Cell_ID]],Registre_Maintenance_Part[[ID_Antenne]:[Colonne2]],4,FALSE),"")</f>
        <v/>
      </c>
      <c r="J650" t="str">
        <f>IFERROR(VLOOKUP(Logs_Reseau_Part5[[#This Row],[Cell_ID]],Registre_Maintenance_Part[[ID_Antenne]:[Colonne2]],5,FALSE),"")</f>
        <v/>
      </c>
      <c r="K650" t="str">
        <f>IFERROR(VLOOKUP(Logs_Reseau_Part5[[#This Row],[Cell_ID]],Registre_Maintenance_Part[[ID_Antenne]:[Colonne2]],6,FALSE),"")</f>
        <v/>
      </c>
    </row>
    <row r="651" spans="1:11" x14ac:dyDescent="0.3">
      <c r="A651" t="s">
        <v>825</v>
      </c>
      <c r="B651" s="1">
        <v>45209.268750000003</v>
      </c>
      <c r="C651" s="2">
        <v>45209.268750000003</v>
      </c>
      <c r="D651" t="s">
        <v>851</v>
      </c>
      <c r="E651">
        <v>94</v>
      </c>
      <c r="F651" t="s">
        <v>737</v>
      </c>
      <c r="G651" t="str">
        <f>IFERROR(VLOOKUP(Logs_Reseau_Part5[[#This Row],[Cell_ID]],Registre_Maintenance_Part[[ID_Antenne]:[Colonne2]],2,FALSE),"")</f>
        <v/>
      </c>
      <c r="H651" t="str">
        <f>IFERROR(VLOOKUP(Logs_Reseau_Part5[[#This Row],[Cell_ID]],Registre_Maintenance_Part[[ID_Antenne]:[Colonne2]],3,FALSE),"")</f>
        <v/>
      </c>
      <c r="I651" t="str">
        <f>IFERROR(VLOOKUP(Logs_Reseau_Part5[[#This Row],[Cell_ID]],Registre_Maintenance_Part[[ID_Antenne]:[Colonne2]],4,FALSE),"")</f>
        <v/>
      </c>
      <c r="J651" t="str">
        <f>IFERROR(VLOOKUP(Logs_Reseau_Part5[[#This Row],[Cell_ID]],Registre_Maintenance_Part[[ID_Antenne]:[Colonne2]],5,FALSE),"")</f>
        <v/>
      </c>
      <c r="K651" t="str">
        <f>IFERROR(VLOOKUP(Logs_Reseau_Part5[[#This Row],[Cell_ID]],Registre_Maintenance_Part[[ID_Antenne]:[Colonne2]],6,FALSE),"")</f>
        <v/>
      </c>
    </row>
    <row r="652" spans="1:11" x14ac:dyDescent="0.3">
      <c r="A652" t="s">
        <v>1263</v>
      </c>
      <c r="B652" s="1">
        <v>45209.388888888891</v>
      </c>
      <c r="C652" s="2">
        <v>45209.388888888891</v>
      </c>
      <c r="D652" t="s">
        <v>1288</v>
      </c>
      <c r="E652">
        <v>44</v>
      </c>
      <c r="F652" t="s">
        <v>734</v>
      </c>
      <c r="G652" t="str">
        <f>IFERROR(VLOOKUP(Logs_Reseau_Part5[[#This Row],[Cell_ID]],Registre_Maintenance_Part[[ID_Antenne]:[Colonne2]],2,FALSE),"")</f>
        <v/>
      </c>
      <c r="H652" t="str">
        <f>IFERROR(VLOOKUP(Logs_Reseau_Part5[[#This Row],[Cell_ID]],Registre_Maintenance_Part[[ID_Antenne]:[Colonne2]],3,FALSE),"")</f>
        <v/>
      </c>
      <c r="I652" t="str">
        <f>IFERROR(VLOOKUP(Logs_Reseau_Part5[[#This Row],[Cell_ID]],Registre_Maintenance_Part[[ID_Antenne]:[Colonne2]],4,FALSE),"")</f>
        <v/>
      </c>
      <c r="J652" t="str">
        <f>IFERROR(VLOOKUP(Logs_Reseau_Part5[[#This Row],[Cell_ID]],Registre_Maintenance_Part[[ID_Antenne]:[Colonne2]],5,FALSE),"")</f>
        <v/>
      </c>
      <c r="K652" t="str">
        <f>IFERROR(VLOOKUP(Logs_Reseau_Part5[[#This Row],[Cell_ID]],Registre_Maintenance_Part[[ID_Antenne]:[Colonne2]],6,FALSE),"")</f>
        <v/>
      </c>
    </row>
    <row r="653" spans="1:11" x14ac:dyDescent="0.3">
      <c r="A653" t="s">
        <v>1001</v>
      </c>
      <c r="B653" s="1">
        <v>45209.462500000001</v>
      </c>
      <c r="C653" s="2">
        <v>45209.462500000001</v>
      </c>
      <c r="D653" t="s">
        <v>1000</v>
      </c>
      <c r="E653">
        <v>102</v>
      </c>
      <c r="F653" t="s">
        <v>739</v>
      </c>
      <c r="G653" t="str">
        <f>IFERROR(VLOOKUP(Logs_Reseau_Part5[[#This Row],[Cell_ID]],Registre_Maintenance_Part[[ID_Antenne]:[Colonne2]],2,FALSE),"")</f>
        <v/>
      </c>
      <c r="H653" t="str">
        <f>IFERROR(VLOOKUP(Logs_Reseau_Part5[[#This Row],[Cell_ID]],Registre_Maintenance_Part[[ID_Antenne]:[Colonne2]],3,FALSE),"")</f>
        <v/>
      </c>
      <c r="I653" t="str">
        <f>IFERROR(VLOOKUP(Logs_Reseau_Part5[[#This Row],[Cell_ID]],Registre_Maintenance_Part[[ID_Antenne]:[Colonne2]],4,FALSE),"")</f>
        <v/>
      </c>
      <c r="J653" t="str">
        <f>IFERROR(VLOOKUP(Logs_Reseau_Part5[[#This Row],[Cell_ID]],Registre_Maintenance_Part[[ID_Antenne]:[Colonne2]],5,FALSE),"")</f>
        <v/>
      </c>
      <c r="K653" t="str">
        <f>IFERROR(VLOOKUP(Logs_Reseau_Part5[[#This Row],[Cell_ID]],Registre_Maintenance_Part[[ID_Antenne]:[Colonne2]],6,FALSE),"")</f>
        <v/>
      </c>
    </row>
    <row r="654" spans="1:11" x14ac:dyDescent="0.3">
      <c r="A654" t="s">
        <v>1221</v>
      </c>
      <c r="B654" s="1">
        <v>45209.581944444442</v>
      </c>
      <c r="C654" s="2">
        <v>45209.581944444442</v>
      </c>
      <c r="D654" t="s">
        <v>1224</v>
      </c>
      <c r="E654">
        <v>93</v>
      </c>
      <c r="F654" t="s">
        <v>737</v>
      </c>
      <c r="G654" t="str">
        <f>IFERROR(VLOOKUP(Logs_Reseau_Part5[[#This Row],[Cell_ID]],Registre_Maintenance_Part[[ID_Antenne]:[Colonne2]],2,FALSE),"")</f>
        <v/>
      </c>
      <c r="H654" t="str">
        <f>IFERROR(VLOOKUP(Logs_Reseau_Part5[[#This Row],[Cell_ID]],Registre_Maintenance_Part[[ID_Antenne]:[Colonne2]],3,FALSE),"")</f>
        <v/>
      </c>
      <c r="I654" t="str">
        <f>IFERROR(VLOOKUP(Logs_Reseau_Part5[[#This Row],[Cell_ID]],Registre_Maintenance_Part[[ID_Antenne]:[Colonne2]],4,FALSE),"")</f>
        <v/>
      </c>
      <c r="J654" t="str">
        <f>IFERROR(VLOOKUP(Logs_Reseau_Part5[[#This Row],[Cell_ID]],Registre_Maintenance_Part[[ID_Antenne]:[Colonne2]],5,FALSE),"")</f>
        <v/>
      </c>
      <c r="K654" t="str">
        <f>IFERROR(VLOOKUP(Logs_Reseau_Part5[[#This Row],[Cell_ID]],Registre_Maintenance_Part[[ID_Antenne]:[Colonne2]],6,FALSE),"")</f>
        <v/>
      </c>
    </row>
    <row r="655" spans="1:11" x14ac:dyDescent="0.3">
      <c r="A655" t="s">
        <v>904</v>
      </c>
      <c r="B655" s="1">
        <v>45209.588194444441</v>
      </c>
      <c r="C655" s="2">
        <v>45209.588194444441</v>
      </c>
      <c r="D655" t="s">
        <v>855</v>
      </c>
      <c r="E655">
        <v>41</v>
      </c>
      <c r="F655" t="s">
        <v>737</v>
      </c>
      <c r="G655" t="str">
        <f>IFERROR(VLOOKUP(Logs_Reseau_Part5[[#This Row],[Cell_ID]],Registre_Maintenance_Part[[ID_Antenne]:[Colonne2]],2,FALSE),"")</f>
        <v/>
      </c>
      <c r="H655" t="str">
        <f>IFERROR(VLOOKUP(Logs_Reseau_Part5[[#This Row],[Cell_ID]],Registre_Maintenance_Part[[ID_Antenne]:[Colonne2]],3,FALSE),"")</f>
        <v/>
      </c>
      <c r="I655" t="str">
        <f>IFERROR(VLOOKUP(Logs_Reseau_Part5[[#This Row],[Cell_ID]],Registre_Maintenance_Part[[ID_Antenne]:[Colonne2]],4,FALSE),"")</f>
        <v/>
      </c>
      <c r="J655" t="str">
        <f>IFERROR(VLOOKUP(Logs_Reseau_Part5[[#This Row],[Cell_ID]],Registre_Maintenance_Part[[ID_Antenne]:[Colonne2]],5,FALSE),"")</f>
        <v/>
      </c>
      <c r="K655" t="str">
        <f>IFERROR(VLOOKUP(Logs_Reseau_Part5[[#This Row],[Cell_ID]],Registre_Maintenance_Part[[ID_Antenne]:[Colonne2]],6,FALSE),"")</f>
        <v/>
      </c>
    </row>
    <row r="656" spans="1:11" x14ac:dyDescent="0.3">
      <c r="A656" t="s">
        <v>825</v>
      </c>
      <c r="B656" s="1">
        <v>45209.679861111108</v>
      </c>
      <c r="C656" s="2">
        <v>45209.679861111108</v>
      </c>
      <c r="D656" t="s">
        <v>842</v>
      </c>
      <c r="E656">
        <v>115</v>
      </c>
      <c r="F656" t="s">
        <v>739</v>
      </c>
      <c r="G656" t="str">
        <f>IFERROR(VLOOKUP(Logs_Reseau_Part5[[#This Row],[Cell_ID]],Registre_Maintenance_Part[[ID_Antenne]:[Colonne2]],2,FALSE),"")</f>
        <v/>
      </c>
      <c r="H656" t="str">
        <f>IFERROR(VLOOKUP(Logs_Reseau_Part5[[#This Row],[Cell_ID]],Registre_Maintenance_Part[[ID_Antenne]:[Colonne2]],3,FALSE),"")</f>
        <v/>
      </c>
      <c r="I656" t="str">
        <f>IFERROR(VLOOKUP(Logs_Reseau_Part5[[#This Row],[Cell_ID]],Registre_Maintenance_Part[[ID_Antenne]:[Colonne2]],4,FALSE),"")</f>
        <v/>
      </c>
      <c r="J656" t="str">
        <f>IFERROR(VLOOKUP(Logs_Reseau_Part5[[#This Row],[Cell_ID]],Registre_Maintenance_Part[[ID_Antenne]:[Colonne2]],5,FALSE),"")</f>
        <v/>
      </c>
      <c r="K656" t="str">
        <f>IFERROR(VLOOKUP(Logs_Reseau_Part5[[#This Row],[Cell_ID]],Registre_Maintenance_Part[[ID_Antenne]:[Colonne2]],6,FALSE),"")</f>
        <v/>
      </c>
    </row>
    <row r="657" spans="1:11" x14ac:dyDescent="0.3">
      <c r="A657" t="s">
        <v>1061</v>
      </c>
      <c r="B657" s="1">
        <v>45209.684027777781</v>
      </c>
      <c r="C657" s="2">
        <v>45209.684027777781</v>
      </c>
      <c r="D657" t="s">
        <v>933</v>
      </c>
      <c r="E657">
        <v>44</v>
      </c>
      <c r="F657" t="s">
        <v>739</v>
      </c>
      <c r="G657" t="str">
        <f>IFERROR(VLOOKUP(Logs_Reseau_Part5[[#This Row],[Cell_ID]],Registre_Maintenance_Part[[ID_Antenne]:[Colonne2]],2,FALSE),"")</f>
        <v/>
      </c>
      <c r="H657" t="str">
        <f>IFERROR(VLOOKUP(Logs_Reseau_Part5[[#This Row],[Cell_ID]],Registre_Maintenance_Part[[ID_Antenne]:[Colonne2]],3,FALSE),"")</f>
        <v/>
      </c>
      <c r="I657" t="str">
        <f>IFERROR(VLOOKUP(Logs_Reseau_Part5[[#This Row],[Cell_ID]],Registre_Maintenance_Part[[ID_Antenne]:[Colonne2]],4,FALSE),"")</f>
        <v/>
      </c>
      <c r="J657" t="str">
        <f>IFERROR(VLOOKUP(Logs_Reseau_Part5[[#This Row],[Cell_ID]],Registre_Maintenance_Part[[ID_Antenne]:[Colonne2]],5,FALSE),"")</f>
        <v/>
      </c>
      <c r="K657" t="str">
        <f>IFERROR(VLOOKUP(Logs_Reseau_Part5[[#This Row],[Cell_ID]],Registre_Maintenance_Part[[ID_Antenne]:[Colonne2]],6,FALSE),"")</f>
        <v/>
      </c>
    </row>
    <row r="658" spans="1:11" x14ac:dyDescent="0.3">
      <c r="A658" t="s">
        <v>1026</v>
      </c>
      <c r="B658" s="1">
        <v>45209.724999999999</v>
      </c>
      <c r="C658" s="2">
        <v>45209.724999999999</v>
      </c>
      <c r="D658" t="s">
        <v>1050</v>
      </c>
      <c r="E658">
        <v>97</v>
      </c>
      <c r="F658" t="s">
        <v>739</v>
      </c>
      <c r="G658" t="str">
        <f>IFERROR(VLOOKUP(Logs_Reseau_Part5[[#This Row],[Cell_ID]],Registre_Maintenance_Part[[ID_Antenne]:[Colonne2]],2,FALSE),"")</f>
        <v/>
      </c>
      <c r="H658" t="str">
        <f>IFERROR(VLOOKUP(Logs_Reseau_Part5[[#This Row],[Cell_ID]],Registre_Maintenance_Part[[ID_Antenne]:[Colonne2]],3,FALSE),"")</f>
        <v/>
      </c>
      <c r="I658" t="str">
        <f>IFERROR(VLOOKUP(Logs_Reseau_Part5[[#This Row],[Cell_ID]],Registre_Maintenance_Part[[ID_Antenne]:[Colonne2]],4,FALSE),"")</f>
        <v/>
      </c>
      <c r="J658" t="str">
        <f>IFERROR(VLOOKUP(Logs_Reseau_Part5[[#This Row],[Cell_ID]],Registre_Maintenance_Part[[ID_Antenne]:[Colonne2]],5,FALSE),"")</f>
        <v/>
      </c>
      <c r="K658" t="str">
        <f>IFERROR(VLOOKUP(Logs_Reseau_Part5[[#This Row],[Cell_ID]],Registre_Maintenance_Part[[ID_Antenne]:[Colonne2]],6,FALSE),"")</f>
        <v/>
      </c>
    </row>
    <row r="659" spans="1:11" x14ac:dyDescent="0.3">
      <c r="A659" t="s">
        <v>1140</v>
      </c>
      <c r="B659" s="1">
        <v>45209.781944444447</v>
      </c>
      <c r="C659" s="2">
        <v>45209.781944444447</v>
      </c>
      <c r="D659" t="s">
        <v>1112</v>
      </c>
      <c r="E659">
        <v>10</v>
      </c>
      <c r="F659" t="s">
        <v>737</v>
      </c>
      <c r="G659" t="str">
        <f>IFERROR(VLOOKUP(Logs_Reseau_Part5[[#This Row],[Cell_ID]],Registre_Maintenance_Part[[ID_Antenne]:[Colonne2]],2,FALSE),"")</f>
        <v/>
      </c>
      <c r="H659" t="str">
        <f>IFERROR(VLOOKUP(Logs_Reseau_Part5[[#This Row],[Cell_ID]],Registre_Maintenance_Part[[ID_Antenne]:[Colonne2]],3,FALSE),"")</f>
        <v/>
      </c>
      <c r="I659" t="str">
        <f>IFERROR(VLOOKUP(Logs_Reseau_Part5[[#This Row],[Cell_ID]],Registre_Maintenance_Part[[ID_Antenne]:[Colonne2]],4,FALSE),"")</f>
        <v/>
      </c>
      <c r="J659" t="str">
        <f>IFERROR(VLOOKUP(Logs_Reseau_Part5[[#This Row],[Cell_ID]],Registre_Maintenance_Part[[ID_Antenne]:[Colonne2]],5,FALSE),"")</f>
        <v/>
      </c>
      <c r="K659" t="str">
        <f>IFERROR(VLOOKUP(Logs_Reseau_Part5[[#This Row],[Cell_ID]],Registre_Maintenance_Part[[ID_Antenne]:[Colonne2]],6,FALSE),"")</f>
        <v/>
      </c>
    </row>
    <row r="660" spans="1:11" x14ac:dyDescent="0.3">
      <c r="A660" t="s">
        <v>1088</v>
      </c>
      <c r="B660" s="1">
        <v>45209.81527777778</v>
      </c>
      <c r="C660" s="2">
        <v>45209.81527777778</v>
      </c>
      <c r="D660" t="s">
        <v>824</v>
      </c>
      <c r="E660">
        <v>115</v>
      </c>
      <c r="F660" t="s">
        <v>739</v>
      </c>
      <c r="G660" t="str">
        <f>IFERROR(VLOOKUP(Logs_Reseau_Part5[[#This Row],[Cell_ID]],Registre_Maintenance_Part[[ID_Antenne]:[Colonne2]],2,FALSE),"")</f>
        <v/>
      </c>
      <c r="H660" t="str">
        <f>IFERROR(VLOOKUP(Logs_Reseau_Part5[[#This Row],[Cell_ID]],Registre_Maintenance_Part[[ID_Antenne]:[Colonne2]],3,FALSE),"")</f>
        <v/>
      </c>
      <c r="I660" t="str">
        <f>IFERROR(VLOOKUP(Logs_Reseau_Part5[[#This Row],[Cell_ID]],Registre_Maintenance_Part[[ID_Antenne]:[Colonne2]],4,FALSE),"")</f>
        <v/>
      </c>
      <c r="J660" t="str">
        <f>IFERROR(VLOOKUP(Logs_Reseau_Part5[[#This Row],[Cell_ID]],Registre_Maintenance_Part[[ID_Antenne]:[Colonne2]],5,FALSE),"")</f>
        <v/>
      </c>
      <c r="K660" t="str">
        <f>IFERROR(VLOOKUP(Logs_Reseau_Part5[[#This Row],[Cell_ID]],Registre_Maintenance_Part[[ID_Antenne]:[Colonne2]],6,FALSE),"")</f>
        <v/>
      </c>
    </row>
    <row r="661" spans="1:11" x14ac:dyDescent="0.3">
      <c r="A661" t="s">
        <v>1001</v>
      </c>
      <c r="B661" s="1">
        <v>45209.904861111107</v>
      </c>
      <c r="C661" s="2">
        <v>45209.904861111107</v>
      </c>
      <c r="D661" t="s">
        <v>761</v>
      </c>
      <c r="E661">
        <v>45</v>
      </c>
      <c r="F661" t="s">
        <v>739</v>
      </c>
      <c r="G661" t="str">
        <f>IFERROR(VLOOKUP(Logs_Reseau_Part5[[#This Row],[Cell_ID]],Registre_Maintenance_Part[[ID_Antenne]:[Colonne2]],2,FALSE),"")</f>
        <v/>
      </c>
      <c r="H661" t="str">
        <f>IFERROR(VLOOKUP(Logs_Reseau_Part5[[#This Row],[Cell_ID]],Registre_Maintenance_Part[[ID_Antenne]:[Colonne2]],3,FALSE),"")</f>
        <v/>
      </c>
      <c r="I661" t="str">
        <f>IFERROR(VLOOKUP(Logs_Reseau_Part5[[#This Row],[Cell_ID]],Registre_Maintenance_Part[[ID_Antenne]:[Colonne2]],4,FALSE),"")</f>
        <v/>
      </c>
      <c r="J661" t="str">
        <f>IFERROR(VLOOKUP(Logs_Reseau_Part5[[#This Row],[Cell_ID]],Registre_Maintenance_Part[[ID_Antenne]:[Colonne2]],5,FALSE),"")</f>
        <v/>
      </c>
      <c r="K661" t="str">
        <f>IFERROR(VLOOKUP(Logs_Reseau_Part5[[#This Row],[Cell_ID]],Registre_Maintenance_Part[[ID_Antenne]:[Colonne2]],6,FALSE),"")</f>
        <v/>
      </c>
    </row>
    <row r="662" spans="1:11" x14ac:dyDescent="0.3">
      <c r="A662" t="s">
        <v>1116</v>
      </c>
      <c r="B662" s="1">
        <v>45209.925694444442</v>
      </c>
      <c r="C662" s="2">
        <v>45209.925694444442</v>
      </c>
      <c r="D662" t="s">
        <v>1138</v>
      </c>
      <c r="E662">
        <v>35</v>
      </c>
      <c r="F662" t="s">
        <v>734</v>
      </c>
      <c r="G662" t="str">
        <f>IFERROR(VLOOKUP(Logs_Reseau_Part5[[#This Row],[Cell_ID]],Registre_Maintenance_Part[[ID_Antenne]:[Colonne2]],2,FALSE),"")</f>
        <v/>
      </c>
      <c r="H662" t="str">
        <f>IFERROR(VLOOKUP(Logs_Reseau_Part5[[#This Row],[Cell_ID]],Registre_Maintenance_Part[[ID_Antenne]:[Colonne2]],3,FALSE),"")</f>
        <v/>
      </c>
      <c r="I662" t="str">
        <f>IFERROR(VLOOKUP(Logs_Reseau_Part5[[#This Row],[Cell_ID]],Registre_Maintenance_Part[[ID_Antenne]:[Colonne2]],4,FALSE),"")</f>
        <v/>
      </c>
      <c r="J662" t="str">
        <f>IFERROR(VLOOKUP(Logs_Reseau_Part5[[#This Row],[Cell_ID]],Registre_Maintenance_Part[[ID_Antenne]:[Colonne2]],5,FALSE),"")</f>
        <v/>
      </c>
      <c r="K662" t="str">
        <f>IFERROR(VLOOKUP(Logs_Reseau_Part5[[#This Row],[Cell_ID]],Registre_Maintenance_Part[[ID_Antenne]:[Colonne2]],6,FALSE),"")</f>
        <v/>
      </c>
    </row>
    <row r="663" spans="1:11" x14ac:dyDescent="0.3">
      <c r="A663" t="s">
        <v>1384</v>
      </c>
      <c r="B663" s="1">
        <v>45209.940972222219</v>
      </c>
      <c r="C663" s="2">
        <v>45209.940972222219</v>
      </c>
      <c r="D663" t="s">
        <v>1160</v>
      </c>
      <c r="E663">
        <v>30</v>
      </c>
      <c r="F663" t="s">
        <v>739</v>
      </c>
      <c r="G663" t="str">
        <f>IFERROR(VLOOKUP(Logs_Reseau_Part5[[#This Row],[Cell_ID]],Registre_Maintenance_Part[[ID_Antenne]:[Colonne2]],2,FALSE),"")</f>
        <v/>
      </c>
      <c r="H663" t="str">
        <f>IFERROR(VLOOKUP(Logs_Reseau_Part5[[#This Row],[Cell_ID]],Registre_Maintenance_Part[[ID_Antenne]:[Colonne2]],3,FALSE),"")</f>
        <v/>
      </c>
      <c r="I663" t="str">
        <f>IFERROR(VLOOKUP(Logs_Reseau_Part5[[#This Row],[Cell_ID]],Registre_Maintenance_Part[[ID_Antenne]:[Colonne2]],4,FALSE),"")</f>
        <v/>
      </c>
      <c r="J663" t="str">
        <f>IFERROR(VLOOKUP(Logs_Reseau_Part5[[#This Row],[Cell_ID]],Registre_Maintenance_Part[[ID_Antenne]:[Colonne2]],5,FALSE),"")</f>
        <v/>
      </c>
      <c r="K663" t="str">
        <f>IFERROR(VLOOKUP(Logs_Reseau_Part5[[#This Row],[Cell_ID]],Registre_Maintenance_Part[[ID_Antenne]:[Colonne2]],6,FALSE),"")</f>
        <v/>
      </c>
    </row>
    <row r="664" spans="1:11" x14ac:dyDescent="0.3">
      <c r="A664" t="s">
        <v>904</v>
      </c>
      <c r="B664" s="1">
        <v>45209.954861111109</v>
      </c>
      <c r="C664" s="2">
        <v>45209.954861111109</v>
      </c>
      <c r="D664" t="s">
        <v>926</v>
      </c>
      <c r="E664">
        <v>57</v>
      </c>
      <c r="F664" t="s">
        <v>734</v>
      </c>
      <c r="G664" t="str">
        <f>IFERROR(VLOOKUP(Logs_Reseau_Part5[[#This Row],[Cell_ID]],Registre_Maintenance_Part[[ID_Antenne]:[Colonne2]],2,FALSE),"")</f>
        <v/>
      </c>
      <c r="H664" t="str">
        <f>IFERROR(VLOOKUP(Logs_Reseau_Part5[[#This Row],[Cell_ID]],Registre_Maintenance_Part[[ID_Antenne]:[Colonne2]],3,FALSE),"")</f>
        <v/>
      </c>
      <c r="I664" t="str">
        <f>IFERROR(VLOOKUP(Logs_Reseau_Part5[[#This Row],[Cell_ID]],Registre_Maintenance_Part[[ID_Antenne]:[Colonne2]],4,FALSE),"")</f>
        <v/>
      </c>
      <c r="J664" t="str">
        <f>IFERROR(VLOOKUP(Logs_Reseau_Part5[[#This Row],[Cell_ID]],Registre_Maintenance_Part[[ID_Antenne]:[Colonne2]],5,FALSE),"")</f>
        <v/>
      </c>
      <c r="K664" t="str">
        <f>IFERROR(VLOOKUP(Logs_Reseau_Part5[[#This Row],[Cell_ID]],Registre_Maintenance_Part[[ID_Antenne]:[Colonne2]],6,FALSE),"")</f>
        <v/>
      </c>
    </row>
    <row r="665" spans="1:11" x14ac:dyDescent="0.3">
      <c r="A665" t="s">
        <v>1332</v>
      </c>
      <c r="B665" s="1">
        <v>45209.977777777778</v>
      </c>
      <c r="C665" s="2">
        <v>45209.977777777778</v>
      </c>
      <c r="D665" t="s">
        <v>1257</v>
      </c>
      <c r="E665">
        <v>6</v>
      </c>
      <c r="F665" t="s">
        <v>739</v>
      </c>
      <c r="G665" t="str">
        <f>IFERROR(VLOOKUP(Logs_Reseau_Part5[[#This Row],[Cell_ID]],Registre_Maintenance_Part[[ID_Antenne]:[Colonne2]],2,FALSE),"")</f>
        <v/>
      </c>
      <c r="H665" t="str">
        <f>IFERROR(VLOOKUP(Logs_Reseau_Part5[[#This Row],[Cell_ID]],Registre_Maintenance_Part[[ID_Antenne]:[Colonne2]],3,FALSE),"")</f>
        <v/>
      </c>
      <c r="I665" t="str">
        <f>IFERROR(VLOOKUP(Logs_Reseau_Part5[[#This Row],[Cell_ID]],Registre_Maintenance_Part[[ID_Antenne]:[Colonne2]],4,FALSE),"")</f>
        <v/>
      </c>
      <c r="J665" t="str">
        <f>IFERROR(VLOOKUP(Logs_Reseau_Part5[[#This Row],[Cell_ID]],Registre_Maintenance_Part[[ID_Antenne]:[Colonne2]],5,FALSE),"")</f>
        <v/>
      </c>
      <c r="K665" t="str">
        <f>IFERROR(VLOOKUP(Logs_Reseau_Part5[[#This Row],[Cell_ID]],Registre_Maintenance_Part[[ID_Antenne]:[Colonne2]],6,FALSE),"")</f>
        <v/>
      </c>
    </row>
    <row r="666" spans="1:11" x14ac:dyDescent="0.3">
      <c r="A666" t="s">
        <v>1243</v>
      </c>
      <c r="B666" s="1">
        <v>45209.988888888889</v>
      </c>
      <c r="C666" s="2">
        <v>45209.988888888889</v>
      </c>
      <c r="D666" t="s">
        <v>1256</v>
      </c>
      <c r="E666">
        <v>80</v>
      </c>
      <c r="F666" t="s">
        <v>737</v>
      </c>
      <c r="G666" t="str">
        <f>IFERROR(VLOOKUP(Logs_Reseau_Part5[[#This Row],[Cell_ID]],Registre_Maintenance_Part[[ID_Antenne]:[Colonne2]],2,FALSE),"")</f>
        <v/>
      </c>
      <c r="H666" t="str">
        <f>IFERROR(VLOOKUP(Logs_Reseau_Part5[[#This Row],[Cell_ID]],Registre_Maintenance_Part[[ID_Antenne]:[Colonne2]],3,FALSE),"")</f>
        <v/>
      </c>
      <c r="I666" t="str">
        <f>IFERROR(VLOOKUP(Logs_Reseau_Part5[[#This Row],[Cell_ID]],Registre_Maintenance_Part[[ID_Antenne]:[Colonne2]],4,FALSE),"")</f>
        <v/>
      </c>
      <c r="J666" t="str">
        <f>IFERROR(VLOOKUP(Logs_Reseau_Part5[[#This Row],[Cell_ID]],Registre_Maintenance_Part[[ID_Antenne]:[Colonne2]],5,FALSE),"")</f>
        <v/>
      </c>
      <c r="K666" t="str">
        <f>IFERROR(VLOOKUP(Logs_Reseau_Part5[[#This Row],[Cell_ID]],Registre_Maintenance_Part[[ID_Antenne]:[Colonne2]],6,FALSE),"")</f>
        <v/>
      </c>
    </row>
    <row r="667" spans="1:11" x14ac:dyDescent="0.3">
      <c r="A667" t="s">
        <v>980</v>
      </c>
      <c r="B667" s="1">
        <v>45210.007638888892</v>
      </c>
      <c r="C667" s="2">
        <v>45210.007638888892</v>
      </c>
      <c r="D667" t="s">
        <v>1000</v>
      </c>
      <c r="E667">
        <v>59</v>
      </c>
      <c r="F667" t="s">
        <v>737</v>
      </c>
      <c r="G667" t="str">
        <f>IFERROR(VLOOKUP(Logs_Reseau_Part5[[#This Row],[Cell_ID]],Registre_Maintenance_Part[[ID_Antenne]:[Colonne2]],2,FALSE),"")</f>
        <v/>
      </c>
      <c r="H667" t="str">
        <f>IFERROR(VLOOKUP(Logs_Reseau_Part5[[#This Row],[Cell_ID]],Registre_Maintenance_Part[[ID_Antenne]:[Colonne2]],3,FALSE),"")</f>
        <v/>
      </c>
      <c r="I667" t="str">
        <f>IFERROR(VLOOKUP(Logs_Reseau_Part5[[#This Row],[Cell_ID]],Registre_Maintenance_Part[[ID_Antenne]:[Colonne2]],4,FALSE),"")</f>
        <v/>
      </c>
      <c r="J667" t="str">
        <f>IFERROR(VLOOKUP(Logs_Reseau_Part5[[#This Row],[Cell_ID]],Registre_Maintenance_Part[[ID_Antenne]:[Colonne2]],5,FALSE),"")</f>
        <v/>
      </c>
      <c r="K667" t="str">
        <f>IFERROR(VLOOKUP(Logs_Reseau_Part5[[#This Row],[Cell_ID]],Registre_Maintenance_Part[[ID_Antenne]:[Colonne2]],6,FALSE),"")</f>
        <v/>
      </c>
    </row>
    <row r="668" spans="1:11" x14ac:dyDescent="0.3">
      <c r="A668" t="s">
        <v>941</v>
      </c>
      <c r="B668" s="1">
        <v>45210.054166666669</v>
      </c>
      <c r="C668" s="2">
        <v>45210.054166666669</v>
      </c>
      <c r="D668" t="s">
        <v>967</v>
      </c>
      <c r="E668">
        <v>68</v>
      </c>
      <c r="F668" t="s">
        <v>739</v>
      </c>
      <c r="G668" t="str">
        <f>IFERROR(VLOOKUP(Logs_Reseau_Part5[[#This Row],[Cell_ID]],Registre_Maintenance_Part[[ID_Antenne]:[Colonne2]],2,FALSE),"")</f>
        <v/>
      </c>
      <c r="H668" t="str">
        <f>IFERROR(VLOOKUP(Logs_Reseau_Part5[[#This Row],[Cell_ID]],Registre_Maintenance_Part[[ID_Antenne]:[Colonne2]],3,FALSE),"")</f>
        <v/>
      </c>
      <c r="I668" t="str">
        <f>IFERROR(VLOOKUP(Logs_Reseau_Part5[[#This Row],[Cell_ID]],Registre_Maintenance_Part[[ID_Antenne]:[Colonne2]],4,FALSE),"")</f>
        <v/>
      </c>
      <c r="J668" t="str">
        <f>IFERROR(VLOOKUP(Logs_Reseau_Part5[[#This Row],[Cell_ID]],Registre_Maintenance_Part[[ID_Antenne]:[Colonne2]],5,FALSE),"")</f>
        <v/>
      </c>
      <c r="K668" t="str">
        <f>IFERROR(VLOOKUP(Logs_Reseau_Part5[[#This Row],[Cell_ID]],Registre_Maintenance_Part[[ID_Antenne]:[Colonne2]],6,FALSE),"")</f>
        <v/>
      </c>
    </row>
    <row r="669" spans="1:11" x14ac:dyDescent="0.3">
      <c r="A669" t="s">
        <v>732</v>
      </c>
      <c r="B669" s="1">
        <v>45210.128472222219</v>
      </c>
      <c r="C669" s="2">
        <v>45210.128472222219</v>
      </c>
      <c r="D669" t="s">
        <v>752</v>
      </c>
      <c r="E669">
        <v>115</v>
      </c>
      <c r="F669" t="s">
        <v>734</v>
      </c>
      <c r="G669" t="str">
        <f>IFERROR(VLOOKUP(Logs_Reseau_Part5[[#This Row],[Cell_ID]],Registre_Maintenance_Part[[ID_Antenne]:[Colonne2]],2,FALSE),"")</f>
        <v/>
      </c>
      <c r="H669" t="str">
        <f>IFERROR(VLOOKUP(Logs_Reseau_Part5[[#This Row],[Cell_ID]],Registre_Maintenance_Part[[ID_Antenne]:[Colonne2]],3,FALSE),"")</f>
        <v/>
      </c>
      <c r="I669" t="str">
        <f>IFERROR(VLOOKUP(Logs_Reseau_Part5[[#This Row],[Cell_ID]],Registre_Maintenance_Part[[ID_Antenne]:[Colonne2]],4,FALSE),"")</f>
        <v/>
      </c>
      <c r="J669" t="str">
        <f>IFERROR(VLOOKUP(Logs_Reseau_Part5[[#This Row],[Cell_ID]],Registre_Maintenance_Part[[ID_Antenne]:[Colonne2]],5,FALSE),"")</f>
        <v/>
      </c>
      <c r="K669" t="str">
        <f>IFERROR(VLOOKUP(Logs_Reseau_Part5[[#This Row],[Cell_ID]],Registre_Maintenance_Part[[ID_Antenne]:[Colonne2]],6,FALSE),"")</f>
        <v/>
      </c>
    </row>
    <row r="670" spans="1:11" x14ac:dyDescent="0.3">
      <c r="A670" t="s">
        <v>1310</v>
      </c>
      <c r="B670" s="1">
        <v>45210.24722222222</v>
      </c>
      <c r="C670" s="2">
        <v>45210.24722222222</v>
      </c>
      <c r="D670" t="s">
        <v>1302</v>
      </c>
      <c r="E670">
        <v>74</v>
      </c>
      <c r="F670" t="s">
        <v>734</v>
      </c>
      <c r="G670" t="str">
        <f>IFERROR(VLOOKUP(Logs_Reseau_Part5[[#This Row],[Cell_ID]],Registre_Maintenance_Part[[ID_Antenne]:[Colonne2]],2,FALSE),"")</f>
        <v/>
      </c>
      <c r="H670" t="str">
        <f>IFERROR(VLOOKUP(Logs_Reseau_Part5[[#This Row],[Cell_ID]],Registre_Maintenance_Part[[ID_Antenne]:[Colonne2]],3,FALSE),"")</f>
        <v/>
      </c>
      <c r="I670" t="str">
        <f>IFERROR(VLOOKUP(Logs_Reseau_Part5[[#This Row],[Cell_ID]],Registre_Maintenance_Part[[ID_Antenne]:[Colonne2]],4,FALSE),"")</f>
        <v/>
      </c>
      <c r="J670" t="str">
        <f>IFERROR(VLOOKUP(Logs_Reseau_Part5[[#This Row],[Cell_ID]],Registre_Maintenance_Part[[ID_Antenne]:[Colonne2]],5,FALSE),"")</f>
        <v/>
      </c>
      <c r="K670" t="str">
        <f>IFERROR(VLOOKUP(Logs_Reseau_Part5[[#This Row],[Cell_ID]],Registre_Maintenance_Part[[ID_Antenne]:[Colonne2]],6,FALSE),"")</f>
        <v/>
      </c>
    </row>
    <row r="671" spans="1:11" x14ac:dyDescent="0.3">
      <c r="A671" t="s">
        <v>863</v>
      </c>
      <c r="B671" s="1">
        <v>45210.270138888889</v>
      </c>
      <c r="C671" s="2">
        <v>45210.270138888889</v>
      </c>
      <c r="D671" t="s">
        <v>873</v>
      </c>
      <c r="E671">
        <v>104</v>
      </c>
      <c r="F671" t="s">
        <v>739</v>
      </c>
      <c r="G671" t="str">
        <f>IFERROR(VLOOKUP(Logs_Reseau_Part5[[#This Row],[Cell_ID]],Registre_Maintenance_Part[[ID_Antenne]:[Colonne2]],2,FALSE),"")</f>
        <v/>
      </c>
      <c r="H671" t="str">
        <f>IFERROR(VLOOKUP(Logs_Reseau_Part5[[#This Row],[Cell_ID]],Registre_Maintenance_Part[[ID_Antenne]:[Colonne2]],3,FALSE),"")</f>
        <v/>
      </c>
      <c r="I671" t="str">
        <f>IFERROR(VLOOKUP(Logs_Reseau_Part5[[#This Row],[Cell_ID]],Registre_Maintenance_Part[[ID_Antenne]:[Colonne2]],4,FALSE),"")</f>
        <v/>
      </c>
      <c r="J671" t="str">
        <f>IFERROR(VLOOKUP(Logs_Reseau_Part5[[#This Row],[Cell_ID]],Registre_Maintenance_Part[[ID_Antenne]:[Colonne2]],5,FALSE),"")</f>
        <v/>
      </c>
      <c r="K671" t="str">
        <f>IFERROR(VLOOKUP(Logs_Reseau_Part5[[#This Row],[Cell_ID]],Registre_Maintenance_Part[[ID_Antenne]:[Colonne2]],6,FALSE),"")</f>
        <v/>
      </c>
    </row>
    <row r="672" spans="1:11" x14ac:dyDescent="0.3">
      <c r="A672" t="s">
        <v>1263</v>
      </c>
      <c r="B672" s="1">
        <v>45210.30972222222</v>
      </c>
      <c r="C672" s="2">
        <v>45210.30972222222</v>
      </c>
      <c r="D672" t="s">
        <v>1071</v>
      </c>
      <c r="E672">
        <v>47</v>
      </c>
      <c r="F672" t="s">
        <v>737</v>
      </c>
      <c r="G672" t="str">
        <f>IFERROR(VLOOKUP(Logs_Reseau_Part5[[#This Row],[Cell_ID]],Registre_Maintenance_Part[[ID_Antenne]:[Colonne2]],2,FALSE),"")</f>
        <v/>
      </c>
      <c r="H672" t="str">
        <f>IFERROR(VLOOKUP(Logs_Reseau_Part5[[#This Row],[Cell_ID]],Registre_Maintenance_Part[[ID_Antenne]:[Colonne2]],3,FALSE),"")</f>
        <v/>
      </c>
      <c r="I672" t="str">
        <f>IFERROR(VLOOKUP(Logs_Reseau_Part5[[#This Row],[Cell_ID]],Registre_Maintenance_Part[[ID_Antenne]:[Colonne2]],4,FALSE),"")</f>
        <v/>
      </c>
      <c r="J672" t="str">
        <f>IFERROR(VLOOKUP(Logs_Reseau_Part5[[#This Row],[Cell_ID]],Registre_Maintenance_Part[[ID_Antenne]:[Colonne2]],5,FALSE),"")</f>
        <v/>
      </c>
      <c r="K672" t="str">
        <f>IFERROR(VLOOKUP(Logs_Reseau_Part5[[#This Row],[Cell_ID]],Registre_Maintenance_Part[[ID_Antenne]:[Colonne2]],6,FALSE),"")</f>
        <v/>
      </c>
    </row>
    <row r="673" spans="1:11" x14ac:dyDescent="0.3">
      <c r="A673" t="s">
        <v>1195</v>
      </c>
      <c r="B673" s="1">
        <v>45210.5</v>
      </c>
      <c r="C673" s="2">
        <v>45210.5</v>
      </c>
      <c r="D673" t="s">
        <v>1214</v>
      </c>
      <c r="E673">
        <v>30</v>
      </c>
      <c r="F673" t="s">
        <v>734</v>
      </c>
      <c r="G673" t="str">
        <f>IFERROR(VLOOKUP(Logs_Reseau_Part5[[#This Row],[Cell_ID]],Registre_Maintenance_Part[[ID_Antenne]:[Colonne2]],2,FALSE),"")</f>
        <v/>
      </c>
      <c r="H673" t="str">
        <f>IFERROR(VLOOKUP(Logs_Reseau_Part5[[#This Row],[Cell_ID]],Registre_Maintenance_Part[[ID_Antenne]:[Colonne2]],3,FALSE),"")</f>
        <v/>
      </c>
      <c r="I673" t="str">
        <f>IFERROR(VLOOKUP(Logs_Reseau_Part5[[#This Row],[Cell_ID]],Registre_Maintenance_Part[[ID_Antenne]:[Colonne2]],4,FALSE),"")</f>
        <v/>
      </c>
      <c r="J673" t="str">
        <f>IFERROR(VLOOKUP(Logs_Reseau_Part5[[#This Row],[Cell_ID]],Registre_Maintenance_Part[[ID_Antenne]:[Colonne2]],5,FALSE),"")</f>
        <v/>
      </c>
      <c r="K673" t="str">
        <f>IFERROR(VLOOKUP(Logs_Reseau_Part5[[#This Row],[Cell_ID]],Registre_Maintenance_Part[[ID_Antenne]:[Colonne2]],6,FALSE),"")</f>
        <v/>
      </c>
    </row>
    <row r="674" spans="1:11" x14ac:dyDescent="0.3">
      <c r="A674" t="s">
        <v>1290</v>
      </c>
      <c r="B674" s="1">
        <v>45210.511805555558</v>
      </c>
      <c r="C674" s="2">
        <v>45210.511805555558</v>
      </c>
      <c r="D674" t="s">
        <v>1309</v>
      </c>
      <c r="E674">
        <v>27</v>
      </c>
      <c r="F674" t="s">
        <v>737</v>
      </c>
      <c r="G674" t="str">
        <f>IFERROR(VLOOKUP(Logs_Reseau_Part5[[#This Row],[Cell_ID]],Registre_Maintenance_Part[[ID_Antenne]:[Colonne2]],2,FALSE),"")</f>
        <v/>
      </c>
      <c r="H674" t="str">
        <f>IFERROR(VLOOKUP(Logs_Reseau_Part5[[#This Row],[Cell_ID]],Registre_Maintenance_Part[[ID_Antenne]:[Colonne2]],3,FALSE),"")</f>
        <v/>
      </c>
      <c r="I674" t="str">
        <f>IFERROR(VLOOKUP(Logs_Reseau_Part5[[#This Row],[Cell_ID]],Registre_Maintenance_Part[[ID_Antenne]:[Colonne2]],4,FALSE),"")</f>
        <v/>
      </c>
      <c r="J674" t="str">
        <f>IFERROR(VLOOKUP(Logs_Reseau_Part5[[#This Row],[Cell_ID]],Registre_Maintenance_Part[[ID_Antenne]:[Colonne2]],5,FALSE),"")</f>
        <v/>
      </c>
      <c r="K674" t="str">
        <f>IFERROR(VLOOKUP(Logs_Reseau_Part5[[#This Row],[Cell_ID]],Registre_Maintenance_Part[[ID_Antenne]:[Colonne2]],6,FALSE),"")</f>
        <v/>
      </c>
    </row>
    <row r="675" spans="1:11" x14ac:dyDescent="0.3">
      <c r="A675" t="s">
        <v>1347</v>
      </c>
      <c r="B675" s="1">
        <v>45210.675000000003</v>
      </c>
      <c r="C675" s="2">
        <v>45210.675000000003</v>
      </c>
      <c r="D675" t="s">
        <v>946</v>
      </c>
      <c r="E675">
        <v>86</v>
      </c>
      <c r="F675" t="s">
        <v>739</v>
      </c>
      <c r="G675" t="str">
        <f>IFERROR(VLOOKUP(Logs_Reseau_Part5[[#This Row],[Cell_ID]],Registre_Maintenance_Part[[ID_Antenne]:[Colonne2]],2,FALSE),"")</f>
        <v/>
      </c>
      <c r="H675" t="str">
        <f>IFERROR(VLOOKUP(Logs_Reseau_Part5[[#This Row],[Cell_ID]],Registre_Maintenance_Part[[ID_Antenne]:[Colonne2]],3,FALSE),"")</f>
        <v/>
      </c>
      <c r="I675" t="str">
        <f>IFERROR(VLOOKUP(Logs_Reseau_Part5[[#This Row],[Cell_ID]],Registre_Maintenance_Part[[ID_Antenne]:[Colonne2]],4,FALSE),"")</f>
        <v/>
      </c>
      <c r="J675" t="str">
        <f>IFERROR(VLOOKUP(Logs_Reseau_Part5[[#This Row],[Cell_ID]],Registre_Maintenance_Part[[ID_Antenne]:[Colonne2]],5,FALSE),"")</f>
        <v/>
      </c>
      <c r="K675" t="str">
        <f>IFERROR(VLOOKUP(Logs_Reseau_Part5[[#This Row],[Cell_ID]],Registre_Maintenance_Part[[ID_Antenne]:[Colonne2]],6,FALSE),"")</f>
        <v/>
      </c>
    </row>
    <row r="676" spans="1:11" x14ac:dyDescent="0.3">
      <c r="A676" t="s">
        <v>904</v>
      </c>
      <c r="B676" s="1">
        <v>45210.802777777782</v>
      </c>
      <c r="C676" s="2">
        <v>45210.802777777782</v>
      </c>
      <c r="D676" t="s">
        <v>939</v>
      </c>
      <c r="E676">
        <v>9</v>
      </c>
      <c r="F676" t="s">
        <v>737</v>
      </c>
      <c r="G676" t="str">
        <f>IFERROR(VLOOKUP(Logs_Reseau_Part5[[#This Row],[Cell_ID]],Registre_Maintenance_Part[[ID_Antenne]:[Colonne2]],2,FALSE),"")</f>
        <v/>
      </c>
      <c r="H676" t="str">
        <f>IFERROR(VLOOKUP(Logs_Reseau_Part5[[#This Row],[Cell_ID]],Registre_Maintenance_Part[[ID_Antenne]:[Colonne2]],3,FALSE),"")</f>
        <v/>
      </c>
      <c r="I676" t="str">
        <f>IFERROR(VLOOKUP(Logs_Reseau_Part5[[#This Row],[Cell_ID]],Registre_Maintenance_Part[[ID_Antenne]:[Colonne2]],4,FALSE),"")</f>
        <v/>
      </c>
      <c r="J676" t="str">
        <f>IFERROR(VLOOKUP(Logs_Reseau_Part5[[#This Row],[Cell_ID]],Registre_Maintenance_Part[[ID_Antenne]:[Colonne2]],5,FALSE),"")</f>
        <v/>
      </c>
      <c r="K676" t="str">
        <f>IFERROR(VLOOKUP(Logs_Reseau_Part5[[#This Row],[Cell_ID]],Registre_Maintenance_Part[[ID_Antenne]:[Colonne2]],6,FALSE),"")</f>
        <v/>
      </c>
    </row>
    <row r="677" spans="1:11" x14ac:dyDescent="0.3">
      <c r="A677" t="s">
        <v>1116</v>
      </c>
      <c r="B677" s="1">
        <v>45210.805555555547</v>
      </c>
      <c r="C677" s="2">
        <v>45210.805555555547</v>
      </c>
      <c r="D677" t="s">
        <v>1120</v>
      </c>
      <c r="E677">
        <v>97</v>
      </c>
      <c r="F677" t="s">
        <v>734</v>
      </c>
      <c r="G677" t="str">
        <f>IFERROR(VLOOKUP(Logs_Reseau_Part5[[#This Row],[Cell_ID]],Registre_Maintenance_Part[[ID_Antenne]:[Colonne2]],2,FALSE),"")</f>
        <v/>
      </c>
      <c r="H677" t="str">
        <f>IFERROR(VLOOKUP(Logs_Reseau_Part5[[#This Row],[Cell_ID]],Registre_Maintenance_Part[[ID_Antenne]:[Colonne2]],3,FALSE),"")</f>
        <v/>
      </c>
      <c r="I677" t="str">
        <f>IFERROR(VLOOKUP(Logs_Reseau_Part5[[#This Row],[Cell_ID]],Registre_Maintenance_Part[[ID_Antenne]:[Colonne2]],4,FALSE),"")</f>
        <v/>
      </c>
      <c r="J677" t="str">
        <f>IFERROR(VLOOKUP(Logs_Reseau_Part5[[#This Row],[Cell_ID]],Registre_Maintenance_Part[[ID_Antenne]:[Colonne2]],5,FALSE),"")</f>
        <v/>
      </c>
      <c r="K677" t="str">
        <f>IFERROR(VLOOKUP(Logs_Reseau_Part5[[#This Row],[Cell_ID]],Registre_Maintenance_Part[[ID_Antenne]:[Colonne2]],6,FALSE),"")</f>
        <v/>
      </c>
    </row>
    <row r="678" spans="1:11" x14ac:dyDescent="0.3">
      <c r="A678" t="s">
        <v>1088</v>
      </c>
      <c r="B678" s="1">
        <v>45210.836111111108</v>
      </c>
      <c r="C678" s="2">
        <v>45210.836111111108</v>
      </c>
      <c r="D678" t="s">
        <v>1101</v>
      </c>
      <c r="E678">
        <v>25</v>
      </c>
      <c r="F678" t="s">
        <v>739</v>
      </c>
      <c r="G678" t="str">
        <f>IFERROR(VLOOKUP(Logs_Reseau_Part5[[#This Row],[Cell_ID]],Registre_Maintenance_Part[[ID_Antenne]:[Colonne2]],2,FALSE),"")</f>
        <v/>
      </c>
      <c r="H678" t="str">
        <f>IFERROR(VLOOKUP(Logs_Reseau_Part5[[#This Row],[Cell_ID]],Registre_Maintenance_Part[[ID_Antenne]:[Colonne2]],3,FALSE),"")</f>
        <v/>
      </c>
      <c r="I678" t="str">
        <f>IFERROR(VLOOKUP(Logs_Reseau_Part5[[#This Row],[Cell_ID]],Registre_Maintenance_Part[[ID_Antenne]:[Colonne2]],4,FALSE),"")</f>
        <v/>
      </c>
      <c r="J678" t="str">
        <f>IFERROR(VLOOKUP(Logs_Reseau_Part5[[#This Row],[Cell_ID]],Registre_Maintenance_Part[[ID_Antenne]:[Colonne2]],5,FALSE),"")</f>
        <v/>
      </c>
      <c r="K678" t="str">
        <f>IFERROR(VLOOKUP(Logs_Reseau_Part5[[#This Row],[Cell_ID]],Registre_Maintenance_Part[[ID_Antenne]:[Colonne2]],6,FALSE),"")</f>
        <v/>
      </c>
    </row>
    <row r="679" spans="1:11" x14ac:dyDescent="0.3">
      <c r="A679" t="s">
        <v>1347</v>
      </c>
      <c r="B679" s="1">
        <v>45210.84097222222</v>
      </c>
      <c r="C679" s="2">
        <v>45210.84097222222</v>
      </c>
      <c r="D679" t="s">
        <v>938</v>
      </c>
      <c r="E679">
        <v>7</v>
      </c>
      <c r="F679" t="s">
        <v>734</v>
      </c>
      <c r="G679" t="str">
        <f>IFERROR(VLOOKUP(Logs_Reseau_Part5[[#This Row],[Cell_ID]],Registre_Maintenance_Part[[ID_Antenne]:[Colonne2]],2,FALSE),"")</f>
        <v/>
      </c>
      <c r="H679" t="str">
        <f>IFERROR(VLOOKUP(Logs_Reseau_Part5[[#This Row],[Cell_ID]],Registre_Maintenance_Part[[ID_Antenne]:[Colonne2]],3,FALSE),"")</f>
        <v/>
      </c>
      <c r="I679" t="str">
        <f>IFERROR(VLOOKUP(Logs_Reseau_Part5[[#This Row],[Cell_ID]],Registre_Maintenance_Part[[ID_Antenne]:[Colonne2]],4,FALSE),"")</f>
        <v/>
      </c>
      <c r="J679" t="str">
        <f>IFERROR(VLOOKUP(Logs_Reseau_Part5[[#This Row],[Cell_ID]],Registre_Maintenance_Part[[ID_Antenne]:[Colonne2]],5,FALSE),"")</f>
        <v/>
      </c>
      <c r="K679" t="str">
        <f>IFERROR(VLOOKUP(Logs_Reseau_Part5[[#This Row],[Cell_ID]],Registre_Maintenance_Part[[ID_Antenne]:[Colonne2]],6,FALSE),"")</f>
        <v/>
      </c>
    </row>
    <row r="680" spans="1:11" x14ac:dyDescent="0.3">
      <c r="A680" t="s">
        <v>1088</v>
      </c>
      <c r="B680" s="1">
        <v>45210.890277777777</v>
      </c>
      <c r="C680" s="2">
        <v>45210.890277777777</v>
      </c>
      <c r="D680" t="s">
        <v>928</v>
      </c>
      <c r="E680">
        <v>118</v>
      </c>
      <c r="F680" t="s">
        <v>734</v>
      </c>
      <c r="G680" t="str">
        <f>IFERROR(VLOOKUP(Logs_Reseau_Part5[[#This Row],[Cell_ID]],Registre_Maintenance_Part[[ID_Antenne]:[Colonne2]],2,FALSE),"")</f>
        <v/>
      </c>
      <c r="H680" t="str">
        <f>IFERROR(VLOOKUP(Logs_Reseau_Part5[[#This Row],[Cell_ID]],Registre_Maintenance_Part[[ID_Antenne]:[Colonne2]],3,FALSE),"")</f>
        <v/>
      </c>
      <c r="I680" t="str">
        <f>IFERROR(VLOOKUP(Logs_Reseau_Part5[[#This Row],[Cell_ID]],Registre_Maintenance_Part[[ID_Antenne]:[Colonne2]],4,FALSE),"")</f>
        <v/>
      </c>
      <c r="J680" t="str">
        <f>IFERROR(VLOOKUP(Logs_Reseau_Part5[[#This Row],[Cell_ID]],Registre_Maintenance_Part[[ID_Antenne]:[Colonne2]],5,FALSE),"")</f>
        <v/>
      </c>
      <c r="K680" t="str">
        <f>IFERROR(VLOOKUP(Logs_Reseau_Part5[[#This Row],[Cell_ID]],Registre_Maintenance_Part[[ID_Antenne]:[Colonne2]],6,FALSE),"")</f>
        <v/>
      </c>
    </row>
    <row r="681" spans="1:11" x14ac:dyDescent="0.3">
      <c r="A681" t="s">
        <v>825</v>
      </c>
      <c r="B681" s="1">
        <v>45210.912499999999</v>
      </c>
      <c r="C681" s="2">
        <v>45210.912499999999</v>
      </c>
      <c r="D681" t="s">
        <v>840</v>
      </c>
      <c r="E681">
        <v>119</v>
      </c>
      <c r="F681" t="s">
        <v>739</v>
      </c>
      <c r="G681" t="str">
        <f>IFERROR(VLOOKUP(Logs_Reseau_Part5[[#This Row],[Cell_ID]],Registre_Maintenance_Part[[ID_Antenne]:[Colonne2]],2,FALSE),"")</f>
        <v/>
      </c>
      <c r="H681" t="str">
        <f>IFERROR(VLOOKUP(Logs_Reseau_Part5[[#This Row],[Cell_ID]],Registre_Maintenance_Part[[ID_Antenne]:[Colonne2]],3,FALSE),"")</f>
        <v/>
      </c>
      <c r="I681" t="str">
        <f>IFERROR(VLOOKUP(Logs_Reseau_Part5[[#This Row],[Cell_ID]],Registre_Maintenance_Part[[ID_Antenne]:[Colonne2]],4,FALSE),"")</f>
        <v/>
      </c>
      <c r="J681" t="str">
        <f>IFERROR(VLOOKUP(Logs_Reseau_Part5[[#This Row],[Cell_ID]],Registre_Maintenance_Part[[ID_Antenne]:[Colonne2]],5,FALSE),"")</f>
        <v/>
      </c>
      <c r="K681" t="str">
        <f>IFERROR(VLOOKUP(Logs_Reseau_Part5[[#This Row],[Cell_ID]],Registre_Maintenance_Part[[ID_Antenne]:[Colonne2]],6,FALSE),"")</f>
        <v/>
      </c>
    </row>
    <row r="682" spans="1:11" x14ac:dyDescent="0.3">
      <c r="A682" t="s">
        <v>1384</v>
      </c>
      <c r="B682" s="1">
        <v>45210.921527777777</v>
      </c>
      <c r="C682" s="2">
        <v>45210.921527777777</v>
      </c>
      <c r="D682" t="s">
        <v>1201</v>
      </c>
      <c r="E682">
        <v>86</v>
      </c>
      <c r="F682" t="s">
        <v>737</v>
      </c>
      <c r="G682" t="str">
        <f>IFERROR(VLOOKUP(Logs_Reseau_Part5[[#This Row],[Cell_ID]],Registre_Maintenance_Part[[ID_Antenne]:[Colonne2]],2,FALSE),"")</f>
        <v/>
      </c>
      <c r="H682" t="str">
        <f>IFERROR(VLOOKUP(Logs_Reseau_Part5[[#This Row],[Cell_ID]],Registre_Maintenance_Part[[ID_Antenne]:[Colonne2]],3,FALSE),"")</f>
        <v/>
      </c>
      <c r="I682" t="str">
        <f>IFERROR(VLOOKUP(Logs_Reseau_Part5[[#This Row],[Cell_ID]],Registre_Maintenance_Part[[ID_Antenne]:[Colonne2]],4,FALSE),"")</f>
        <v/>
      </c>
      <c r="J682" t="str">
        <f>IFERROR(VLOOKUP(Logs_Reseau_Part5[[#This Row],[Cell_ID]],Registre_Maintenance_Part[[ID_Antenne]:[Colonne2]],5,FALSE),"")</f>
        <v/>
      </c>
      <c r="K682" t="str">
        <f>IFERROR(VLOOKUP(Logs_Reseau_Part5[[#This Row],[Cell_ID]],Registre_Maintenance_Part[[ID_Antenne]:[Colonne2]],6,FALSE),"")</f>
        <v/>
      </c>
    </row>
    <row r="683" spans="1:11" x14ac:dyDescent="0.3">
      <c r="A683" t="s">
        <v>1347</v>
      </c>
      <c r="B683" s="1">
        <v>45210.924305555563</v>
      </c>
      <c r="C683" s="2">
        <v>45210.924305555563</v>
      </c>
      <c r="D683" t="s">
        <v>1354</v>
      </c>
      <c r="E683">
        <v>32</v>
      </c>
      <c r="F683" t="s">
        <v>737</v>
      </c>
      <c r="G683" t="str">
        <f>IFERROR(VLOOKUP(Logs_Reseau_Part5[[#This Row],[Cell_ID]],Registre_Maintenance_Part[[ID_Antenne]:[Colonne2]],2,FALSE),"")</f>
        <v/>
      </c>
      <c r="H683" t="str">
        <f>IFERROR(VLOOKUP(Logs_Reseau_Part5[[#This Row],[Cell_ID]],Registre_Maintenance_Part[[ID_Antenne]:[Colonne2]],3,FALSE),"")</f>
        <v/>
      </c>
      <c r="I683" t="str">
        <f>IFERROR(VLOOKUP(Logs_Reseau_Part5[[#This Row],[Cell_ID]],Registre_Maintenance_Part[[ID_Antenne]:[Colonne2]],4,FALSE),"")</f>
        <v/>
      </c>
      <c r="J683" t="str">
        <f>IFERROR(VLOOKUP(Logs_Reseau_Part5[[#This Row],[Cell_ID]],Registre_Maintenance_Part[[ID_Antenne]:[Colonne2]],5,FALSE),"")</f>
        <v/>
      </c>
      <c r="K683" t="str">
        <f>IFERROR(VLOOKUP(Logs_Reseau_Part5[[#This Row],[Cell_ID]],Registre_Maintenance_Part[[ID_Antenne]:[Colonne2]],6,FALSE),"")</f>
        <v/>
      </c>
    </row>
    <row r="684" spans="1:11" x14ac:dyDescent="0.3">
      <c r="A684" t="s">
        <v>1310</v>
      </c>
      <c r="B684" s="1">
        <v>45210.961111111108</v>
      </c>
      <c r="C684" s="2">
        <v>45210.961111111108</v>
      </c>
      <c r="D684" t="s">
        <v>899</v>
      </c>
      <c r="E684">
        <v>66</v>
      </c>
      <c r="F684" t="s">
        <v>734</v>
      </c>
      <c r="G684" t="str">
        <f>IFERROR(VLOOKUP(Logs_Reseau_Part5[[#This Row],[Cell_ID]],Registre_Maintenance_Part[[ID_Antenne]:[Colonne2]],2,FALSE),"")</f>
        <v/>
      </c>
      <c r="H684" t="str">
        <f>IFERROR(VLOOKUP(Logs_Reseau_Part5[[#This Row],[Cell_ID]],Registre_Maintenance_Part[[ID_Antenne]:[Colonne2]],3,FALSE),"")</f>
        <v/>
      </c>
      <c r="I684" t="str">
        <f>IFERROR(VLOOKUP(Logs_Reseau_Part5[[#This Row],[Cell_ID]],Registre_Maintenance_Part[[ID_Antenne]:[Colonne2]],4,FALSE),"")</f>
        <v/>
      </c>
      <c r="J684" t="str">
        <f>IFERROR(VLOOKUP(Logs_Reseau_Part5[[#This Row],[Cell_ID]],Registre_Maintenance_Part[[ID_Antenne]:[Colonne2]],5,FALSE),"")</f>
        <v/>
      </c>
      <c r="K684" t="str">
        <f>IFERROR(VLOOKUP(Logs_Reseau_Part5[[#This Row],[Cell_ID]],Registre_Maintenance_Part[[ID_Antenne]:[Colonne2]],6,FALSE),"")</f>
        <v/>
      </c>
    </row>
    <row r="685" spans="1:11" x14ac:dyDescent="0.3">
      <c r="A685" t="s">
        <v>941</v>
      </c>
      <c r="B685" s="1">
        <v>45210.979166666657</v>
      </c>
      <c r="C685" s="2">
        <v>45210.979166666657</v>
      </c>
      <c r="D685" t="s">
        <v>945</v>
      </c>
      <c r="E685">
        <v>114</v>
      </c>
      <c r="F685" t="s">
        <v>739</v>
      </c>
      <c r="G685" t="str">
        <f>IFERROR(VLOOKUP(Logs_Reseau_Part5[[#This Row],[Cell_ID]],Registre_Maintenance_Part[[ID_Antenne]:[Colonne2]],2,FALSE),"")</f>
        <v/>
      </c>
      <c r="H685" t="str">
        <f>IFERROR(VLOOKUP(Logs_Reseau_Part5[[#This Row],[Cell_ID]],Registre_Maintenance_Part[[ID_Antenne]:[Colonne2]],3,FALSE),"")</f>
        <v/>
      </c>
      <c r="I685" t="str">
        <f>IFERROR(VLOOKUP(Logs_Reseau_Part5[[#This Row],[Cell_ID]],Registre_Maintenance_Part[[ID_Antenne]:[Colonne2]],4,FALSE),"")</f>
        <v/>
      </c>
      <c r="J685" t="str">
        <f>IFERROR(VLOOKUP(Logs_Reseau_Part5[[#This Row],[Cell_ID]],Registre_Maintenance_Part[[ID_Antenne]:[Colonne2]],5,FALSE),"")</f>
        <v/>
      </c>
      <c r="K685" t="str">
        <f>IFERROR(VLOOKUP(Logs_Reseau_Part5[[#This Row],[Cell_ID]],Registre_Maintenance_Part[[ID_Antenne]:[Colonne2]],6,FALSE),"")</f>
        <v/>
      </c>
    </row>
    <row r="686" spans="1:11" x14ac:dyDescent="0.3">
      <c r="A686" t="s">
        <v>1332</v>
      </c>
      <c r="B686" s="1">
        <v>45211.01458333333</v>
      </c>
      <c r="C686" s="2">
        <v>45211.01458333333</v>
      </c>
      <c r="D686" t="s">
        <v>1336</v>
      </c>
      <c r="E686">
        <v>7</v>
      </c>
      <c r="F686" t="s">
        <v>739</v>
      </c>
      <c r="G686" t="str">
        <f>IFERROR(VLOOKUP(Logs_Reseau_Part5[[#This Row],[Cell_ID]],Registre_Maintenance_Part[[ID_Antenne]:[Colonne2]],2,FALSE),"")</f>
        <v/>
      </c>
      <c r="H686" t="str">
        <f>IFERROR(VLOOKUP(Logs_Reseau_Part5[[#This Row],[Cell_ID]],Registre_Maintenance_Part[[ID_Antenne]:[Colonne2]],3,FALSE),"")</f>
        <v/>
      </c>
      <c r="I686" t="str">
        <f>IFERROR(VLOOKUP(Logs_Reseau_Part5[[#This Row],[Cell_ID]],Registre_Maintenance_Part[[ID_Antenne]:[Colonne2]],4,FALSE),"")</f>
        <v/>
      </c>
      <c r="J686" t="str">
        <f>IFERROR(VLOOKUP(Logs_Reseau_Part5[[#This Row],[Cell_ID]],Registre_Maintenance_Part[[ID_Antenne]:[Colonne2]],5,FALSE),"")</f>
        <v/>
      </c>
      <c r="K686" t="str">
        <f>IFERROR(VLOOKUP(Logs_Reseau_Part5[[#This Row],[Cell_ID]],Registre_Maintenance_Part[[ID_Antenne]:[Colonne2]],6,FALSE),"")</f>
        <v/>
      </c>
    </row>
    <row r="687" spans="1:11" x14ac:dyDescent="0.3">
      <c r="A687" t="s">
        <v>1061</v>
      </c>
      <c r="B687" s="1">
        <v>45211.079861111109</v>
      </c>
      <c r="C687" s="2">
        <v>45211.079861111109</v>
      </c>
      <c r="D687" t="s">
        <v>1086</v>
      </c>
      <c r="E687">
        <v>59</v>
      </c>
      <c r="F687" t="s">
        <v>737</v>
      </c>
      <c r="G687" t="str">
        <f>IFERROR(VLOOKUP(Logs_Reseau_Part5[[#This Row],[Cell_ID]],Registre_Maintenance_Part[[ID_Antenne]:[Colonne2]],2,FALSE),"")</f>
        <v/>
      </c>
      <c r="H687" t="str">
        <f>IFERROR(VLOOKUP(Logs_Reseau_Part5[[#This Row],[Cell_ID]],Registre_Maintenance_Part[[ID_Antenne]:[Colonne2]],3,FALSE),"")</f>
        <v/>
      </c>
      <c r="I687" t="str">
        <f>IFERROR(VLOOKUP(Logs_Reseau_Part5[[#This Row],[Cell_ID]],Registre_Maintenance_Part[[ID_Antenne]:[Colonne2]],4,FALSE),"")</f>
        <v/>
      </c>
      <c r="J687" t="str">
        <f>IFERROR(VLOOKUP(Logs_Reseau_Part5[[#This Row],[Cell_ID]],Registre_Maintenance_Part[[ID_Antenne]:[Colonne2]],5,FALSE),"")</f>
        <v/>
      </c>
      <c r="K687" t="str">
        <f>IFERROR(VLOOKUP(Logs_Reseau_Part5[[#This Row],[Cell_ID]],Registre_Maintenance_Part[[ID_Antenne]:[Colonne2]],6,FALSE),"")</f>
        <v/>
      </c>
    </row>
    <row r="688" spans="1:11" x14ac:dyDescent="0.3">
      <c r="A688" t="s">
        <v>863</v>
      </c>
      <c r="B688" s="1">
        <v>45211.105555555558</v>
      </c>
      <c r="C688" s="2">
        <v>45211.105555555558</v>
      </c>
      <c r="D688" t="s">
        <v>763</v>
      </c>
      <c r="E688">
        <v>67</v>
      </c>
      <c r="F688" t="s">
        <v>734</v>
      </c>
      <c r="G688" t="str">
        <f>IFERROR(VLOOKUP(Logs_Reseau_Part5[[#This Row],[Cell_ID]],Registre_Maintenance_Part[[ID_Antenne]:[Colonne2]],2,FALSE),"")</f>
        <v/>
      </c>
      <c r="H688" t="str">
        <f>IFERROR(VLOOKUP(Logs_Reseau_Part5[[#This Row],[Cell_ID]],Registre_Maintenance_Part[[ID_Antenne]:[Colonne2]],3,FALSE),"")</f>
        <v/>
      </c>
      <c r="I688" t="str">
        <f>IFERROR(VLOOKUP(Logs_Reseau_Part5[[#This Row],[Cell_ID]],Registre_Maintenance_Part[[ID_Antenne]:[Colonne2]],4,FALSE),"")</f>
        <v/>
      </c>
      <c r="J688" t="str">
        <f>IFERROR(VLOOKUP(Logs_Reseau_Part5[[#This Row],[Cell_ID]],Registre_Maintenance_Part[[ID_Antenne]:[Colonne2]],5,FALSE),"")</f>
        <v/>
      </c>
      <c r="K688" t="str">
        <f>IFERROR(VLOOKUP(Logs_Reseau_Part5[[#This Row],[Cell_ID]],Registre_Maintenance_Part[[ID_Antenne]:[Colonne2]],6,FALSE),"")</f>
        <v/>
      </c>
    </row>
    <row r="689" spans="1:11" x14ac:dyDescent="0.3">
      <c r="A689" t="s">
        <v>1061</v>
      </c>
      <c r="B689" s="1">
        <v>45211.106249999997</v>
      </c>
      <c r="C689" s="2">
        <v>45211.106249999997</v>
      </c>
      <c r="D689" t="s">
        <v>1069</v>
      </c>
      <c r="E689">
        <v>107</v>
      </c>
      <c r="F689" t="s">
        <v>734</v>
      </c>
      <c r="G689" t="str">
        <f>IFERROR(VLOOKUP(Logs_Reseau_Part5[[#This Row],[Cell_ID]],Registre_Maintenance_Part[[ID_Antenne]:[Colonne2]],2,FALSE),"")</f>
        <v/>
      </c>
      <c r="H689" t="str">
        <f>IFERROR(VLOOKUP(Logs_Reseau_Part5[[#This Row],[Cell_ID]],Registre_Maintenance_Part[[ID_Antenne]:[Colonne2]],3,FALSE),"")</f>
        <v/>
      </c>
      <c r="I689" t="str">
        <f>IFERROR(VLOOKUP(Logs_Reseau_Part5[[#This Row],[Cell_ID]],Registre_Maintenance_Part[[ID_Antenne]:[Colonne2]],4,FALSE),"")</f>
        <v/>
      </c>
      <c r="J689" t="str">
        <f>IFERROR(VLOOKUP(Logs_Reseau_Part5[[#This Row],[Cell_ID]],Registre_Maintenance_Part[[ID_Antenne]:[Colonne2]],5,FALSE),"")</f>
        <v/>
      </c>
      <c r="K689" t="str">
        <f>IFERROR(VLOOKUP(Logs_Reseau_Part5[[#This Row],[Cell_ID]],Registre_Maintenance_Part[[ID_Antenne]:[Colonne2]],6,FALSE),"")</f>
        <v/>
      </c>
    </row>
    <row r="690" spans="1:11" x14ac:dyDescent="0.3">
      <c r="A690" t="s">
        <v>1140</v>
      </c>
      <c r="B690" s="1">
        <v>45211.123611111107</v>
      </c>
      <c r="C690" s="2">
        <v>45211.123611111107</v>
      </c>
      <c r="D690" t="s">
        <v>850</v>
      </c>
      <c r="E690">
        <v>87</v>
      </c>
      <c r="F690" t="s">
        <v>734</v>
      </c>
      <c r="G690" t="str">
        <f>IFERROR(VLOOKUP(Logs_Reseau_Part5[[#This Row],[Cell_ID]],Registre_Maintenance_Part[[ID_Antenne]:[Colonne2]],2,FALSE),"")</f>
        <v/>
      </c>
      <c r="H690" t="str">
        <f>IFERROR(VLOOKUP(Logs_Reseau_Part5[[#This Row],[Cell_ID]],Registre_Maintenance_Part[[ID_Antenne]:[Colonne2]],3,FALSE),"")</f>
        <v/>
      </c>
      <c r="I690" t="str">
        <f>IFERROR(VLOOKUP(Logs_Reseau_Part5[[#This Row],[Cell_ID]],Registre_Maintenance_Part[[ID_Antenne]:[Colonne2]],4,FALSE),"")</f>
        <v/>
      </c>
      <c r="J690" t="str">
        <f>IFERROR(VLOOKUP(Logs_Reseau_Part5[[#This Row],[Cell_ID]],Registre_Maintenance_Part[[ID_Antenne]:[Colonne2]],5,FALSE),"")</f>
        <v/>
      </c>
      <c r="K690" t="str">
        <f>IFERROR(VLOOKUP(Logs_Reseau_Part5[[#This Row],[Cell_ID]],Registre_Maintenance_Part[[ID_Antenne]:[Colonne2]],6,FALSE),"")</f>
        <v/>
      </c>
    </row>
    <row r="691" spans="1:11" x14ac:dyDescent="0.3">
      <c r="A691" t="s">
        <v>1263</v>
      </c>
      <c r="B691" s="1">
        <v>45211.147222222222</v>
      </c>
      <c r="C691" s="2">
        <v>45211.147222222222</v>
      </c>
      <c r="D691" t="s">
        <v>1286</v>
      </c>
      <c r="E691">
        <v>89</v>
      </c>
      <c r="F691" t="s">
        <v>737</v>
      </c>
      <c r="G691" t="str">
        <f>IFERROR(VLOOKUP(Logs_Reseau_Part5[[#This Row],[Cell_ID]],Registre_Maintenance_Part[[ID_Antenne]:[Colonne2]],2,FALSE),"")</f>
        <v/>
      </c>
      <c r="H691" t="str">
        <f>IFERROR(VLOOKUP(Logs_Reseau_Part5[[#This Row],[Cell_ID]],Registre_Maintenance_Part[[ID_Antenne]:[Colonne2]],3,FALSE),"")</f>
        <v/>
      </c>
      <c r="I691" t="str">
        <f>IFERROR(VLOOKUP(Logs_Reseau_Part5[[#This Row],[Cell_ID]],Registre_Maintenance_Part[[ID_Antenne]:[Colonne2]],4,FALSE),"")</f>
        <v/>
      </c>
      <c r="J691" t="str">
        <f>IFERROR(VLOOKUP(Logs_Reseau_Part5[[#This Row],[Cell_ID]],Registre_Maintenance_Part[[ID_Antenne]:[Colonne2]],5,FALSE),"")</f>
        <v/>
      </c>
      <c r="K691" t="str">
        <f>IFERROR(VLOOKUP(Logs_Reseau_Part5[[#This Row],[Cell_ID]],Registre_Maintenance_Part[[ID_Antenne]:[Colonne2]],6,FALSE),"")</f>
        <v/>
      </c>
    </row>
    <row r="692" spans="1:11" x14ac:dyDescent="0.3">
      <c r="A692" t="s">
        <v>1263</v>
      </c>
      <c r="B692" s="1">
        <v>45211.219444444447</v>
      </c>
      <c r="C692" s="2">
        <v>45211.219444444447</v>
      </c>
      <c r="D692" t="s">
        <v>1277</v>
      </c>
      <c r="E692">
        <v>5</v>
      </c>
      <c r="F692" t="s">
        <v>734</v>
      </c>
      <c r="G692" t="str">
        <f>IFERROR(VLOOKUP(Logs_Reseau_Part5[[#This Row],[Cell_ID]],Registre_Maintenance_Part[[ID_Antenne]:[Colonne2]],2,FALSE),"")</f>
        <v/>
      </c>
      <c r="H692" t="str">
        <f>IFERROR(VLOOKUP(Logs_Reseau_Part5[[#This Row],[Cell_ID]],Registre_Maintenance_Part[[ID_Antenne]:[Colonne2]],3,FALSE),"")</f>
        <v/>
      </c>
      <c r="I692" t="str">
        <f>IFERROR(VLOOKUP(Logs_Reseau_Part5[[#This Row],[Cell_ID]],Registre_Maintenance_Part[[ID_Antenne]:[Colonne2]],4,FALSE),"")</f>
        <v/>
      </c>
      <c r="J692" t="str">
        <f>IFERROR(VLOOKUP(Logs_Reseau_Part5[[#This Row],[Cell_ID]],Registre_Maintenance_Part[[ID_Antenne]:[Colonne2]],5,FALSE),"")</f>
        <v/>
      </c>
      <c r="K692" t="str">
        <f>IFERROR(VLOOKUP(Logs_Reseau_Part5[[#This Row],[Cell_ID]],Registre_Maintenance_Part[[ID_Antenne]:[Colonne2]],6,FALSE),"")</f>
        <v/>
      </c>
    </row>
    <row r="693" spans="1:11" x14ac:dyDescent="0.3">
      <c r="A693" t="s">
        <v>1290</v>
      </c>
      <c r="B693" s="1">
        <v>45211.290277777778</v>
      </c>
      <c r="C693" s="2">
        <v>45211.290277777778</v>
      </c>
      <c r="D693" t="s">
        <v>1302</v>
      </c>
      <c r="E693">
        <v>73</v>
      </c>
      <c r="F693" t="s">
        <v>739</v>
      </c>
      <c r="G693" t="str">
        <f>IFERROR(VLOOKUP(Logs_Reseau_Part5[[#This Row],[Cell_ID]],Registre_Maintenance_Part[[ID_Antenne]:[Colonne2]],2,FALSE),"")</f>
        <v/>
      </c>
      <c r="H693" t="str">
        <f>IFERROR(VLOOKUP(Logs_Reseau_Part5[[#This Row],[Cell_ID]],Registre_Maintenance_Part[[ID_Antenne]:[Colonne2]],3,FALSE),"")</f>
        <v/>
      </c>
      <c r="I693" t="str">
        <f>IFERROR(VLOOKUP(Logs_Reseau_Part5[[#This Row],[Cell_ID]],Registre_Maintenance_Part[[ID_Antenne]:[Colonne2]],4,FALSE),"")</f>
        <v/>
      </c>
      <c r="J693" t="str">
        <f>IFERROR(VLOOKUP(Logs_Reseau_Part5[[#This Row],[Cell_ID]],Registre_Maintenance_Part[[ID_Antenne]:[Colonne2]],5,FALSE),"")</f>
        <v/>
      </c>
      <c r="K693" t="str">
        <f>IFERROR(VLOOKUP(Logs_Reseau_Part5[[#This Row],[Cell_ID]],Registre_Maintenance_Part[[ID_Antenne]:[Colonne2]],6,FALSE),"")</f>
        <v/>
      </c>
    </row>
    <row r="694" spans="1:11" x14ac:dyDescent="0.3">
      <c r="A694" t="s">
        <v>1347</v>
      </c>
      <c r="B694" s="1">
        <v>45211.324305555558</v>
      </c>
      <c r="C694" s="2">
        <v>45211.324305555558</v>
      </c>
      <c r="D694" t="s">
        <v>1348</v>
      </c>
      <c r="E694">
        <v>120</v>
      </c>
      <c r="F694" t="s">
        <v>739</v>
      </c>
      <c r="G694" t="str">
        <f>IFERROR(VLOOKUP(Logs_Reseau_Part5[[#This Row],[Cell_ID]],Registre_Maintenance_Part[[ID_Antenne]:[Colonne2]],2,FALSE),"")</f>
        <v/>
      </c>
      <c r="H694" t="str">
        <f>IFERROR(VLOOKUP(Logs_Reseau_Part5[[#This Row],[Cell_ID]],Registre_Maintenance_Part[[ID_Antenne]:[Colonne2]],3,FALSE),"")</f>
        <v/>
      </c>
      <c r="I694" t="str">
        <f>IFERROR(VLOOKUP(Logs_Reseau_Part5[[#This Row],[Cell_ID]],Registre_Maintenance_Part[[ID_Antenne]:[Colonne2]],4,FALSE),"")</f>
        <v/>
      </c>
      <c r="J694" t="str">
        <f>IFERROR(VLOOKUP(Logs_Reseau_Part5[[#This Row],[Cell_ID]],Registre_Maintenance_Part[[ID_Antenne]:[Colonne2]],5,FALSE),"")</f>
        <v/>
      </c>
      <c r="K694" t="str">
        <f>IFERROR(VLOOKUP(Logs_Reseau_Part5[[#This Row],[Cell_ID]],Registre_Maintenance_Part[[ID_Antenne]:[Colonne2]],6,FALSE),"")</f>
        <v/>
      </c>
    </row>
    <row r="695" spans="1:11" x14ac:dyDescent="0.3">
      <c r="A695" t="s">
        <v>1310</v>
      </c>
      <c r="B695" s="1">
        <v>45211.368055555547</v>
      </c>
      <c r="C695" s="2">
        <v>45211.368055555547</v>
      </c>
      <c r="D695" t="s">
        <v>898</v>
      </c>
      <c r="E695">
        <v>15</v>
      </c>
      <c r="F695" t="s">
        <v>737</v>
      </c>
      <c r="G695" t="str">
        <f>IFERROR(VLOOKUP(Logs_Reseau_Part5[[#This Row],[Cell_ID]],Registre_Maintenance_Part[[ID_Antenne]:[Colonne2]],2,FALSE),"")</f>
        <v/>
      </c>
      <c r="H695" t="str">
        <f>IFERROR(VLOOKUP(Logs_Reseau_Part5[[#This Row],[Cell_ID]],Registre_Maintenance_Part[[ID_Antenne]:[Colonne2]],3,FALSE),"")</f>
        <v/>
      </c>
      <c r="I695" t="str">
        <f>IFERROR(VLOOKUP(Logs_Reseau_Part5[[#This Row],[Cell_ID]],Registre_Maintenance_Part[[ID_Antenne]:[Colonne2]],4,FALSE),"")</f>
        <v/>
      </c>
      <c r="J695" t="str">
        <f>IFERROR(VLOOKUP(Logs_Reseau_Part5[[#This Row],[Cell_ID]],Registre_Maintenance_Part[[ID_Antenne]:[Colonne2]],5,FALSE),"")</f>
        <v/>
      </c>
      <c r="K695" t="str">
        <f>IFERROR(VLOOKUP(Logs_Reseau_Part5[[#This Row],[Cell_ID]],Registre_Maintenance_Part[[ID_Antenne]:[Colonne2]],6,FALSE),"")</f>
        <v/>
      </c>
    </row>
    <row r="696" spans="1:11" x14ac:dyDescent="0.3">
      <c r="A696" t="s">
        <v>1347</v>
      </c>
      <c r="B696" s="1">
        <v>45211.380555555559</v>
      </c>
      <c r="C696" s="2">
        <v>45211.380555555559</v>
      </c>
      <c r="D696" t="s">
        <v>1361</v>
      </c>
      <c r="E696">
        <v>84</v>
      </c>
      <c r="F696" t="s">
        <v>734</v>
      </c>
      <c r="G696" t="str">
        <f>IFERROR(VLOOKUP(Logs_Reseau_Part5[[#This Row],[Cell_ID]],Registre_Maintenance_Part[[ID_Antenne]:[Colonne2]],2,FALSE),"")</f>
        <v/>
      </c>
      <c r="H696" t="str">
        <f>IFERROR(VLOOKUP(Logs_Reseau_Part5[[#This Row],[Cell_ID]],Registre_Maintenance_Part[[ID_Antenne]:[Colonne2]],3,FALSE),"")</f>
        <v/>
      </c>
      <c r="I696" t="str">
        <f>IFERROR(VLOOKUP(Logs_Reseau_Part5[[#This Row],[Cell_ID]],Registre_Maintenance_Part[[ID_Antenne]:[Colonne2]],4,FALSE),"")</f>
        <v/>
      </c>
      <c r="J696" t="str">
        <f>IFERROR(VLOOKUP(Logs_Reseau_Part5[[#This Row],[Cell_ID]],Registre_Maintenance_Part[[ID_Antenne]:[Colonne2]],5,FALSE),"")</f>
        <v/>
      </c>
      <c r="K696" t="str">
        <f>IFERROR(VLOOKUP(Logs_Reseau_Part5[[#This Row],[Cell_ID]],Registre_Maintenance_Part[[ID_Antenne]:[Colonne2]],6,FALSE),"")</f>
        <v/>
      </c>
    </row>
    <row r="697" spans="1:11" x14ac:dyDescent="0.3">
      <c r="A697" t="s">
        <v>1026</v>
      </c>
      <c r="B697" s="1">
        <v>45211.382638888892</v>
      </c>
      <c r="C697" s="2">
        <v>45211.382638888892</v>
      </c>
      <c r="D697" t="s">
        <v>789</v>
      </c>
      <c r="E697">
        <v>105</v>
      </c>
      <c r="F697" t="s">
        <v>734</v>
      </c>
      <c r="G697" t="str">
        <f>IFERROR(VLOOKUP(Logs_Reseau_Part5[[#This Row],[Cell_ID]],Registre_Maintenance_Part[[ID_Antenne]:[Colonne2]],2,FALSE),"")</f>
        <v/>
      </c>
      <c r="H697" t="str">
        <f>IFERROR(VLOOKUP(Logs_Reseau_Part5[[#This Row],[Cell_ID]],Registre_Maintenance_Part[[ID_Antenne]:[Colonne2]],3,FALSE),"")</f>
        <v/>
      </c>
      <c r="I697" t="str">
        <f>IFERROR(VLOOKUP(Logs_Reseau_Part5[[#This Row],[Cell_ID]],Registre_Maintenance_Part[[ID_Antenne]:[Colonne2]],4,FALSE),"")</f>
        <v/>
      </c>
      <c r="J697" t="str">
        <f>IFERROR(VLOOKUP(Logs_Reseau_Part5[[#This Row],[Cell_ID]],Registre_Maintenance_Part[[ID_Antenne]:[Colonne2]],5,FALSE),"")</f>
        <v/>
      </c>
      <c r="K697" t="str">
        <f>IFERROR(VLOOKUP(Logs_Reseau_Part5[[#This Row],[Cell_ID]],Registre_Maintenance_Part[[ID_Antenne]:[Colonne2]],6,FALSE),"")</f>
        <v/>
      </c>
    </row>
    <row r="698" spans="1:11" x14ac:dyDescent="0.3">
      <c r="A698" t="s">
        <v>1167</v>
      </c>
      <c r="B698" s="1">
        <v>45211.386111111111</v>
      </c>
      <c r="C698" s="2">
        <v>45211.386111111111</v>
      </c>
      <c r="D698" t="s">
        <v>928</v>
      </c>
      <c r="E698">
        <v>13</v>
      </c>
      <c r="F698" t="s">
        <v>737</v>
      </c>
      <c r="G698" t="str">
        <f>IFERROR(VLOOKUP(Logs_Reseau_Part5[[#This Row],[Cell_ID]],Registre_Maintenance_Part[[ID_Antenne]:[Colonne2]],2,FALSE),"")</f>
        <v/>
      </c>
      <c r="H698" t="str">
        <f>IFERROR(VLOOKUP(Logs_Reseau_Part5[[#This Row],[Cell_ID]],Registre_Maintenance_Part[[ID_Antenne]:[Colonne2]],3,FALSE),"")</f>
        <v/>
      </c>
      <c r="I698" t="str">
        <f>IFERROR(VLOOKUP(Logs_Reseau_Part5[[#This Row],[Cell_ID]],Registre_Maintenance_Part[[ID_Antenne]:[Colonne2]],4,FALSE),"")</f>
        <v/>
      </c>
      <c r="J698" t="str">
        <f>IFERROR(VLOOKUP(Logs_Reseau_Part5[[#This Row],[Cell_ID]],Registre_Maintenance_Part[[ID_Antenne]:[Colonne2]],5,FALSE),"")</f>
        <v/>
      </c>
      <c r="K698" t="str">
        <f>IFERROR(VLOOKUP(Logs_Reseau_Part5[[#This Row],[Cell_ID]],Registre_Maintenance_Part[[ID_Antenne]:[Colonne2]],6,FALSE),"")</f>
        <v/>
      </c>
    </row>
    <row r="699" spans="1:11" x14ac:dyDescent="0.3">
      <c r="A699" t="s">
        <v>1221</v>
      </c>
      <c r="B699" s="1">
        <v>45211.38958333333</v>
      </c>
      <c r="C699" s="2">
        <v>45211.38958333333</v>
      </c>
      <c r="D699" t="s">
        <v>1226</v>
      </c>
      <c r="E699">
        <v>76</v>
      </c>
      <c r="F699" t="s">
        <v>737</v>
      </c>
      <c r="G699" t="str">
        <f>IFERROR(VLOOKUP(Logs_Reseau_Part5[[#This Row],[Cell_ID]],Registre_Maintenance_Part[[ID_Antenne]:[Colonne2]],2,FALSE),"")</f>
        <v/>
      </c>
      <c r="H699" t="str">
        <f>IFERROR(VLOOKUP(Logs_Reseau_Part5[[#This Row],[Cell_ID]],Registre_Maintenance_Part[[ID_Antenne]:[Colonne2]],3,FALSE),"")</f>
        <v/>
      </c>
      <c r="I699" t="str">
        <f>IFERROR(VLOOKUP(Logs_Reseau_Part5[[#This Row],[Cell_ID]],Registre_Maintenance_Part[[ID_Antenne]:[Colonne2]],4,FALSE),"")</f>
        <v/>
      </c>
      <c r="J699" t="str">
        <f>IFERROR(VLOOKUP(Logs_Reseau_Part5[[#This Row],[Cell_ID]],Registre_Maintenance_Part[[ID_Antenne]:[Colonne2]],5,FALSE),"")</f>
        <v/>
      </c>
      <c r="K699" t="str">
        <f>IFERROR(VLOOKUP(Logs_Reseau_Part5[[#This Row],[Cell_ID]],Registre_Maintenance_Part[[ID_Antenne]:[Colonne2]],6,FALSE),"")</f>
        <v/>
      </c>
    </row>
    <row r="700" spans="1:11" x14ac:dyDescent="0.3">
      <c r="A700" t="s">
        <v>1221</v>
      </c>
      <c r="B700" s="1">
        <v>45211.495833333327</v>
      </c>
      <c r="C700" s="2">
        <v>45211.495833333327</v>
      </c>
      <c r="D700" t="s">
        <v>850</v>
      </c>
      <c r="E700">
        <v>61</v>
      </c>
      <c r="F700" t="s">
        <v>737</v>
      </c>
      <c r="G700" t="str">
        <f>IFERROR(VLOOKUP(Logs_Reseau_Part5[[#This Row],[Cell_ID]],Registre_Maintenance_Part[[ID_Antenne]:[Colonne2]],2,FALSE),"")</f>
        <v/>
      </c>
      <c r="H700" t="str">
        <f>IFERROR(VLOOKUP(Logs_Reseau_Part5[[#This Row],[Cell_ID]],Registre_Maintenance_Part[[ID_Antenne]:[Colonne2]],3,FALSE),"")</f>
        <v/>
      </c>
      <c r="I700" t="str">
        <f>IFERROR(VLOOKUP(Logs_Reseau_Part5[[#This Row],[Cell_ID]],Registre_Maintenance_Part[[ID_Antenne]:[Colonne2]],4,FALSE),"")</f>
        <v/>
      </c>
      <c r="J700" t="str">
        <f>IFERROR(VLOOKUP(Logs_Reseau_Part5[[#This Row],[Cell_ID]],Registre_Maintenance_Part[[ID_Antenne]:[Colonne2]],5,FALSE),"")</f>
        <v/>
      </c>
      <c r="K700" t="str">
        <f>IFERROR(VLOOKUP(Logs_Reseau_Part5[[#This Row],[Cell_ID]],Registre_Maintenance_Part[[ID_Antenne]:[Colonne2]],6,FALSE),"")</f>
        <v/>
      </c>
    </row>
    <row r="701" spans="1:11" x14ac:dyDescent="0.3">
      <c r="A701" t="s">
        <v>1001</v>
      </c>
      <c r="B701" s="1">
        <v>45211.546527777777</v>
      </c>
      <c r="C701" s="2">
        <v>45211.546527777777</v>
      </c>
      <c r="D701" t="s">
        <v>796</v>
      </c>
      <c r="E701">
        <v>115</v>
      </c>
      <c r="F701" t="s">
        <v>734</v>
      </c>
      <c r="G701" t="str">
        <f>IFERROR(VLOOKUP(Logs_Reseau_Part5[[#This Row],[Cell_ID]],Registre_Maintenance_Part[[ID_Antenne]:[Colonne2]],2,FALSE),"")</f>
        <v/>
      </c>
      <c r="H701" t="str">
        <f>IFERROR(VLOOKUP(Logs_Reseau_Part5[[#This Row],[Cell_ID]],Registre_Maintenance_Part[[ID_Antenne]:[Colonne2]],3,FALSE),"")</f>
        <v/>
      </c>
      <c r="I701" t="str">
        <f>IFERROR(VLOOKUP(Logs_Reseau_Part5[[#This Row],[Cell_ID]],Registre_Maintenance_Part[[ID_Antenne]:[Colonne2]],4,FALSE),"")</f>
        <v/>
      </c>
      <c r="J701" t="str">
        <f>IFERROR(VLOOKUP(Logs_Reseau_Part5[[#This Row],[Cell_ID]],Registre_Maintenance_Part[[ID_Antenne]:[Colonne2]],5,FALSE),"")</f>
        <v/>
      </c>
      <c r="K701" t="str">
        <f>IFERROR(VLOOKUP(Logs_Reseau_Part5[[#This Row],[Cell_ID]],Registre_Maintenance_Part[[ID_Antenne]:[Colonne2]],6,FALSE),"")</f>
        <v/>
      </c>
    </row>
    <row r="702" spans="1:11" x14ac:dyDescent="0.3">
      <c r="A702" t="s">
        <v>781</v>
      </c>
      <c r="B702" s="1">
        <v>45211.55972222222</v>
      </c>
      <c r="C702" s="2">
        <v>45211.55972222222</v>
      </c>
      <c r="D702" t="s">
        <v>768</v>
      </c>
      <c r="E702">
        <v>69</v>
      </c>
      <c r="F702" t="s">
        <v>737</v>
      </c>
      <c r="G702" t="str">
        <f>IFERROR(VLOOKUP(Logs_Reseau_Part5[[#This Row],[Cell_ID]],Registre_Maintenance_Part[[ID_Antenne]:[Colonne2]],2,FALSE),"")</f>
        <v/>
      </c>
      <c r="H702" t="str">
        <f>IFERROR(VLOOKUP(Logs_Reseau_Part5[[#This Row],[Cell_ID]],Registre_Maintenance_Part[[ID_Antenne]:[Colonne2]],3,FALSE),"")</f>
        <v/>
      </c>
      <c r="I702" t="str">
        <f>IFERROR(VLOOKUP(Logs_Reseau_Part5[[#This Row],[Cell_ID]],Registre_Maintenance_Part[[ID_Antenne]:[Colonne2]],4,FALSE),"")</f>
        <v/>
      </c>
      <c r="J702" t="str">
        <f>IFERROR(VLOOKUP(Logs_Reseau_Part5[[#This Row],[Cell_ID]],Registre_Maintenance_Part[[ID_Antenne]:[Colonne2]],5,FALSE),"")</f>
        <v/>
      </c>
      <c r="K702" t="str">
        <f>IFERROR(VLOOKUP(Logs_Reseau_Part5[[#This Row],[Cell_ID]],Registre_Maintenance_Part[[ID_Antenne]:[Colonne2]],6,FALSE),"")</f>
        <v/>
      </c>
    </row>
    <row r="703" spans="1:11" x14ac:dyDescent="0.3">
      <c r="A703" t="s">
        <v>1363</v>
      </c>
      <c r="B703" s="1">
        <v>45211.61041666667</v>
      </c>
      <c r="C703" s="2">
        <v>45211.61041666667</v>
      </c>
      <c r="D703" t="s">
        <v>815</v>
      </c>
      <c r="E703">
        <v>114</v>
      </c>
      <c r="F703" t="s">
        <v>734</v>
      </c>
      <c r="G703" t="str">
        <f>IFERROR(VLOOKUP(Logs_Reseau_Part5[[#This Row],[Cell_ID]],Registre_Maintenance_Part[[ID_Antenne]:[Colonne2]],2,FALSE),"")</f>
        <v/>
      </c>
      <c r="H703" t="str">
        <f>IFERROR(VLOOKUP(Logs_Reseau_Part5[[#This Row],[Cell_ID]],Registre_Maintenance_Part[[ID_Antenne]:[Colonne2]],3,FALSE),"")</f>
        <v/>
      </c>
      <c r="I703" t="str">
        <f>IFERROR(VLOOKUP(Logs_Reseau_Part5[[#This Row],[Cell_ID]],Registre_Maintenance_Part[[ID_Antenne]:[Colonne2]],4,FALSE),"")</f>
        <v/>
      </c>
      <c r="J703" t="str">
        <f>IFERROR(VLOOKUP(Logs_Reseau_Part5[[#This Row],[Cell_ID]],Registre_Maintenance_Part[[ID_Antenne]:[Colonne2]],5,FALSE),"")</f>
        <v/>
      </c>
      <c r="K703" t="str">
        <f>IFERROR(VLOOKUP(Logs_Reseau_Part5[[#This Row],[Cell_ID]],Registre_Maintenance_Part[[ID_Antenne]:[Colonne2]],6,FALSE),"")</f>
        <v/>
      </c>
    </row>
    <row r="704" spans="1:11" x14ac:dyDescent="0.3">
      <c r="A704" t="s">
        <v>1088</v>
      </c>
      <c r="B704" s="1">
        <v>45211.618750000001</v>
      </c>
      <c r="C704" s="2">
        <v>45211.618750000001</v>
      </c>
      <c r="D704" t="s">
        <v>1096</v>
      </c>
      <c r="E704">
        <v>92</v>
      </c>
      <c r="F704" t="s">
        <v>734</v>
      </c>
      <c r="G704" t="str">
        <f>IFERROR(VLOOKUP(Logs_Reseau_Part5[[#This Row],[Cell_ID]],Registre_Maintenance_Part[[ID_Antenne]:[Colonne2]],2,FALSE),"")</f>
        <v/>
      </c>
      <c r="H704" t="str">
        <f>IFERROR(VLOOKUP(Logs_Reseau_Part5[[#This Row],[Cell_ID]],Registre_Maintenance_Part[[ID_Antenne]:[Colonne2]],3,FALSE),"")</f>
        <v/>
      </c>
      <c r="I704" t="str">
        <f>IFERROR(VLOOKUP(Logs_Reseau_Part5[[#This Row],[Cell_ID]],Registre_Maintenance_Part[[ID_Antenne]:[Colonne2]],4,FALSE),"")</f>
        <v/>
      </c>
      <c r="J704" t="str">
        <f>IFERROR(VLOOKUP(Logs_Reseau_Part5[[#This Row],[Cell_ID]],Registre_Maintenance_Part[[ID_Antenne]:[Colonne2]],5,FALSE),"")</f>
        <v/>
      </c>
      <c r="K704" t="str">
        <f>IFERROR(VLOOKUP(Logs_Reseau_Part5[[#This Row],[Cell_ID]],Registre_Maintenance_Part[[ID_Antenne]:[Colonne2]],6,FALSE),"")</f>
        <v/>
      </c>
    </row>
    <row r="705" spans="1:11" x14ac:dyDescent="0.3">
      <c r="A705" t="s">
        <v>1167</v>
      </c>
      <c r="B705" s="1">
        <v>45211.705555555563</v>
      </c>
      <c r="C705" s="2">
        <v>45211.705555555563</v>
      </c>
      <c r="D705" t="s">
        <v>1185</v>
      </c>
      <c r="E705">
        <v>95</v>
      </c>
      <c r="F705" t="s">
        <v>737</v>
      </c>
      <c r="G705" t="str">
        <f>IFERROR(VLOOKUP(Logs_Reseau_Part5[[#This Row],[Cell_ID]],Registre_Maintenance_Part[[ID_Antenne]:[Colonne2]],2,FALSE),"")</f>
        <v/>
      </c>
      <c r="H705" t="str">
        <f>IFERROR(VLOOKUP(Logs_Reseau_Part5[[#This Row],[Cell_ID]],Registre_Maintenance_Part[[ID_Antenne]:[Colonne2]],3,FALSE),"")</f>
        <v/>
      </c>
      <c r="I705" t="str">
        <f>IFERROR(VLOOKUP(Logs_Reseau_Part5[[#This Row],[Cell_ID]],Registre_Maintenance_Part[[ID_Antenne]:[Colonne2]],4,FALSE),"")</f>
        <v/>
      </c>
      <c r="J705" t="str">
        <f>IFERROR(VLOOKUP(Logs_Reseau_Part5[[#This Row],[Cell_ID]],Registre_Maintenance_Part[[ID_Antenne]:[Colonne2]],5,FALSE),"")</f>
        <v/>
      </c>
      <c r="K705" t="str">
        <f>IFERROR(VLOOKUP(Logs_Reseau_Part5[[#This Row],[Cell_ID]],Registre_Maintenance_Part[[ID_Antenne]:[Colonne2]],6,FALSE),"")</f>
        <v/>
      </c>
    </row>
    <row r="706" spans="1:11" x14ac:dyDescent="0.3">
      <c r="A706" t="s">
        <v>1088</v>
      </c>
      <c r="B706" s="1">
        <v>45211.706250000003</v>
      </c>
      <c r="C706" s="2">
        <v>45211.706250000003</v>
      </c>
      <c r="D706" t="s">
        <v>1107</v>
      </c>
      <c r="E706">
        <v>115</v>
      </c>
      <c r="F706" t="s">
        <v>739</v>
      </c>
      <c r="G706" t="str">
        <f>IFERROR(VLOOKUP(Logs_Reseau_Part5[[#This Row],[Cell_ID]],Registre_Maintenance_Part[[ID_Antenne]:[Colonne2]],2,FALSE),"")</f>
        <v/>
      </c>
      <c r="H706" t="str">
        <f>IFERROR(VLOOKUP(Logs_Reseau_Part5[[#This Row],[Cell_ID]],Registre_Maintenance_Part[[ID_Antenne]:[Colonne2]],3,FALSE),"")</f>
        <v/>
      </c>
      <c r="I706" t="str">
        <f>IFERROR(VLOOKUP(Logs_Reseau_Part5[[#This Row],[Cell_ID]],Registre_Maintenance_Part[[ID_Antenne]:[Colonne2]],4,FALSE),"")</f>
        <v/>
      </c>
      <c r="J706" t="str">
        <f>IFERROR(VLOOKUP(Logs_Reseau_Part5[[#This Row],[Cell_ID]],Registre_Maintenance_Part[[ID_Antenne]:[Colonne2]],5,FALSE),"")</f>
        <v/>
      </c>
      <c r="K706" t="str">
        <f>IFERROR(VLOOKUP(Logs_Reseau_Part5[[#This Row],[Cell_ID]],Registre_Maintenance_Part[[ID_Antenne]:[Colonne2]],6,FALSE),"")</f>
        <v/>
      </c>
    </row>
    <row r="707" spans="1:11" x14ac:dyDescent="0.3">
      <c r="A707" t="s">
        <v>1195</v>
      </c>
      <c r="B707" s="1">
        <v>45211.711805555547</v>
      </c>
      <c r="C707" s="2">
        <v>45211.711805555547</v>
      </c>
      <c r="D707" t="s">
        <v>1213</v>
      </c>
      <c r="E707">
        <v>82</v>
      </c>
      <c r="F707" t="s">
        <v>737</v>
      </c>
      <c r="G707" t="str">
        <f>IFERROR(VLOOKUP(Logs_Reseau_Part5[[#This Row],[Cell_ID]],Registre_Maintenance_Part[[ID_Antenne]:[Colonne2]],2,FALSE),"")</f>
        <v/>
      </c>
      <c r="H707" t="str">
        <f>IFERROR(VLOOKUP(Logs_Reseau_Part5[[#This Row],[Cell_ID]],Registre_Maintenance_Part[[ID_Antenne]:[Colonne2]],3,FALSE),"")</f>
        <v/>
      </c>
      <c r="I707" t="str">
        <f>IFERROR(VLOOKUP(Logs_Reseau_Part5[[#This Row],[Cell_ID]],Registre_Maintenance_Part[[ID_Antenne]:[Colonne2]],4,FALSE),"")</f>
        <v/>
      </c>
      <c r="J707" t="str">
        <f>IFERROR(VLOOKUP(Logs_Reseau_Part5[[#This Row],[Cell_ID]],Registre_Maintenance_Part[[ID_Antenne]:[Colonne2]],5,FALSE),"")</f>
        <v/>
      </c>
      <c r="K707" t="str">
        <f>IFERROR(VLOOKUP(Logs_Reseau_Part5[[#This Row],[Cell_ID]],Registre_Maintenance_Part[[ID_Antenne]:[Colonne2]],6,FALSE),"")</f>
        <v/>
      </c>
    </row>
    <row r="708" spans="1:11" x14ac:dyDescent="0.3">
      <c r="A708" t="s">
        <v>1088</v>
      </c>
      <c r="B708" s="1">
        <v>45211.73333333333</v>
      </c>
      <c r="C708" s="2">
        <v>45211.73333333333</v>
      </c>
      <c r="D708" t="s">
        <v>1095</v>
      </c>
      <c r="E708">
        <v>108</v>
      </c>
      <c r="F708" t="s">
        <v>737</v>
      </c>
      <c r="G708" t="str">
        <f>IFERROR(VLOOKUP(Logs_Reseau_Part5[[#This Row],[Cell_ID]],Registre_Maintenance_Part[[ID_Antenne]:[Colonne2]],2,FALSE),"")</f>
        <v/>
      </c>
      <c r="H708" t="str">
        <f>IFERROR(VLOOKUP(Logs_Reseau_Part5[[#This Row],[Cell_ID]],Registre_Maintenance_Part[[ID_Antenne]:[Colonne2]],3,FALSE),"")</f>
        <v/>
      </c>
      <c r="I708" t="str">
        <f>IFERROR(VLOOKUP(Logs_Reseau_Part5[[#This Row],[Cell_ID]],Registre_Maintenance_Part[[ID_Antenne]:[Colonne2]],4,FALSE),"")</f>
        <v/>
      </c>
      <c r="J708" t="str">
        <f>IFERROR(VLOOKUP(Logs_Reseau_Part5[[#This Row],[Cell_ID]],Registre_Maintenance_Part[[ID_Antenne]:[Colonne2]],5,FALSE),"")</f>
        <v/>
      </c>
      <c r="K708" t="str">
        <f>IFERROR(VLOOKUP(Logs_Reseau_Part5[[#This Row],[Cell_ID]],Registre_Maintenance_Part[[ID_Antenne]:[Colonne2]],6,FALSE),"")</f>
        <v/>
      </c>
    </row>
    <row r="709" spans="1:11" x14ac:dyDescent="0.3">
      <c r="A709" t="s">
        <v>1001</v>
      </c>
      <c r="B709" s="1">
        <v>45211.908333333333</v>
      </c>
      <c r="C709" s="2">
        <v>45211.908333333333</v>
      </c>
      <c r="D709" t="s">
        <v>1002</v>
      </c>
      <c r="E709">
        <v>32</v>
      </c>
      <c r="F709" t="s">
        <v>737</v>
      </c>
      <c r="G709" t="str">
        <f>IFERROR(VLOOKUP(Logs_Reseau_Part5[[#This Row],[Cell_ID]],Registre_Maintenance_Part[[ID_Antenne]:[Colonne2]],2,FALSE),"")</f>
        <v/>
      </c>
      <c r="H709" t="str">
        <f>IFERROR(VLOOKUP(Logs_Reseau_Part5[[#This Row],[Cell_ID]],Registre_Maintenance_Part[[ID_Antenne]:[Colonne2]],3,FALSE),"")</f>
        <v/>
      </c>
      <c r="I709" t="str">
        <f>IFERROR(VLOOKUP(Logs_Reseau_Part5[[#This Row],[Cell_ID]],Registre_Maintenance_Part[[ID_Antenne]:[Colonne2]],4,FALSE),"")</f>
        <v/>
      </c>
      <c r="J709" t="str">
        <f>IFERROR(VLOOKUP(Logs_Reseau_Part5[[#This Row],[Cell_ID]],Registre_Maintenance_Part[[ID_Antenne]:[Colonne2]],5,FALSE),"")</f>
        <v/>
      </c>
      <c r="K709" t="str">
        <f>IFERROR(VLOOKUP(Logs_Reseau_Part5[[#This Row],[Cell_ID]],Registre_Maintenance_Part[[ID_Antenne]:[Colonne2]],6,FALSE),"")</f>
        <v/>
      </c>
    </row>
    <row r="710" spans="1:11" x14ac:dyDescent="0.3">
      <c r="A710" t="s">
        <v>1332</v>
      </c>
      <c r="B710" s="1">
        <v>45211.925000000003</v>
      </c>
      <c r="C710" s="2">
        <v>45211.925000000003</v>
      </c>
      <c r="D710" t="s">
        <v>882</v>
      </c>
      <c r="E710">
        <v>40</v>
      </c>
      <c r="F710" t="s">
        <v>739</v>
      </c>
      <c r="G710" t="str">
        <f>IFERROR(VLOOKUP(Logs_Reseau_Part5[[#This Row],[Cell_ID]],Registre_Maintenance_Part[[ID_Antenne]:[Colonne2]],2,FALSE),"")</f>
        <v/>
      </c>
      <c r="H710" t="str">
        <f>IFERROR(VLOOKUP(Logs_Reseau_Part5[[#This Row],[Cell_ID]],Registre_Maintenance_Part[[ID_Antenne]:[Colonne2]],3,FALSE),"")</f>
        <v/>
      </c>
      <c r="I710" t="str">
        <f>IFERROR(VLOOKUP(Logs_Reseau_Part5[[#This Row],[Cell_ID]],Registre_Maintenance_Part[[ID_Antenne]:[Colonne2]],4,FALSE),"")</f>
        <v/>
      </c>
      <c r="J710" t="str">
        <f>IFERROR(VLOOKUP(Logs_Reseau_Part5[[#This Row],[Cell_ID]],Registre_Maintenance_Part[[ID_Antenne]:[Colonne2]],5,FALSE),"")</f>
        <v/>
      </c>
      <c r="K710" t="str">
        <f>IFERROR(VLOOKUP(Logs_Reseau_Part5[[#This Row],[Cell_ID]],Registre_Maintenance_Part[[ID_Antenne]:[Colonne2]],6,FALSE),"")</f>
        <v/>
      </c>
    </row>
    <row r="711" spans="1:11" x14ac:dyDescent="0.3">
      <c r="A711" t="s">
        <v>825</v>
      </c>
      <c r="B711" s="1">
        <v>45211.993055555547</v>
      </c>
      <c r="C711" s="2">
        <v>45211.993055555547</v>
      </c>
      <c r="D711" t="s">
        <v>830</v>
      </c>
      <c r="E711">
        <v>29</v>
      </c>
      <c r="F711" t="s">
        <v>737</v>
      </c>
      <c r="G711" t="str">
        <f>IFERROR(VLOOKUP(Logs_Reseau_Part5[[#This Row],[Cell_ID]],Registre_Maintenance_Part[[ID_Antenne]:[Colonne2]],2,FALSE),"")</f>
        <v/>
      </c>
      <c r="H711" t="str">
        <f>IFERROR(VLOOKUP(Logs_Reseau_Part5[[#This Row],[Cell_ID]],Registre_Maintenance_Part[[ID_Antenne]:[Colonne2]],3,FALSE),"")</f>
        <v/>
      </c>
      <c r="I711" t="str">
        <f>IFERROR(VLOOKUP(Logs_Reseau_Part5[[#This Row],[Cell_ID]],Registre_Maintenance_Part[[ID_Antenne]:[Colonne2]],4,FALSE),"")</f>
        <v/>
      </c>
      <c r="J711" t="str">
        <f>IFERROR(VLOOKUP(Logs_Reseau_Part5[[#This Row],[Cell_ID]],Registre_Maintenance_Part[[ID_Antenne]:[Colonne2]],5,FALSE),"")</f>
        <v/>
      </c>
      <c r="K711" t="str">
        <f>IFERROR(VLOOKUP(Logs_Reseau_Part5[[#This Row],[Cell_ID]],Registre_Maintenance_Part[[ID_Antenne]:[Colonne2]],6,FALSE),"")</f>
        <v/>
      </c>
    </row>
    <row r="712" spans="1:11" x14ac:dyDescent="0.3">
      <c r="A712" t="s">
        <v>1243</v>
      </c>
      <c r="B712" s="1">
        <v>45212.115277777782</v>
      </c>
      <c r="C712" s="2">
        <v>45212.115277777782</v>
      </c>
      <c r="D712" t="s">
        <v>1054</v>
      </c>
      <c r="E712">
        <v>15</v>
      </c>
      <c r="F712" t="s">
        <v>737</v>
      </c>
      <c r="G712" t="str">
        <f>IFERROR(VLOOKUP(Logs_Reseau_Part5[[#This Row],[Cell_ID]],Registre_Maintenance_Part[[ID_Antenne]:[Colonne2]],2,FALSE),"")</f>
        <v/>
      </c>
      <c r="H712" t="str">
        <f>IFERROR(VLOOKUP(Logs_Reseau_Part5[[#This Row],[Cell_ID]],Registre_Maintenance_Part[[ID_Antenne]:[Colonne2]],3,FALSE),"")</f>
        <v/>
      </c>
      <c r="I712" t="str">
        <f>IFERROR(VLOOKUP(Logs_Reseau_Part5[[#This Row],[Cell_ID]],Registre_Maintenance_Part[[ID_Antenne]:[Colonne2]],4,FALSE),"")</f>
        <v/>
      </c>
      <c r="J712" t="str">
        <f>IFERROR(VLOOKUP(Logs_Reseau_Part5[[#This Row],[Cell_ID]],Registre_Maintenance_Part[[ID_Antenne]:[Colonne2]],5,FALSE),"")</f>
        <v/>
      </c>
      <c r="K712" t="str">
        <f>IFERROR(VLOOKUP(Logs_Reseau_Part5[[#This Row],[Cell_ID]],Registre_Maintenance_Part[[ID_Antenne]:[Colonne2]],6,FALSE),"")</f>
        <v/>
      </c>
    </row>
    <row r="713" spans="1:11" x14ac:dyDescent="0.3">
      <c r="A713" t="s">
        <v>1263</v>
      </c>
      <c r="B713" s="1">
        <v>45212.174305555563</v>
      </c>
      <c r="C713" s="2">
        <v>45212.174305555563</v>
      </c>
      <c r="D713" t="s">
        <v>1282</v>
      </c>
      <c r="E713">
        <v>112</v>
      </c>
      <c r="F713" t="s">
        <v>739</v>
      </c>
      <c r="G713" t="str">
        <f>IFERROR(VLOOKUP(Logs_Reseau_Part5[[#This Row],[Cell_ID]],Registre_Maintenance_Part[[ID_Antenne]:[Colonne2]],2,FALSE),"")</f>
        <v/>
      </c>
      <c r="H713" t="str">
        <f>IFERROR(VLOOKUP(Logs_Reseau_Part5[[#This Row],[Cell_ID]],Registre_Maintenance_Part[[ID_Antenne]:[Colonne2]],3,FALSE),"")</f>
        <v/>
      </c>
      <c r="I713" t="str">
        <f>IFERROR(VLOOKUP(Logs_Reseau_Part5[[#This Row],[Cell_ID]],Registre_Maintenance_Part[[ID_Antenne]:[Colonne2]],4,FALSE),"")</f>
        <v/>
      </c>
      <c r="J713" t="str">
        <f>IFERROR(VLOOKUP(Logs_Reseau_Part5[[#This Row],[Cell_ID]],Registre_Maintenance_Part[[ID_Antenne]:[Colonne2]],5,FALSE),"")</f>
        <v/>
      </c>
      <c r="K713" t="str">
        <f>IFERROR(VLOOKUP(Logs_Reseau_Part5[[#This Row],[Cell_ID]],Registre_Maintenance_Part[[ID_Antenne]:[Colonne2]],6,FALSE),"")</f>
        <v/>
      </c>
    </row>
    <row r="714" spans="1:11" x14ac:dyDescent="0.3">
      <c r="A714" t="s">
        <v>1332</v>
      </c>
      <c r="B714" s="1">
        <v>45212.200694444437</v>
      </c>
      <c r="C714" s="2">
        <v>45212.200694444437</v>
      </c>
      <c r="D714" t="s">
        <v>1002</v>
      </c>
      <c r="E714">
        <v>82</v>
      </c>
      <c r="F714" t="s">
        <v>734</v>
      </c>
      <c r="G714" t="str">
        <f>IFERROR(VLOOKUP(Logs_Reseau_Part5[[#This Row],[Cell_ID]],Registre_Maintenance_Part[[ID_Antenne]:[Colonne2]],2,FALSE),"")</f>
        <v/>
      </c>
      <c r="H714" t="str">
        <f>IFERROR(VLOOKUP(Logs_Reseau_Part5[[#This Row],[Cell_ID]],Registre_Maintenance_Part[[ID_Antenne]:[Colonne2]],3,FALSE),"")</f>
        <v/>
      </c>
      <c r="I714" t="str">
        <f>IFERROR(VLOOKUP(Logs_Reseau_Part5[[#This Row],[Cell_ID]],Registre_Maintenance_Part[[ID_Antenne]:[Colonne2]],4,FALSE),"")</f>
        <v/>
      </c>
      <c r="J714" t="str">
        <f>IFERROR(VLOOKUP(Logs_Reseau_Part5[[#This Row],[Cell_ID]],Registre_Maintenance_Part[[ID_Antenne]:[Colonne2]],5,FALSE),"")</f>
        <v/>
      </c>
      <c r="K714" t="str">
        <f>IFERROR(VLOOKUP(Logs_Reseau_Part5[[#This Row],[Cell_ID]],Registre_Maintenance_Part[[ID_Antenne]:[Colonne2]],6,FALSE),"")</f>
        <v/>
      </c>
    </row>
    <row r="715" spans="1:11" x14ac:dyDescent="0.3">
      <c r="A715" t="s">
        <v>1310</v>
      </c>
      <c r="B715" s="1">
        <v>45212.240277777782</v>
      </c>
      <c r="C715" s="2">
        <v>45212.240277777782</v>
      </c>
      <c r="D715" t="s">
        <v>1086</v>
      </c>
      <c r="E715">
        <v>54</v>
      </c>
      <c r="F715" t="s">
        <v>737</v>
      </c>
      <c r="G715" t="str">
        <f>IFERROR(VLOOKUP(Logs_Reseau_Part5[[#This Row],[Cell_ID]],Registre_Maintenance_Part[[ID_Antenne]:[Colonne2]],2,FALSE),"")</f>
        <v/>
      </c>
      <c r="H715" t="str">
        <f>IFERROR(VLOOKUP(Logs_Reseau_Part5[[#This Row],[Cell_ID]],Registre_Maintenance_Part[[ID_Antenne]:[Colonne2]],3,FALSE),"")</f>
        <v/>
      </c>
      <c r="I715" t="str">
        <f>IFERROR(VLOOKUP(Logs_Reseau_Part5[[#This Row],[Cell_ID]],Registre_Maintenance_Part[[ID_Antenne]:[Colonne2]],4,FALSE),"")</f>
        <v/>
      </c>
      <c r="J715" t="str">
        <f>IFERROR(VLOOKUP(Logs_Reseau_Part5[[#This Row],[Cell_ID]],Registre_Maintenance_Part[[ID_Antenne]:[Colonne2]],5,FALSE),"")</f>
        <v/>
      </c>
      <c r="K715" t="str">
        <f>IFERROR(VLOOKUP(Logs_Reseau_Part5[[#This Row],[Cell_ID]],Registre_Maintenance_Part[[ID_Antenne]:[Colonne2]],6,FALSE),"")</f>
        <v/>
      </c>
    </row>
    <row r="716" spans="1:11" x14ac:dyDescent="0.3">
      <c r="A716" t="s">
        <v>1167</v>
      </c>
      <c r="B716" s="1">
        <v>45212.315972222219</v>
      </c>
      <c r="C716" s="2">
        <v>45212.315972222219</v>
      </c>
      <c r="D716" t="s">
        <v>905</v>
      </c>
      <c r="E716">
        <v>112</v>
      </c>
      <c r="F716" t="s">
        <v>734</v>
      </c>
      <c r="G716" t="str">
        <f>IFERROR(VLOOKUP(Logs_Reseau_Part5[[#This Row],[Cell_ID]],Registre_Maintenance_Part[[ID_Antenne]:[Colonne2]],2,FALSE),"")</f>
        <v/>
      </c>
      <c r="H716" t="str">
        <f>IFERROR(VLOOKUP(Logs_Reseau_Part5[[#This Row],[Cell_ID]],Registre_Maintenance_Part[[ID_Antenne]:[Colonne2]],3,FALSE),"")</f>
        <v/>
      </c>
      <c r="I716" t="str">
        <f>IFERROR(VLOOKUP(Logs_Reseau_Part5[[#This Row],[Cell_ID]],Registre_Maintenance_Part[[ID_Antenne]:[Colonne2]],4,FALSE),"")</f>
        <v/>
      </c>
      <c r="J716" t="str">
        <f>IFERROR(VLOOKUP(Logs_Reseau_Part5[[#This Row],[Cell_ID]],Registre_Maintenance_Part[[ID_Antenne]:[Colonne2]],5,FALSE),"")</f>
        <v/>
      </c>
      <c r="K716" t="str">
        <f>IFERROR(VLOOKUP(Logs_Reseau_Part5[[#This Row],[Cell_ID]],Registre_Maintenance_Part[[ID_Antenne]:[Colonne2]],6,FALSE),"")</f>
        <v/>
      </c>
    </row>
    <row r="717" spans="1:11" x14ac:dyDescent="0.3">
      <c r="A717" t="s">
        <v>1195</v>
      </c>
      <c r="B717" s="1">
        <v>45212.417361111111</v>
      </c>
      <c r="C717" s="2">
        <v>45212.417361111111</v>
      </c>
      <c r="D717" t="s">
        <v>1200</v>
      </c>
      <c r="E717">
        <v>55</v>
      </c>
      <c r="F717" t="s">
        <v>737</v>
      </c>
      <c r="G717" t="str">
        <f>IFERROR(VLOOKUP(Logs_Reseau_Part5[[#This Row],[Cell_ID]],Registre_Maintenance_Part[[ID_Antenne]:[Colonne2]],2,FALSE),"")</f>
        <v/>
      </c>
      <c r="H717" t="str">
        <f>IFERROR(VLOOKUP(Logs_Reseau_Part5[[#This Row],[Cell_ID]],Registre_Maintenance_Part[[ID_Antenne]:[Colonne2]],3,FALSE),"")</f>
        <v/>
      </c>
      <c r="I717" t="str">
        <f>IFERROR(VLOOKUP(Logs_Reseau_Part5[[#This Row],[Cell_ID]],Registre_Maintenance_Part[[ID_Antenne]:[Colonne2]],4,FALSE),"")</f>
        <v/>
      </c>
      <c r="J717" t="str">
        <f>IFERROR(VLOOKUP(Logs_Reseau_Part5[[#This Row],[Cell_ID]],Registre_Maintenance_Part[[ID_Antenne]:[Colonne2]],5,FALSE),"")</f>
        <v/>
      </c>
      <c r="K717" t="str">
        <f>IFERROR(VLOOKUP(Logs_Reseau_Part5[[#This Row],[Cell_ID]],Registre_Maintenance_Part[[ID_Antenne]:[Colonne2]],6,FALSE),"")</f>
        <v/>
      </c>
    </row>
    <row r="718" spans="1:11" x14ac:dyDescent="0.3">
      <c r="A718" t="s">
        <v>1363</v>
      </c>
      <c r="B718" s="1">
        <v>45212.48541666667</v>
      </c>
      <c r="C718" s="2">
        <v>45212.48541666667</v>
      </c>
      <c r="D718" t="s">
        <v>1374</v>
      </c>
      <c r="E718">
        <v>75</v>
      </c>
      <c r="F718" t="s">
        <v>734</v>
      </c>
      <c r="G718" t="str">
        <f>IFERROR(VLOOKUP(Logs_Reseau_Part5[[#This Row],[Cell_ID]],Registre_Maintenance_Part[[ID_Antenne]:[Colonne2]],2,FALSE),"")</f>
        <v/>
      </c>
      <c r="H718" t="str">
        <f>IFERROR(VLOOKUP(Logs_Reseau_Part5[[#This Row],[Cell_ID]],Registre_Maintenance_Part[[ID_Antenne]:[Colonne2]],3,FALSE),"")</f>
        <v/>
      </c>
      <c r="I718" t="str">
        <f>IFERROR(VLOOKUP(Logs_Reseau_Part5[[#This Row],[Cell_ID]],Registre_Maintenance_Part[[ID_Antenne]:[Colonne2]],4,FALSE),"")</f>
        <v/>
      </c>
      <c r="J718" t="str">
        <f>IFERROR(VLOOKUP(Logs_Reseau_Part5[[#This Row],[Cell_ID]],Registre_Maintenance_Part[[ID_Antenne]:[Colonne2]],5,FALSE),"")</f>
        <v/>
      </c>
      <c r="K718" t="str">
        <f>IFERROR(VLOOKUP(Logs_Reseau_Part5[[#This Row],[Cell_ID]],Registre_Maintenance_Part[[ID_Antenne]:[Colonne2]],6,FALSE),"")</f>
        <v/>
      </c>
    </row>
    <row r="719" spans="1:11" x14ac:dyDescent="0.3">
      <c r="A719" t="s">
        <v>1221</v>
      </c>
      <c r="B719" s="1">
        <v>45212.617361111108</v>
      </c>
      <c r="C719" s="2">
        <v>45212.617361111108</v>
      </c>
      <c r="D719" t="s">
        <v>1222</v>
      </c>
      <c r="E719">
        <v>28</v>
      </c>
      <c r="F719" t="s">
        <v>734</v>
      </c>
      <c r="G719" t="str">
        <f>IFERROR(VLOOKUP(Logs_Reseau_Part5[[#This Row],[Cell_ID]],Registre_Maintenance_Part[[ID_Antenne]:[Colonne2]],2,FALSE),"")</f>
        <v/>
      </c>
      <c r="H719" t="str">
        <f>IFERROR(VLOOKUP(Logs_Reseau_Part5[[#This Row],[Cell_ID]],Registre_Maintenance_Part[[ID_Antenne]:[Colonne2]],3,FALSE),"")</f>
        <v/>
      </c>
      <c r="I719" t="str">
        <f>IFERROR(VLOOKUP(Logs_Reseau_Part5[[#This Row],[Cell_ID]],Registre_Maintenance_Part[[ID_Antenne]:[Colonne2]],4,FALSE),"")</f>
        <v/>
      </c>
      <c r="J719" t="str">
        <f>IFERROR(VLOOKUP(Logs_Reseau_Part5[[#This Row],[Cell_ID]],Registre_Maintenance_Part[[ID_Antenne]:[Colonne2]],5,FALSE),"")</f>
        <v/>
      </c>
      <c r="K719" t="str">
        <f>IFERROR(VLOOKUP(Logs_Reseau_Part5[[#This Row],[Cell_ID]],Registre_Maintenance_Part[[ID_Antenne]:[Colonne2]],6,FALSE),"")</f>
        <v/>
      </c>
    </row>
    <row r="720" spans="1:11" x14ac:dyDescent="0.3">
      <c r="A720" t="s">
        <v>941</v>
      </c>
      <c r="B720" s="1">
        <v>45212.624305555553</v>
      </c>
      <c r="C720" s="2">
        <v>45212.624305555553</v>
      </c>
      <c r="D720" t="s">
        <v>942</v>
      </c>
      <c r="E720">
        <v>113</v>
      </c>
      <c r="F720" t="s">
        <v>739</v>
      </c>
      <c r="G720" t="str">
        <f>IFERROR(VLOOKUP(Logs_Reseau_Part5[[#This Row],[Cell_ID]],Registre_Maintenance_Part[[ID_Antenne]:[Colonne2]],2,FALSE),"")</f>
        <v/>
      </c>
      <c r="H720" t="str">
        <f>IFERROR(VLOOKUP(Logs_Reseau_Part5[[#This Row],[Cell_ID]],Registre_Maintenance_Part[[ID_Antenne]:[Colonne2]],3,FALSE),"")</f>
        <v/>
      </c>
      <c r="I720" t="str">
        <f>IFERROR(VLOOKUP(Logs_Reseau_Part5[[#This Row],[Cell_ID]],Registre_Maintenance_Part[[ID_Antenne]:[Colonne2]],4,FALSE),"")</f>
        <v/>
      </c>
      <c r="J720" t="str">
        <f>IFERROR(VLOOKUP(Logs_Reseau_Part5[[#This Row],[Cell_ID]],Registre_Maintenance_Part[[ID_Antenne]:[Colonne2]],5,FALSE),"")</f>
        <v/>
      </c>
      <c r="K720" t="str">
        <f>IFERROR(VLOOKUP(Logs_Reseau_Part5[[#This Row],[Cell_ID]],Registre_Maintenance_Part[[ID_Antenne]:[Colonne2]],6,FALSE),"")</f>
        <v/>
      </c>
    </row>
    <row r="721" spans="1:11" x14ac:dyDescent="0.3">
      <c r="A721" t="s">
        <v>1061</v>
      </c>
      <c r="B721" s="1">
        <v>45212.626388888893</v>
      </c>
      <c r="C721" s="2">
        <v>45212.626388888893</v>
      </c>
      <c r="D721" t="s">
        <v>1071</v>
      </c>
      <c r="E721">
        <v>107</v>
      </c>
      <c r="F721" t="s">
        <v>737</v>
      </c>
      <c r="G721" t="str">
        <f>IFERROR(VLOOKUP(Logs_Reseau_Part5[[#This Row],[Cell_ID]],Registre_Maintenance_Part[[ID_Antenne]:[Colonne2]],2,FALSE),"")</f>
        <v/>
      </c>
      <c r="H721" t="str">
        <f>IFERROR(VLOOKUP(Logs_Reseau_Part5[[#This Row],[Cell_ID]],Registre_Maintenance_Part[[ID_Antenne]:[Colonne2]],3,FALSE),"")</f>
        <v/>
      </c>
      <c r="I721" t="str">
        <f>IFERROR(VLOOKUP(Logs_Reseau_Part5[[#This Row],[Cell_ID]],Registre_Maintenance_Part[[ID_Antenne]:[Colonne2]],4,FALSE),"")</f>
        <v/>
      </c>
      <c r="J721" t="str">
        <f>IFERROR(VLOOKUP(Logs_Reseau_Part5[[#This Row],[Cell_ID]],Registre_Maintenance_Part[[ID_Antenne]:[Colonne2]],5,FALSE),"")</f>
        <v/>
      </c>
      <c r="K721" t="str">
        <f>IFERROR(VLOOKUP(Logs_Reseau_Part5[[#This Row],[Cell_ID]],Registre_Maintenance_Part[[ID_Antenne]:[Colonne2]],6,FALSE),"")</f>
        <v/>
      </c>
    </row>
    <row r="722" spans="1:11" x14ac:dyDescent="0.3">
      <c r="A722" t="s">
        <v>1167</v>
      </c>
      <c r="B722" s="1">
        <v>45212.680555555547</v>
      </c>
      <c r="C722" s="2">
        <v>45212.680555555547</v>
      </c>
      <c r="D722" t="s">
        <v>1169</v>
      </c>
      <c r="E722">
        <v>63</v>
      </c>
      <c r="F722" t="s">
        <v>734</v>
      </c>
      <c r="G722" t="str">
        <f>IFERROR(VLOOKUP(Logs_Reseau_Part5[[#This Row],[Cell_ID]],Registre_Maintenance_Part[[ID_Antenne]:[Colonne2]],2,FALSE),"")</f>
        <v/>
      </c>
      <c r="H722" t="str">
        <f>IFERROR(VLOOKUP(Logs_Reseau_Part5[[#This Row],[Cell_ID]],Registre_Maintenance_Part[[ID_Antenne]:[Colonne2]],3,FALSE),"")</f>
        <v/>
      </c>
      <c r="I722" t="str">
        <f>IFERROR(VLOOKUP(Logs_Reseau_Part5[[#This Row],[Cell_ID]],Registre_Maintenance_Part[[ID_Antenne]:[Colonne2]],4,FALSE),"")</f>
        <v/>
      </c>
      <c r="J722" t="str">
        <f>IFERROR(VLOOKUP(Logs_Reseau_Part5[[#This Row],[Cell_ID]],Registre_Maintenance_Part[[ID_Antenne]:[Colonne2]],5,FALSE),"")</f>
        <v/>
      </c>
      <c r="K722" t="str">
        <f>IFERROR(VLOOKUP(Logs_Reseau_Part5[[#This Row],[Cell_ID]],Registre_Maintenance_Part[[ID_Antenne]:[Colonne2]],6,FALSE),"")</f>
        <v/>
      </c>
    </row>
    <row r="723" spans="1:11" x14ac:dyDescent="0.3">
      <c r="A723" t="s">
        <v>1406</v>
      </c>
      <c r="B723" s="1">
        <v>45212.720833333333</v>
      </c>
      <c r="C723" s="2">
        <v>45212.720833333333</v>
      </c>
      <c r="D723" t="s">
        <v>1416</v>
      </c>
      <c r="E723">
        <v>33</v>
      </c>
      <c r="F723" t="s">
        <v>739</v>
      </c>
      <c r="G723" t="str">
        <f>IFERROR(VLOOKUP(Logs_Reseau_Part5[[#This Row],[Cell_ID]],Registre_Maintenance_Part[[ID_Antenne]:[Colonne2]],2,FALSE),"")</f>
        <v/>
      </c>
      <c r="H723" t="str">
        <f>IFERROR(VLOOKUP(Logs_Reseau_Part5[[#This Row],[Cell_ID]],Registre_Maintenance_Part[[ID_Antenne]:[Colonne2]],3,FALSE),"")</f>
        <v/>
      </c>
      <c r="I723" t="str">
        <f>IFERROR(VLOOKUP(Logs_Reseau_Part5[[#This Row],[Cell_ID]],Registre_Maintenance_Part[[ID_Antenne]:[Colonne2]],4,FALSE),"")</f>
        <v/>
      </c>
      <c r="J723" t="str">
        <f>IFERROR(VLOOKUP(Logs_Reseau_Part5[[#This Row],[Cell_ID]],Registre_Maintenance_Part[[ID_Antenne]:[Colonne2]],5,FALSE),"")</f>
        <v/>
      </c>
      <c r="K723" t="str">
        <f>IFERROR(VLOOKUP(Logs_Reseau_Part5[[#This Row],[Cell_ID]],Registre_Maintenance_Part[[ID_Antenne]:[Colonne2]],6,FALSE),"")</f>
        <v/>
      </c>
    </row>
    <row r="724" spans="1:11" x14ac:dyDescent="0.3">
      <c r="A724" t="s">
        <v>1310</v>
      </c>
      <c r="B724" s="1">
        <v>45212.774305555547</v>
      </c>
      <c r="C724" s="2">
        <v>45212.774305555547</v>
      </c>
      <c r="D724" t="s">
        <v>1330</v>
      </c>
      <c r="E724">
        <v>33</v>
      </c>
      <c r="F724" t="s">
        <v>734</v>
      </c>
      <c r="G724" t="str">
        <f>IFERROR(VLOOKUP(Logs_Reseau_Part5[[#This Row],[Cell_ID]],Registre_Maintenance_Part[[ID_Antenne]:[Colonne2]],2,FALSE),"")</f>
        <v/>
      </c>
      <c r="H724" t="str">
        <f>IFERROR(VLOOKUP(Logs_Reseau_Part5[[#This Row],[Cell_ID]],Registre_Maintenance_Part[[ID_Antenne]:[Colonne2]],3,FALSE),"")</f>
        <v/>
      </c>
      <c r="I724" t="str">
        <f>IFERROR(VLOOKUP(Logs_Reseau_Part5[[#This Row],[Cell_ID]],Registre_Maintenance_Part[[ID_Antenne]:[Colonne2]],4,FALSE),"")</f>
        <v/>
      </c>
      <c r="J724" t="str">
        <f>IFERROR(VLOOKUP(Logs_Reseau_Part5[[#This Row],[Cell_ID]],Registre_Maintenance_Part[[ID_Antenne]:[Colonne2]],5,FALSE),"")</f>
        <v/>
      </c>
      <c r="K724" t="str">
        <f>IFERROR(VLOOKUP(Logs_Reseau_Part5[[#This Row],[Cell_ID]],Registre_Maintenance_Part[[ID_Antenne]:[Colonne2]],6,FALSE),"")</f>
        <v/>
      </c>
    </row>
    <row r="725" spans="1:11" x14ac:dyDescent="0.3">
      <c r="A725" t="s">
        <v>1406</v>
      </c>
      <c r="B725" s="1">
        <v>45212.879861111112</v>
      </c>
      <c r="C725" s="2">
        <v>45212.879861111112</v>
      </c>
      <c r="D725" t="s">
        <v>1085</v>
      </c>
      <c r="E725">
        <v>99</v>
      </c>
      <c r="F725" t="s">
        <v>734</v>
      </c>
      <c r="G725" t="str">
        <f>IFERROR(VLOOKUP(Logs_Reseau_Part5[[#This Row],[Cell_ID]],Registre_Maintenance_Part[[ID_Antenne]:[Colonne2]],2,FALSE),"")</f>
        <v/>
      </c>
      <c r="H725" t="str">
        <f>IFERROR(VLOOKUP(Logs_Reseau_Part5[[#This Row],[Cell_ID]],Registre_Maintenance_Part[[ID_Antenne]:[Colonne2]],3,FALSE),"")</f>
        <v/>
      </c>
      <c r="I725" t="str">
        <f>IFERROR(VLOOKUP(Logs_Reseau_Part5[[#This Row],[Cell_ID]],Registre_Maintenance_Part[[ID_Antenne]:[Colonne2]],4,FALSE),"")</f>
        <v/>
      </c>
      <c r="J725" t="str">
        <f>IFERROR(VLOOKUP(Logs_Reseau_Part5[[#This Row],[Cell_ID]],Registre_Maintenance_Part[[ID_Antenne]:[Colonne2]],5,FALSE),"")</f>
        <v/>
      </c>
      <c r="K725" t="str">
        <f>IFERROR(VLOOKUP(Logs_Reseau_Part5[[#This Row],[Cell_ID]],Registre_Maintenance_Part[[ID_Antenne]:[Colonne2]],6,FALSE),"")</f>
        <v/>
      </c>
    </row>
    <row r="726" spans="1:11" x14ac:dyDescent="0.3">
      <c r="A726" t="s">
        <v>825</v>
      </c>
      <c r="B726" s="1">
        <v>45212.929166666669</v>
      </c>
      <c r="C726" s="2">
        <v>45212.929166666669</v>
      </c>
      <c r="D726" t="s">
        <v>844</v>
      </c>
      <c r="E726">
        <v>118</v>
      </c>
      <c r="F726" t="s">
        <v>739</v>
      </c>
      <c r="G726" t="str">
        <f>IFERROR(VLOOKUP(Logs_Reseau_Part5[[#This Row],[Cell_ID]],Registre_Maintenance_Part[[ID_Antenne]:[Colonne2]],2,FALSE),"")</f>
        <v/>
      </c>
      <c r="H726" t="str">
        <f>IFERROR(VLOOKUP(Logs_Reseau_Part5[[#This Row],[Cell_ID]],Registre_Maintenance_Part[[ID_Antenne]:[Colonne2]],3,FALSE),"")</f>
        <v/>
      </c>
      <c r="I726" t="str">
        <f>IFERROR(VLOOKUP(Logs_Reseau_Part5[[#This Row],[Cell_ID]],Registre_Maintenance_Part[[ID_Antenne]:[Colonne2]],4,FALSE),"")</f>
        <v/>
      </c>
      <c r="J726" t="str">
        <f>IFERROR(VLOOKUP(Logs_Reseau_Part5[[#This Row],[Cell_ID]],Registre_Maintenance_Part[[ID_Antenne]:[Colonne2]],5,FALSE),"")</f>
        <v/>
      </c>
      <c r="K726" t="str">
        <f>IFERROR(VLOOKUP(Logs_Reseau_Part5[[#This Row],[Cell_ID]],Registre_Maintenance_Part[[ID_Antenne]:[Colonne2]],6,FALSE),"")</f>
        <v/>
      </c>
    </row>
    <row r="727" spans="1:11" x14ac:dyDescent="0.3">
      <c r="A727" t="s">
        <v>1061</v>
      </c>
      <c r="B727" s="1">
        <v>45213.027083333327</v>
      </c>
      <c r="C727" s="2">
        <v>45213.027083333327</v>
      </c>
      <c r="D727" t="s">
        <v>1067</v>
      </c>
      <c r="E727">
        <v>68</v>
      </c>
      <c r="F727" t="s">
        <v>739</v>
      </c>
      <c r="G727" t="str">
        <f>IFERROR(VLOOKUP(Logs_Reseau_Part5[[#This Row],[Cell_ID]],Registre_Maintenance_Part[[ID_Antenne]:[Colonne2]],2,FALSE),"")</f>
        <v/>
      </c>
      <c r="H727" t="str">
        <f>IFERROR(VLOOKUP(Logs_Reseau_Part5[[#This Row],[Cell_ID]],Registre_Maintenance_Part[[ID_Antenne]:[Colonne2]],3,FALSE),"")</f>
        <v/>
      </c>
      <c r="I727" t="str">
        <f>IFERROR(VLOOKUP(Logs_Reseau_Part5[[#This Row],[Cell_ID]],Registre_Maintenance_Part[[ID_Antenne]:[Colonne2]],4,FALSE),"")</f>
        <v/>
      </c>
      <c r="J727" t="str">
        <f>IFERROR(VLOOKUP(Logs_Reseau_Part5[[#This Row],[Cell_ID]],Registre_Maintenance_Part[[ID_Antenne]:[Colonne2]],5,FALSE),"")</f>
        <v/>
      </c>
      <c r="K727" t="str">
        <f>IFERROR(VLOOKUP(Logs_Reseau_Part5[[#This Row],[Cell_ID]],Registre_Maintenance_Part[[ID_Antenne]:[Colonne2]],6,FALSE),"")</f>
        <v/>
      </c>
    </row>
    <row r="728" spans="1:11" x14ac:dyDescent="0.3">
      <c r="A728" t="s">
        <v>825</v>
      </c>
      <c r="B728" s="1">
        <v>45213.112500000003</v>
      </c>
      <c r="C728" s="2">
        <v>45213.112500000003</v>
      </c>
      <c r="D728" t="s">
        <v>838</v>
      </c>
      <c r="E728">
        <v>93</v>
      </c>
      <c r="F728" t="s">
        <v>734</v>
      </c>
      <c r="G728" t="str">
        <f>IFERROR(VLOOKUP(Logs_Reseau_Part5[[#This Row],[Cell_ID]],Registre_Maintenance_Part[[ID_Antenne]:[Colonne2]],2,FALSE),"")</f>
        <v/>
      </c>
      <c r="H728" t="str">
        <f>IFERROR(VLOOKUP(Logs_Reseau_Part5[[#This Row],[Cell_ID]],Registre_Maintenance_Part[[ID_Antenne]:[Colonne2]],3,FALSE),"")</f>
        <v/>
      </c>
      <c r="I728" t="str">
        <f>IFERROR(VLOOKUP(Logs_Reseau_Part5[[#This Row],[Cell_ID]],Registre_Maintenance_Part[[ID_Antenne]:[Colonne2]],4,FALSE),"")</f>
        <v/>
      </c>
      <c r="J728" t="str">
        <f>IFERROR(VLOOKUP(Logs_Reseau_Part5[[#This Row],[Cell_ID]],Registre_Maintenance_Part[[ID_Antenne]:[Colonne2]],5,FALSE),"")</f>
        <v/>
      </c>
      <c r="K728" t="str">
        <f>IFERROR(VLOOKUP(Logs_Reseau_Part5[[#This Row],[Cell_ID]],Registre_Maintenance_Part[[ID_Antenne]:[Colonne2]],6,FALSE),"")</f>
        <v/>
      </c>
    </row>
    <row r="729" spans="1:11" x14ac:dyDescent="0.3">
      <c r="A729" t="s">
        <v>1061</v>
      </c>
      <c r="B729" s="1">
        <v>45213.237500000003</v>
      </c>
      <c r="C729" s="2">
        <v>45213.237500000003</v>
      </c>
      <c r="D729" t="s">
        <v>858</v>
      </c>
      <c r="E729">
        <v>68</v>
      </c>
      <c r="F729" t="s">
        <v>739</v>
      </c>
      <c r="G729" t="str">
        <f>IFERROR(VLOOKUP(Logs_Reseau_Part5[[#This Row],[Cell_ID]],Registre_Maintenance_Part[[ID_Antenne]:[Colonne2]],2,FALSE),"")</f>
        <v/>
      </c>
      <c r="H729" t="str">
        <f>IFERROR(VLOOKUP(Logs_Reseau_Part5[[#This Row],[Cell_ID]],Registre_Maintenance_Part[[ID_Antenne]:[Colonne2]],3,FALSE),"")</f>
        <v/>
      </c>
      <c r="I729" t="str">
        <f>IFERROR(VLOOKUP(Logs_Reseau_Part5[[#This Row],[Cell_ID]],Registre_Maintenance_Part[[ID_Antenne]:[Colonne2]],4,FALSE),"")</f>
        <v/>
      </c>
      <c r="J729" t="str">
        <f>IFERROR(VLOOKUP(Logs_Reseau_Part5[[#This Row],[Cell_ID]],Registre_Maintenance_Part[[ID_Antenne]:[Colonne2]],5,FALSE),"")</f>
        <v/>
      </c>
      <c r="K729" t="str">
        <f>IFERROR(VLOOKUP(Logs_Reseau_Part5[[#This Row],[Cell_ID]],Registre_Maintenance_Part[[ID_Antenne]:[Colonne2]],6,FALSE),"")</f>
        <v/>
      </c>
    </row>
    <row r="730" spans="1:11" x14ac:dyDescent="0.3">
      <c r="A730" t="s">
        <v>781</v>
      </c>
      <c r="B730" s="1">
        <v>45213.254166666673</v>
      </c>
      <c r="C730" s="2">
        <v>45213.254166666673</v>
      </c>
      <c r="D730" t="s">
        <v>784</v>
      </c>
      <c r="E730">
        <v>73</v>
      </c>
      <c r="F730" t="s">
        <v>739</v>
      </c>
      <c r="G730" t="str">
        <f>IFERROR(VLOOKUP(Logs_Reseau_Part5[[#This Row],[Cell_ID]],Registre_Maintenance_Part[[ID_Antenne]:[Colonne2]],2,FALSE),"")</f>
        <v/>
      </c>
      <c r="H730" t="str">
        <f>IFERROR(VLOOKUP(Logs_Reseau_Part5[[#This Row],[Cell_ID]],Registre_Maintenance_Part[[ID_Antenne]:[Colonne2]],3,FALSE),"")</f>
        <v/>
      </c>
      <c r="I730" t="str">
        <f>IFERROR(VLOOKUP(Logs_Reseau_Part5[[#This Row],[Cell_ID]],Registre_Maintenance_Part[[ID_Antenne]:[Colonne2]],4,FALSE),"")</f>
        <v/>
      </c>
      <c r="J730" t="str">
        <f>IFERROR(VLOOKUP(Logs_Reseau_Part5[[#This Row],[Cell_ID]],Registre_Maintenance_Part[[ID_Antenne]:[Colonne2]],5,FALSE),"")</f>
        <v/>
      </c>
      <c r="K730" t="str">
        <f>IFERROR(VLOOKUP(Logs_Reseau_Part5[[#This Row],[Cell_ID]],Registre_Maintenance_Part[[ID_Antenne]:[Colonne2]],6,FALSE),"")</f>
        <v/>
      </c>
    </row>
    <row r="731" spans="1:11" x14ac:dyDescent="0.3">
      <c r="A731" t="s">
        <v>1195</v>
      </c>
      <c r="B731" s="1">
        <v>45213.328472222223</v>
      </c>
      <c r="C731" s="2">
        <v>45213.328472222223</v>
      </c>
      <c r="D731" t="s">
        <v>1199</v>
      </c>
      <c r="E731">
        <v>22</v>
      </c>
      <c r="F731" t="s">
        <v>739</v>
      </c>
      <c r="G731" t="str">
        <f>IFERROR(VLOOKUP(Logs_Reseau_Part5[[#This Row],[Cell_ID]],Registre_Maintenance_Part[[ID_Antenne]:[Colonne2]],2,FALSE),"")</f>
        <v/>
      </c>
      <c r="H731" t="str">
        <f>IFERROR(VLOOKUP(Logs_Reseau_Part5[[#This Row],[Cell_ID]],Registre_Maintenance_Part[[ID_Antenne]:[Colonne2]],3,FALSE),"")</f>
        <v/>
      </c>
      <c r="I731" t="str">
        <f>IFERROR(VLOOKUP(Logs_Reseau_Part5[[#This Row],[Cell_ID]],Registre_Maintenance_Part[[ID_Antenne]:[Colonne2]],4,FALSE),"")</f>
        <v/>
      </c>
      <c r="J731" t="str">
        <f>IFERROR(VLOOKUP(Logs_Reseau_Part5[[#This Row],[Cell_ID]],Registre_Maintenance_Part[[ID_Antenne]:[Colonne2]],5,FALSE),"")</f>
        <v/>
      </c>
      <c r="K731" t="str">
        <f>IFERROR(VLOOKUP(Logs_Reseau_Part5[[#This Row],[Cell_ID]],Registre_Maintenance_Part[[ID_Antenne]:[Colonne2]],6,FALSE),"")</f>
        <v/>
      </c>
    </row>
    <row r="732" spans="1:11" x14ac:dyDescent="0.3">
      <c r="A732" t="s">
        <v>980</v>
      </c>
      <c r="B732" s="1">
        <v>45213.334722222222</v>
      </c>
      <c r="C732" s="2">
        <v>45213.334722222222</v>
      </c>
      <c r="D732" t="s">
        <v>986</v>
      </c>
      <c r="E732">
        <v>62</v>
      </c>
      <c r="F732" t="s">
        <v>734</v>
      </c>
      <c r="G732" t="str">
        <f>IFERROR(VLOOKUP(Logs_Reseau_Part5[[#This Row],[Cell_ID]],Registre_Maintenance_Part[[ID_Antenne]:[Colonne2]],2,FALSE),"")</f>
        <v/>
      </c>
      <c r="H732" t="str">
        <f>IFERROR(VLOOKUP(Logs_Reseau_Part5[[#This Row],[Cell_ID]],Registre_Maintenance_Part[[ID_Antenne]:[Colonne2]],3,FALSE),"")</f>
        <v/>
      </c>
      <c r="I732" t="str">
        <f>IFERROR(VLOOKUP(Logs_Reseau_Part5[[#This Row],[Cell_ID]],Registre_Maintenance_Part[[ID_Antenne]:[Colonne2]],4,FALSE),"")</f>
        <v/>
      </c>
      <c r="J732" t="str">
        <f>IFERROR(VLOOKUP(Logs_Reseau_Part5[[#This Row],[Cell_ID]],Registre_Maintenance_Part[[ID_Antenne]:[Colonne2]],5,FALSE),"")</f>
        <v/>
      </c>
      <c r="K732" t="str">
        <f>IFERROR(VLOOKUP(Logs_Reseau_Part5[[#This Row],[Cell_ID]],Registre_Maintenance_Part[[ID_Antenne]:[Colonne2]],6,FALSE),"")</f>
        <v/>
      </c>
    </row>
    <row r="733" spans="1:11" x14ac:dyDescent="0.3">
      <c r="A733" t="s">
        <v>1406</v>
      </c>
      <c r="B733" s="1">
        <v>45213.417361111111</v>
      </c>
      <c r="C733" s="2">
        <v>45213.417361111111</v>
      </c>
      <c r="D733" t="s">
        <v>1072</v>
      </c>
      <c r="E733">
        <v>100</v>
      </c>
      <c r="F733" t="s">
        <v>734</v>
      </c>
      <c r="G733" t="str">
        <f>IFERROR(VLOOKUP(Logs_Reseau_Part5[[#This Row],[Cell_ID]],Registre_Maintenance_Part[[ID_Antenne]:[Colonne2]],2,FALSE),"")</f>
        <v/>
      </c>
      <c r="H733" t="str">
        <f>IFERROR(VLOOKUP(Logs_Reseau_Part5[[#This Row],[Cell_ID]],Registre_Maintenance_Part[[ID_Antenne]:[Colonne2]],3,FALSE),"")</f>
        <v/>
      </c>
      <c r="I733" t="str">
        <f>IFERROR(VLOOKUP(Logs_Reseau_Part5[[#This Row],[Cell_ID]],Registre_Maintenance_Part[[ID_Antenne]:[Colonne2]],4,FALSE),"")</f>
        <v/>
      </c>
      <c r="J733" t="str">
        <f>IFERROR(VLOOKUP(Logs_Reseau_Part5[[#This Row],[Cell_ID]],Registre_Maintenance_Part[[ID_Antenne]:[Colonne2]],5,FALSE),"")</f>
        <v/>
      </c>
      <c r="K733" t="str">
        <f>IFERROR(VLOOKUP(Logs_Reseau_Part5[[#This Row],[Cell_ID]],Registre_Maintenance_Part[[ID_Antenne]:[Colonne2]],6,FALSE),"")</f>
        <v/>
      </c>
    </row>
    <row r="734" spans="1:11" x14ac:dyDescent="0.3">
      <c r="A734" t="s">
        <v>732</v>
      </c>
      <c r="B734" s="1">
        <v>45213.428472222222</v>
      </c>
      <c r="C734" s="2">
        <v>45213.428472222222</v>
      </c>
      <c r="D734" t="s">
        <v>750</v>
      </c>
      <c r="E734">
        <v>101</v>
      </c>
      <c r="F734" t="s">
        <v>737</v>
      </c>
      <c r="G734" t="str">
        <f>IFERROR(VLOOKUP(Logs_Reseau_Part5[[#This Row],[Cell_ID]],Registre_Maintenance_Part[[ID_Antenne]:[Colonne2]],2,FALSE),"")</f>
        <v/>
      </c>
      <c r="H734" t="str">
        <f>IFERROR(VLOOKUP(Logs_Reseau_Part5[[#This Row],[Cell_ID]],Registre_Maintenance_Part[[ID_Antenne]:[Colonne2]],3,FALSE),"")</f>
        <v/>
      </c>
      <c r="I734" t="str">
        <f>IFERROR(VLOOKUP(Logs_Reseau_Part5[[#This Row],[Cell_ID]],Registre_Maintenance_Part[[ID_Antenne]:[Colonne2]],4,FALSE),"")</f>
        <v/>
      </c>
      <c r="J734" t="str">
        <f>IFERROR(VLOOKUP(Logs_Reseau_Part5[[#This Row],[Cell_ID]],Registre_Maintenance_Part[[ID_Antenne]:[Colonne2]],5,FALSE),"")</f>
        <v/>
      </c>
      <c r="K734" t="str">
        <f>IFERROR(VLOOKUP(Logs_Reseau_Part5[[#This Row],[Cell_ID]],Registre_Maintenance_Part[[ID_Antenne]:[Colonne2]],6,FALSE),"")</f>
        <v/>
      </c>
    </row>
    <row r="735" spans="1:11" x14ac:dyDescent="0.3">
      <c r="A735" t="s">
        <v>1026</v>
      </c>
      <c r="B735" s="1">
        <v>45213.446527777778</v>
      </c>
      <c r="C735" s="2">
        <v>45213.446527777778</v>
      </c>
      <c r="D735" t="s">
        <v>1041</v>
      </c>
      <c r="E735">
        <v>111</v>
      </c>
      <c r="F735" t="s">
        <v>734</v>
      </c>
      <c r="G735" t="str">
        <f>IFERROR(VLOOKUP(Logs_Reseau_Part5[[#This Row],[Cell_ID]],Registre_Maintenance_Part[[ID_Antenne]:[Colonne2]],2,FALSE),"")</f>
        <v/>
      </c>
      <c r="H735" t="str">
        <f>IFERROR(VLOOKUP(Logs_Reseau_Part5[[#This Row],[Cell_ID]],Registre_Maintenance_Part[[ID_Antenne]:[Colonne2]],3,FALSE),"")</f>
        <v/>
      </c>
      <c r="I735" t="str">
        <f>IFERROR(VLOOKUP(Logs_Reseau_Part5[[#This Row],[Cell_ID]],Registre_Maintenance_Part[[ID_Antenne]:[Colonne2]],4,FALSE),"")</f>
        <v/>
      </c>
      <c r="J735" t="str">
        <f>IFERROR(VLOOKUP(Logs_Reseau_Part5[[#This Row],[Cell_ID]],Registre_Maintenance_Part[[ID_Antenne]:[Colonne2]],5,FALSE),"")</f>
        <v/>
      </c>
      <c r="K735" t="str">
        <f>IFERROR(VLOOKUP(Logs_Reseau_Part5[[#This Row],[Cell_ID]],Registre_Maintenance_Part[[ID_Antenne]:[Colonne2]],6,FALSE),"")</f>
        <v/>
      </c>
    </row>
    <row r="736" spans="1:11" x14ac:dyDescent="0.3">
      <c r="A736" t="s">
        <v>1088</v>
      </c>
      <c r="B736" s="1">
        <v>45213.577777777777</v>
      </c>
      <c r="C736" s="2">
        <v>45213.577777777777</v>
      </c>
      <c r="D736" t="s">
        <v>1100</v>
      </c>
      <c r="E736">
        <v>93</v>
      </c>
      <c r="F736" t="s">
        <v>737</v>
      </c>
      <c r="G736" t="str">
        <f>IFERROR(VLOOKUP(Logs_Reseau_Part5[[#This Row],[Cell_ID]],Registre_Maintenance_Part[[ID_Antenne]:[Colonne2]],2,FALSE),"")</f>
        <v/>
      </c>
      <c r="H736" t="str">
        <f>IFERROR(VLOOKUP(Logs_Reseau_Part5[[#This Row],[Cell_ID]],Registre_Maintenance_Part[[ID_Antenne]:[Colonne2]],3,FALSE),"")</f>
        <v/>
      </c>
      <c r="I736" t="str">
        <f>IFERROR(VLOOKUP(Logs_Reseau_Part5[[#This Row],[Cell_ID]],Registre_Maintenance_Part[[ID_Antenne]:[Colonne2]],4,FALSE),"")</f>
        <v/>
      </c>
      <c r="J736" t="str">
        <f>IFERROR(VLOOKUP(Logs_Reseau_Part5[[#This Row],[Cell_ID]],Registre_Maintenance_Part[[ID_Antenne]:[Colonne2]],5,FALSE),"")</f>
        <v/>
      </c>
      <c r="K736" t="str">
        <f>IFERROR(VLOOKUP(Logs_Reseau_Part5[[#This Row],[Cell_ID]],Registre_Maintenance_Part[[ID_Antenne]:[Colonne2]],6,FALSE),"")</f>
        <v/>
      </c>
    </row>
    <row r="737" spans="1:11" x14ac:dyDescent="0.3">
      <c r="A737" t="s">
        <v>1363</v>
      </c>
      <c r="B737" s="1">
        <v>45213.584722222222</v>
      </c>
      <c r="C737" s="2">
        <v>45213.584722222222</v>
      </c>
      <c r="D737" t="s">
        <v>1378</v>
      </c>
      <c r="E737">
        <v>35</v>
      </c>
      <c r="F737" t="s">
        <v>737</v>
      </c>
      <c r="G737" t="str">
        <f>IFERROR(VLOOKUP(Logs_Reseau_Part5[[#This Row],[Cell_ID]],Registre_Maintenance_Part[[ID_Antenne]:[Colonne2]],2,FALSE),"")</f>
        <v/>
      </c>
      <c r="H737" t="str">
        <f>IFERROR(VLOOKUP(Logs_Reseau_Part5[[#This Row],[Cell_ID]],Registre_Maintenance_Part[[ID_Antenne]:[Colonne2]],3,FALSE),"")</f>
        <v/>
      </c>
      <c r="I737" t="str">
        <f>IFERROR(VLOOKUP(Logs_Reseau_Part5[[#This Row],[Cell_ID]],Registre_Maintenance_Part[[ID_Antenne]:[Colonne2]],4,FALSE),"")</f>
        <v/>
      </c>
      <c r="J737" t="str">
        <f>IFERROR(VLOOKUP(Logs_Reseau_Part5[[#This Row],[Cell_ID]],Registre_Maintenance_Part[[ID_Antenne]:[Colonne2]],5,FALSE),"")</f>
        <v/>
      </c>
      <c r="K737" t="str">
        <f>IFERROR(VLOOKUP(Logs_Reseau_Part5[[#This Row],[Cell_ID]],Registre_Maintenance_Part[[ID_Antenne]:[Colonne2]],6,FALSE),"")</f>
        <v/>
      </c>
    </row>
    <row r="738" spans="1:11" x14ac:dyDescent="0.3">
      <c r="A738" t="s">
        <v>1221</v>
      </c>
      <c r="B738" s="1">
        <v>45213.593055555553</v>
      </c>
      <c r="C738" s="2">
        <v>45213.593055555553</v>
      </c>
      <c r="D738" t="s">
        <v>1155</v>
      </c>
      <c r="E738">
        <v>50</v>
      </c>
      <c r="F738" t="s">
        <v>739</v>
      </c>
      <c r="G738" t="str">
        <f>IFERROR(VLOOKUP(Logs_Reseau_Part5[[#This Row],[Cell_ID]],Registre_Maintenance_Part[[ID_Antenne]:[Colonne2]],2,FALSE),"")</f>
        <v/>
      </c>
      <c r="H738" t="str">
        <f>IFERROR(VLOOKUP(Logs_Reseau_Part5[[#This Row],[Cell_ID]],Registre_Maintenance_Part[[ID_Antenne]:[Colonne2]],3,FALSE),"")</f>
        <v/>
      </c>
      <c r="I738" t="str">
        <f>IFERROR(VLOOKUP(Logs_Reseau_Part5[[#This Row],[Cell_ID]],Registre_Maintenance_Part[[ID_Antenne]:[Colonne2]],4,FALSE),"")</f>
        <v/>
      </c>
      <c r="J738" t="str">
        <f>IFERROR(VLOOKUP(Logs_Reseau_Part5[[#This Row],[Cell_ID]],Registre_Maintenance_Part[[ID_Antenne]:[Colonne2]],5,FALSE),"")</f>
        <v/>
      </c>
      <c r="K738" t="str">
        <f>IFERROR(VLOOKUP(Logs_Reseau_Part5[[#This Row],[Cell_ID]],Registre_Maintenance_Part[[ID_Antenne]:[Colonne2]],6,FALSE),"")</f>
        <v/>
      </c>
    </row>
    <row r="739" spans="1:11" x14ac:dyDescent="0.3">
      <c r="A739" t="s">
        <v>1001</v>
      </c>
      <c r="B739" s="1">
        <v>45213.597916666673</v>
      </c>
      <c r="C739" s="2">
        <v>45213.597916666673</v>
      </c>
      <c r="D739" t="s">
        <v>1015</v>
      </c>
      <c r="E739">
        <v>108</v>
      </c>
      <c r="F739" t="s">
        <v>737</v>
      </c>
      <c r="G739" t="str">
        <f>IFERROR(VLOOKUP(Logs_Reseau_Part5[[#This Row],[Cell_ID]],Registre_Maintenance_Part[[ID_Antenne]:[Colonne2]],2,FALSE),"")</f>
        <v/>
      </c>
      <c r="H739" t="str">
        <f>IFERROR(VLOOKUP(Logs_Reseau_Part5[[#This Row],[Cell_ID]],Registre_Maintenance_Part[[ID_Antenne]:[Colonne2]],3,FALSE),"")</f>
        <v/>
      </c>
      <c r="I739" t="str">
        <f>IFERROR(VLOOKUP(Logs_Reseau_Part5[[#This Row],[Cell_ID]],Registre_Maintenance_Part[[ID_Antenne]:[Colonne2]],4,FALSE),"")</f>
        <v/>
      </c>
      <c r="J739" t="str">
        <f>IFERROR(VLOOKUP(Logs_Reseau_Part5[[#This Row],[Cell_ID]],Registre_Maintenance_Part[[ID_Antenne]:[Colonne2]],5,FALSE),"")</f>
        <v/>
      </c>
      <c r="K739" t="str">
        <f>IFERROR(VLOOKUP(Logs_Reseau_Part5[[#This Row],[Cell_ID]],Registre_Maintenance_Part[[ID_Antenne]:[Colonne2]],6,FALSE),"")</f>
        <v/>
      </c>
    </row>
    <row r="740" spans="1:11" x14ac:dyDescent="0.3">
      <c r="A740" t="s">
        <v>1195</v>
      </c>
      <c r="B740" s="1">
        <v>45213.607638888891</v>
      </c>
      <c r="C740" s="2">
        <v>45213.607638888891</v>
      </c>
      <c r="D740" t="s">
        <v>1211</v>
      </c>
      <c r="E740">
        <v>22</v>
      </c>
      <c r="F740" t="s">
        <v>734</v>
      </c>
      <c r="G740" t="str">
        <f>IFERROR(VLOOKUP(Logs_Reseau_Part5[[#This Row],[Cell_ID]],Registre_Maintenance_Part[[ID_Antenne]:[Colonne2]],2,FALSE),"")</f>
        <v/>
      </c>
      <c r="H740" t="str">
        <f>IFERROR(VLOOKUP(Logs_Reseau_Part5[[#This Row],[Cell_ID]],Registre_Maintenance_Part[[ID_Antenne]:[Colonne2]],3,FALSE),"")</f>
        <v/>
      </c>
      <c r="I740" t="str">
        <f>IFERROR(VLOOKUP(Logs_Reseau_Part5[[#This Row],[Cell_ID]],Registre_Maintenance_Part[[ID_Antenne]:[Colonne2]],4,FALSE),"")</f>
        <v/>
      </c>
      <c r="J740" t="str">
        <f>IFERROR(VLOOKUP(Logs_Reseau_Part5[[#This Row],[Cell_ID]],Registre_Maintenance_Part[[ID_Antenne]:[Colonne2]],5,FALSE),"")</f>
        <v/>
      </c>
      <c r="K740" t="str">
        <f>IFERROR(VLOOKUP(Logs_Reseau_Part5[[#This Row],[Cell_ID]],Registre_Maintenance_Part[[ID_Antenne]:[Colonne2]],6,FALSE),"")</f>
        <v/>
      </c>
    </row>
    <row r="741" spans="1:11" x14ac:dyDescent="0.3">
      <c r="A741" t="s">
        <v>1363</v>
      </c>
      <c r="B741" s="1">
        <v>45213.770833333343</v>
      </c>
      <c r="C741" s="2">
        <v>45213.770833333343</v>
      </c>
      <c r="D741" t="s">
        <v>1371</v>
      </c>
      <c r="E741">
        <v>11</v>
      </c>
      <c r="F741" t="s">
        <v>739</v>
      </c>
      <c r="G741" t="str">
        <f>IFERROR(VLOOKUP(Logs_Reseau_Part5[[#This Row],[Cell_ID]],Registre_Maintenance_Part[[ID_Antenne]:[Colonne2]],2,FALSE),"")</f>
        <v/>
      </c>
      <c r="H741" t="str">
        <f>IFERROR(VLOOKUP(Logs_Reseau_Part5[[#This Row],[Cell_ID]],Registre_Maintenance_Part[[ID_Antenne]:[Colonne2]],3,FALSE),"")</f>
        <v/>
      </c>
      <c r="I741" t="str">
        <f>IFERROR(VLOOKUP(Logs_Reseau_Part5[[#This Row],[Cell_ID]],Registre_Maintenance_Part[[ID_Antenne]:[Colonne2]],4,FALSE),"")</f>
        <v/>
      </c>
      <c r="J741" t="str">
        <f>IFERROR(VLOOKUP(Logs_Reseau_Part5[[#This Row],[Cell_ID]],Registre_Maintenance_Part[[ID_Antenne]:[Colonne2]],5,FALSE),"")</f>
        <v/>
      </c>
      <c r="K741" t="str">
        <f>IFERROR(VLOOKUP(Logs_Reseau_Part5[[#This Row],[Cell_ID]],Registre_Maintenance_Part[[ID_Antenne]:[Colonne2]],6,FALSE),"")</f>
        <v/>
      </c>
    </row>
    <row r="742" spans="1:11" x14ac:dyDescent="0.3">
      <c r="A742" t="s">
        <v>1384</v>
      </c>
      <c r="B742" s="1">
        <v>45213.822222222218</v>
      </c>
      <c r="C742" s="2">
        <v>45213.822222222218</v>
      </c>
      <c r="D742" t="s">
        <v>1392</v>
      </c>
      <c r="E742">
        <v>100</v>
      </c>
      <c r="F742" t="s">
        <v>737</v>
      </c>
      <c r="G742" t="str">
        <f>IFERROR(VLOOKUP(Logs_Reseau_Part5[[#This Row],[Cell_ID]],Registre_Maintenance_Part[[ID_Antenne]:[Colonne2]],2,FALSE),"")</f>
        <v/>
      </c>
      <c r="H742" t="str">
        <f>IFERROR(VLOOKUP(Logs_Reseau_Part5[[#This Row],[Cell_ID]],Registre_Maintenance_Part[[ID_Antenne]:[Colonne2]],3,FALSE),"")</f>
        <v/>
      </c>
      <c r="I742" t="str">
        <f>IFERROR(VLOOKUP(Logs_Reseau_Part5[[#This Row],[Cell_ID]],Registre_Maintenance_Part[[ID_Antenne]:[Colonne2]],4,FALSE),"")</f>
        <v/>
      </c>
      <c r="J742" t="str">
        <f>IFERROR(VLOOKUP(Logs_Reseau_Part5[[#This Row],[Cell_ID]],Registre_Maintenance_Part[[ID_Antenne]:[Colonne2]],5,FALSE),"")</f>
        <v/>
      </c>
      <c r="K742" t="str">
        <f>IFERROR(VLOOKUP(Logs_Reseau_Part5[[#This Row],[Cell_ID]],Registre_Maintenance_Part[[ID_Antenne]:[Colonne2]],6,FALSE),"")</f>
        <v/>
      </c>
    </row>
    <row r="743" spans="1:11" x14ac:dyDescent="0.3">
      <c r="A743" t="s">
        <v>825</v>
      </c>
      <c r="B743" s="1">
        <v>45213.89166666667</v>
      </c>
      <c r="C743" s="2">
        <v>45213.89166666667</v>
      </c>
      <c r="D743" t="s">
        <v>846</v>
      </c>
      <c r="E743">
        <v>104</v>
      </c>
      <c r="F743" t="s">
        <v>734</v>
      </c>
      <c r="G743" t="str">
        <f>IFERROR(VLOOKUP(Logs_Reseau_Part5[[#This Row],[Cell_ID]],Registre_Maintenance_Part[[ID_Antenne]:[Colonne2]],2,FALSE),"")</f>
        <v/>
      </c>
      <c r="H743" t="str">
        <f>IFERROR(VLOOKUP(Logs_Reseau_Part5[[#This Row],[Cell_ID]],Registre_Maintenance_Part[[ID_Antenne]:[Colonne2]],3,FALSE),"")</f>
        <v/>
      </c>
      <c r="I743" t="str">
        <f>IFERROR(VLOOKUP(Logs_Reseau_Part5[[#This Row],[Cell_ID]],Registre_Maintenance_Part[[ID_Antenne]:[Colonne2]],4,FALSE),"")</f>
        <v/>
      </c>
      <c r="J743" t="str">
        <f>IFERROR(VLOOKUP(Logs_Reseau_Part5[[#This Row],[Cell_ID]],Registre_Maintenance_Part[[ID_Antenne]:[Colonne2]],5,FALSE),"")</f>
        <v/>
      </c>
      <c r="K743" t="str">
        <f>IFERROR(VLOOKUP(Logs_Reseau_Part5[[#This Row],[Cell_ID]],Registre_Maintenance_Part[[ID_Antenne]:[Colonne2]],6,FALSE),"")</f>
        <v/>
      </c>
    </row>
    <row r="744" spans="1:11" x14ac:dyDescent="0.3">
      <c r="A744" t="s">
        <v>1243</v>
      </c>
      <c r="B744" s="1">
        <v>45213.922222222223</v>
      </c>
      <c r="C744" s="2">
        <v>45213.922222222223</v>
      </c>
      <c r="D744" t="s">
        <v>1170</v>
      </c>
      <c r="E744">
        <v>40</v>
      </c>
      <c r="F744" t="s">
        <v>734</v>
      </c>
      <c r="G744" t="str">
        <f>IFERROR(VLOOKUP(Logs_Reseau_Part5[[#This Row],[Cell_ID]],Registre_Maintenance_Part[[ID_Antenne]:[Colonne2]],2,FALSE),"")</f>
        <v/>
      </c>
      <c r="H744" t="str">
        <f>IFERROR(VLOOKUP(Logs_Reseau_Part5[[#This Row],[Cell_ID]],Registre_Maintenance_Part[[ID_Antenne]:[Colonne2]],3,FALSE),"")</f>
        <v/>
      </c>
      <c r="I744" t="str">
        <f>IFERROR(VLOOKUP(Logs_Reseau_Part5[[#This Row],[Cell_ID]],Registre_Maintenance_Part[[ID_Antenne]:[Colonne2]],4,FALSE),"")</f>
        <v/>
      </c>
      <c r="J744" t="str">
        <f>IFERROR(VLOOKUP(Logs_Reseau_Part5[[#This Row],[Cell_ID]],Registre_Maintenance_Part[[ID_Antenne]:[Colonne2]],5,FALSE),"")</f>
        <v/>
      </c>
      <c r="K744" t="str">
        <f>IFERROR(VLOOKUP(Logs_Reseau_Part5[[#This Row],[Cell_ID]],Registre_Maintenance_Part[[ID_Antenne]:[Colonne2]],6,FALSE),"")</f>
        <v/>
      </c>
    </row>
    <row r="745" spans="1:11" x14ac:dyDescent="0.3">
      <c r="A745" t="s">
        <v>1001</v>
      </c>
      <c r="B745" s="1">
        <v>45213.960416666669</v>
      </c>
      <c r="C745" s="2">
        <v>45213.960416666669</v>
      </c>
      <c r="D745" t="s">
        <v>1003</v>
      </c>
      <c r="E745">
        <v>103</v>
      </c>
      <c r="F745" t="s">
        <v>737</v>
      </c>
      <c r="G745" t="str">
        <f>IFERROR(VLOOKUP(Logs_Reseau_Part5[[#This Row],[Cell_ID]],Registre_Maintenance_Part[[ID_Antenne]:[Colonne2]],2,FALSE),"")</f>
        <v/>
      </c>
      <c r="H745" t="str">
        <f>IFERROR(VLOOKUP(Logs_Reseau_Part5[[#This Row],[Cell_ID]],Registre_Maintenance_Part[[ID_Antenne]:[Colonne2]],3,FALSE),"")</f>
        <v/>
      </c>
      <c r="I745" t="str">
        <f>IFERROR(VLOOKUP(Logs_Reseau_Part5[[#This Row],[Cell_ID]],Registre_Maintenance_Part[[ID_Antenne]:[Colonne2]],4,FALSE),"")</f>
        <v/>
      </c>
      <c r="J745" t="str">
        <f>IFERROR(VLOOKUP(Logs_Reseau_Part5[[#This Row],[Cell_ID]],Registre_Maintenance_Part[[ID_Antenne]:[Colonne2]],5,FALSE),"")</f>
        <v/>
      </c>
      <c r="K745" t="str">
        <f>IFERROR(VLOOKUP(Logs_Reseau_Part5[[#This Row],[Cell_ID]],Registre_Maintenance_Part[[ID_Antenne]:[Colonne2]],6,FALSE),"")</f>
        <v/>
      </c>
    </row>
    <row r="746" spans="1:11" x14ac:dyDescent="0.3">
      <c r="A746" t="s">
        <v>1363</v>
      </c>
      <c r="B746" s="1">
        <v>45213.963194444441</v>
      </c>
      <c r="C746" s="2">
        <v>45213.963194444441</v>
      </c>
      <c r="D746" t="s">
        <v>1364</v>
      </c>
      <c r="E746">
        <v>25</v>
      </c>
      <c r="F746" t="s">
        <v>737</v>
      </c>
      <c r="G746" t="str">
        <f>IFERROR(VLOOKUP(Logs_Reseau_Part5[[#This Row],[Cell_ID]],Registre_Maintenance_Part[[ID_Antenne]:[Colonne2]],2,FALSE),"")</f>
        <v/>
      </c>
      <c r="H746" t="str">
        <f>IFERROR(VLOOKUP(Logs_Reseau_Part5[[#This Row],[Cell_ID]],Registre_Maintenance_Part[[ID_Antenne]:[Colonne2]],3,FALSE),"")</f>
        <v/>
      </c>
      <c r="I746" t="str">
        <f>IFERROR(VLOOKUP(Logs_Reseau_Part5[[#This Row],[Cell_ID]],Registre_Maintenance_Part[[ID_Antenne]:[Colonne2]],4,FALSE),"")</f>
        <v/>
      </c>
      <c r="J746" t="str">
        <f>IFERROR(VLOOKUP(Logs_Reseau_Part5[[#This Row],[Cell_ID]],Registre_Maintenance_Part[[ID_Antenne]:[Colonne2]],5,FALSE),"")</f>
        <v/>
      </c>
      <c r="K746" t="str">
        <f>IFERROR(VLOOKUP(Logs_Reseau_Part5[[#This Row],[Cell_ID]],Registre_Maintenance_Part[[ID_Antenne]:[Colonne2]],6,FALSE),"")</f>
        <v/>
      </c>
    </row>
    <row r="747" spans="1:11" x14ac:dyDescent="0.3">
      <c r="A747" t="s">
        <v>1332</v>
      </c>
      <c r="B747" s="1">
        <v>45214.081944444442</v>
      </c>
      <c r="C747" s="2">
        <v>45214.081944444442</v>
      </c>
      <c r="D747" t="s">
        <v>1343</v>
      </c>
      <c r="E747">
        <v>87</v>
      </c>
      <c r="F747" t="s">
        <v>737</v>
      </c>
      <c r="G747" t="str">
        <f>IFERROR(VLOOKUP(Logs_Reseau_Part5[[#This Row],[Cell_ID]],Registre_Maintenance_Part[[ID_Antenne]:[Colonne2]],2,FALSE),"")</f>
        <v/>
      </c>
      <c r="H747" t="str">
        <f>IFERROR(VLOOKUP(Logs_Reseau_Part5[[#This Row],[Cell_ID]],Registre_Maintenance_Part[[ID_Antenne]:[Colonne2]],3,FALSE),"")</f>
        <v/>
      </c>
      <c r="I747" t="str">
        <f>IFERROR(VLOOKUP(Logs_Reseau_Part5[[#This Row],[Cell_ID]],Registre_Maintenance_Part[[ID_Antenne]:[Colonne2]],4,FALSE),"")</f>
        <v/>
      </c>
      <c r="J747" t="str">
        <f>IFERROR(VLOOKUP(Logs_Reseau_Part5[[#This Row],[Cell_ID]],Registre_Maintenance_Part[[ID_Antenne]:[Colonne2]],5,FALSE),"")</f>
        <v/>
      </c>
      <c r="K747" t="str">
        <f>IFERROR(VLOOKUP(Logs_Reseau_Part5[[#This Row],[Cell_ID]],Registre_Maintenance_Part[[ID_Antenne]:[Colonne2]],6,FALSE),"")</f>
        <v/>
      </c>
    </row>
    <row r="748" spans="1:11" x14ac:dyDescent="0.3">
      <c r="A748" t="s">
        <v>904</v>
      </c>
      <c r="B748" s="1">
        <v>45214.109722222223</v>
      </c>
      <c r="C748" s="2">
        <v>45214.109722222223</v>
      </c>
      <c r="D748" t="s">
        <v>938</v>
      </c>
      <c r="E748">
        <v>102</v>
      </c>
      <c r="F748" t="s">
        <v>737</v>
      </c>
      <c r="G748" t="str">
        <f>IFERROR(VLOOKUP(Logs_Reseau_Part5[[#This Row],[Cell_ID]],Registre_Maintenance_Part[[ID_Antenne]:[Colonne2]],2,FALSE),"")</f>
        <v/>
      </c>
      <c r="H748" t="str">
        <f>IFERROR(VLOOKUP(Logs_Reseau_Part5[[#This Row],[Cell_ID]],Registre_Maintenance_Part[[ID_Antenne]:[Colonne2]],3,FALSE),"")</f>
        <v/>
      </c>
      <c r="I748" t="str">
        <f>IFERROR(VLOOKUP(Logs_Reseau_Part5[[#This Row],[Cell_ID]],Registre_Maintenance_Part[[ID_Antenne]:[Colonne2]],4,FALSE),"")</f>
        <v/>
      </c>
      <c r="J748" t="str">
        <f>IFERROR(VLOOKUP(Logs_Reseau_Part5[[#This Row],[Cell_ID]],Registre_Maintenance_Part[[ID_Antenne]:[Colonne2]],5,FALSE),"")</f>
        <v/>
      </c>
      <c r="K748" t="str">
        <f>IFERROR(VLOOKUP(Logs_Reseau_Part5[[#This Row],[Cell_ID]],Registre_Maintenance_Part[[ID_Antenne]:[Colonne2]],6,FALSE),"")</f>
        <v/>
      </c>
    </row>
    <row r="749" spans="1:11" x14ac:dyDescent="0.3">
      <c r="A749" t="s">
        <v>904</v>
      </c>
      <c r="B749" s="1">
        <v>45214.113194444442</v>
      </c>
      <c r="C749" s="2">
        <v>45214.113194444442</v>
      </c>
      <c r="D749" t="s">
        <v>790</v>
      </c>
      <c r="E749">
        <v>47</v>
      </c>
      <c r="F749" t="s">
        <v>739</v>
      </c>
      <c r="G749" t="str">
        <f>IFERROR(VLOOKUP(Logs_Reseau_Part5[[#This Row],[Cell_ID]],Registre_Maintenance_Part[[ID_Antenne]:[Colonne2]],2,FALSE),"")</f>
        <v/>
      </c>
      <c r="H749" t="str">
        <f>IFERROR(VLOOKUP(Logs_Reseau_Part5[[#This Row],[Cell_ID]],Registre_Maintenance_Part[[ID_Antenne]:[Colonne2]],3,FALSE),"")</f>
        <v/>
      </c>
      <c r="I749" t="str">
        <f>IFERROR(VLOOKUP(Logs_Reseau_Part5[[#This Row],[Cell_ID]],Registre_Maintenance_Part[[ID_Antenne]:[Colonne2]],4,FALSE),"")</f>
        <v/>
      </c>
      <c r="J749" t="str">
        <f>IFERROR(VLOOKUP(Logs_Reseau_Part5[[#This Row],[Cell_ID]],Registre_Maintenance_Part[[ID_Antenne]:[Colonne2]],5,FALSE),"")</f>
        <v/>
      </c>
      <c r="K749" t="str">
        <f>IFERROR(VLOOKUP(Logs_Reseau_Part5[[#This Row],[Cell_ID]],Registre_Maintenance_Part[[ID_Antenne]:[Colonne2]],6,FALSE),"")</f>
        <v/>
      </c>
    </row>
    <row r="750" spans="1:11" x14ac:dyDescent="0.3">
      <c r="A750" t="s">
        <v>1221</v>
      </c>
      <c r="B750" s="1">
        <v>45214.136111111111</v>
      </c>
      <c r="C750" s="2">
        <v>45214.136111111111</v>
      </c>
      <c r="D750" t="s">
        <v>1237</v>
      </c>
      <c r="E750">
        <v>92</v>
      </c>
      <c r="F750" t="s">
        <v>734</v>
      </c>
      <c r="G750" t="str">
        <f>IFERROR(VLOOKUP(Logs_Reseau_Part5[[#This Row],[Cell_ID]],Registre_Maintenance_Part[[ID_Antenne]:[Colonne2]],2,FALSE),"")</f>
        <v/>
      </c>
      <c r="H750" t="str">
        <f>IFERROR(VLOOKUP(Logs_Reseau_Part5[[#This Row],[Cell_ID]],Registre_Maintenance_Part[[ID_Antenne]:[Colonne2]],3,FALSE),"")</f>
        <v/>
      </c>
      <c r="I750" t="str">
        <f>IFERROR(VLOOKUP(Logs_Reseau_Part5[[#This Row],[Cell_ID]],Registre_Maintenance_Part[[ID_Antenne]:[Colonne2]],4,FALSE),"")</f>
        <v/>
      </c>
      <c r="J750" t="str">
        <f>IFERROR(VLOOKUP(Logs_Reseau_Part5[[#This Row],[Cell_ID]],Registre_Maintenance_Part[[ID_Antenne]:[Colonne2]],5,FALSE),"")</f>
        <v/>
      </c>
      <c r="K750" t="str">
        <f>IFERROR(VLOOKUP(Logs_Reseau_Part5[[#This Row],[Cell_ID]],Registre_Maintenance_Part[[ID_Antenne]:[Colonne2]],6,FALSE),"")</f>
        <v/>
      </c>
    </row>
    <row r="751" spans="1:11" x14ac:dyDescent="0.3">
      <c r="A751" t="s">
        <v>1347</v>
      </c>
      <c r="B751" s="1">
        <v>45214.145833333343</v>
      </c>
      <c r="C751" s="2">
        <v>45214.145833333343</v>
      </c>
      <c r="D751" t="s">
        <v>983</v>
      </c>
      <c r="E751">
        <v>29</v>
      </c>
      <c r="F751" t="s">
        <v>739</v>
      </c>
      <c r="G751" t="str">
        <f>IFERROR(VLOOKUP(Logs_Reseau_Part5[[#This Row],[Cell_ID]],Registre_Maintenance_Part[[ID_Antenne]:[Colonne2]],2,FALSE),"")</f>
        <v/>
      </c>
      <c r="H751" t="str">
        <f>IFERROR(VLOOKUP(Logs_Reseau_Part5[[#This Row],[Cell_ID]],Registre_Maintenance_Part[[ID_Antenne]:[Colonne2]],3,FALSE),"")</f>
        <v/>
      </c>
      <c r="I751" t="str">
        <f>IFERROR(VLOOKUP(Logs_Reseau_Part5[[#This Row],[Cell_ID]],Registre_Maintenance_Part[[ID_Antenne]:[Colonne2]],4,FALSE),"")</f>
        <v/>
      </c>
      <c r="J751" t="str">
        <f>IFERROR(VLOOKUP(Logs_Reseau_Part5[[#This Row],[Cell_ID]],Registre_Maintenance_Part[[ID_Antenne]:[Colonne2]],5,FALSE),"")</f>
        <v/>
      </c>
      <c r="K751" t="str">
        <f>IFERROR(VLOOKUP(Logs_Reseau_Part5[[#This Row],[Cell_ID]],Registre_Maintenance_Part[[ID_Antenne]:[Colonne2]],6,FALSE),"")</f>
        <v/>
      </c>
    </row>
    <row r="752" spans="1:11" x14ac:dyDescent="0.3">
      <c r="A752" t="s">
        <v>781</v>
      </c>
      <c r="B752" s="1">
        <v>45214.185416666667</v>
      </c>
      <c r="C752" s="2">
        <v>45214.185416666667</v>
      </c>
      <c r="D752" t="s">
        <v>782</v>
      </c>
      <c r="E752">
        <v>36</v>
      </c>
      <c r="F752" t="s">
        <v>737</v>
      </c>
      <c r="G752" t="str">
        <f>IFERROR(VLOOKUP(Logs_Reseau_Part5[[#This Row],[Cell_ID]],Registre_Maintenance_Part[[ID_Antenne]:[Colonne2]],2,FALSE),"")</f>
        <v/>
      </c>
      <c r="H752" t="str">
        <f>IFERROR(VLOOKUP(Logs_Reseau_Part5[[#This Row],[Cell_ID]],Registre_Maintenance_Part[[ID_Antenne]:[Colonne2]],3,FALSE),"")</f>
        <v/>
      </c>
      <c r="I752" t="str">
        <f>IFERROR(VLOOKUP(Logs_Reseau_Part5[[#This Row],[Cell_ID]],Registre_Maintenance_Part[[ID_Antenne]:[Colonne2]],4,FALSE),"")</f>
        <v/>
      </c>
      <c r="J752" t="str">
        <f>IFERROR(VLOOKUP(Logs_Reseau_Part5[[#This Row],[Cell_ID]],Registre_Maintenance_Part[[ID_Antenne]:[Colonne2]],5,FALSE),"")</f>
        <v/>
      </c>
      <c r="K752" t="str">
        <f>IFERROR(VLOOKUP(Logs_Reseau_Part5[[#This Row],[Cell_ID]],Registre_Maintenance_Part[[ID_Antenne]:[Colonne2]],6,FALSE),"")</f>
        <v/>
      </c>
    </row>
    <row r="753" spans="1:11" x14ac:dyDescent="0.3">
      <c r="A753" t="s">
        <v>1116</v>
      </c>
      <c r="B753" s="1">
        <v>45214.193055555559</v>
      </c>
      <c r="C753" s="2">
        <v>45214.193055555559</v>
      </c>
      <c r="D753" t="s">
        <v>763</v>
      </c>
      <c r="E753">
        <v>76</v>
      </c>
      <c r="F753" t="s">
        <v>739</v>
      </c>
      <c r="G753" t="str">
        <f>IFERROR(VLOOKUP(Logs_Reseau_Part5[[#This Row],[Cell_ID]],Registre_Maintenance_Part[[ID_Antenne]:[Colonne2]],2,FALSE),"")</f>
        <v/>
      </c>
      <c r="H753" t="str">
        <f>IFERROR(VLOOKUP(Logs_Reseau_Part5[[#This Row],[Cell_ID]],Registre_Maintenance_Part[[ID_Antenne]:[Colonne2]],3,FALSE),"")</f>
        <v/>
      </c>
      <c r="I753" t="str">
        <f>IFERROR(VLOOKUP(Logs_Reseau_Part5[[#This Row],[Cell_ID]],Registre_Maintenance_Part[[ID_Antenne]:[Colonne2]],4,FALSE),"")</f>
        <v/>
      </c>
      <c r="J753" t="str">
        <f>IFERROR(VLOOKUP(Logs_Reseau_Part5[[#This Row],[Cell_ID]],Registre_Maintenance_Part[[ID_Antenne]:[Colonne2]],5,FALSE),"")</f>
        <v/>
      </c>
      <c r="K753" t="str">
        <f>IFERROR(VLOOKUP(Logs_Reseau_Part5[[#This Row],[Cell_ID]],Registre_Maintenance_Part[[ID_Antenne]:[Colonne2]],6,FALSE),"")</f>
        <v/>
      </c>
    </row>
    <row r="754" spans="1:11" x14ac:dyDescent="0.3">
      <c r="A754" t="s">
        <v>1221</v>
      </c>
      <c r="B754" s="1">
        <v>45214.272916666669</v>
      </c>
      <c r="C754" s="2">
        <v>45214.272916666669</v>
      </c>
      <c r="D754" t="s">
        <v>908</v>
      </c>
      <c r="E754">
        <v>26</v>
      </c>
      <c r="F754" t="s">
        <v>737</v>
      </c>
      <c r="G754" t="str">
        <f>IFERROR(VLOOKUP(Logs_Reseau_Part5[[#This Row],[Cell_ID]],Registre_Maintenance_Part[[ID_Antenne]:[Colonne2]],2,FALSE),"")</f>
        <v/>
      </c>
      <c r="H754" t="str">
        <f>IFERROR(VLOOKUP(Logs_Reseau_Part5[[#This Row],[Cell_ID]],Registre_Maintenance_Part[[ID_Antenne]:[Colonne2]],3,FALSE),"")</f>
        <v/>
      </c>
      <c r="I754" t="str">
        <f>IFERROR(VLOOKUP(Logs_Reseau_Part5[[#This Row],[Cell_ID]],Registre_Maintenance_Part[[ID_Antenne]:[Colonne2]],4,FALSE),"")</f>
        <v/>
      </c>
      <c r="J754" t="str">
        <f>IFERROR(VLOOKUP(Logs_Reseau_Part5[[#This Row],[Cell_ID]],Registre_Maintenance_Part[[ID_Antenne]:[Colonne2]],5,FALSE),"")</f>
        <v/>
      </c>
      <c r="K754" t="str">
        <f>IFERROR(VLOOKUP(Logs_Reseau_Part5[[#This Row],[Cell_ID]],Registre_Maintenance_Part[[ID_Antenne]:[Colonne2]],6,FALSE),"")</f>
        <v/>
      </c>
    </row>
    <row r="755" spans="1:11" x14ac:dyDescent="0.3">
      <c r="A755" t="s">
        <v>980</v>
      </c>
      <c r="B755" s="1">
        <v>45214.59375</v>
      </c>
      <c r="C755" s="2">
        <v>45214.59375</v>
      </c>
      <c r="D755" t="s">
        <v>988</v>
      </c>
      <c r="E755">
        <v>51</v>
      </c>
      <c r="F755" t="s">
        <v>739</v>
      </c>
      <c r="G755" t="str">
        <f>IFERROR(VLOOKUP(Logs_Reseau_Part5[[#This Row],[Cell_ID]],Registre_Maintenance_Part[[ID_Antenne]:[Colonne2]],2,FALSE),"")</f>
        <v/>
      </c>
      <c r="H755" t="str">
        <f>IFERROR(VLOOKUP(Logs_Reseau_Part5[[#This Row],[Cell_ID]],Registre_Maintenance_Part[[ID_Antenne]:[Colonne2]],3,FALSE),"")</f>
        <v/>
      </c>
      <c r="I755" t="str">
        <f>IFERROR(VLOOKUP(Logs_Reseau_Part5[[#This Row],[Cell_ID]],Registre_Maintenance_Part[[ID_Antenne]:[Colonne2]],4,FALSE),"")</f>
        <v/>
      </c>
      <c r="J755" t="str">
        <f>IFERROR(VLOOKUP(Logs_Reseau_Part5[[#This Row],[Cell_ID]],Registre_Maintenance_Part[[ID_Antenne]:[Colonne2]],5,FALSE),"")</f>
        <v/>
      </c>
      <c r="K755" t="str">
        <f>IFERROR(VLOOKUP(Logs_Reseau_Part5[[#This Row],[Cell_ID]],Registre_Maintenance_Part[[ID_Antenne]:[Colonne2]],6,FALSE),"")</f>
        <v/>
      </c>
    </row>
    <row r="756" spans="1:11" x14ac:dyDescent="0.3">
      <c r="A756" t="s">
        <v>904</v>
      </c>
      <c r="B756" s="1">
        <v>45214.59652777778</v>
      </c>
      <c r="C756" s="2">
        <v>45214.59652777778</v>
      </c>
      <c r="D756" t="s">
        <v>916</v>
      </c>
      <c r="E756">
        <v>88</v>
      </c>
      <c r="F756" t="s">
        <v>739</v>
      </c>
      <c r="G756" t="str">
        <f>IFERROR(VLOOKUP(Logs_Reseau_Part5[[#This Row],[Cell_ID]],Registre_Maintenance_Part[[ID_Antenne]:[Colonne2]],2,FALSE),"")</f>
        <v/>
      </c>
      <c r="H756" t="str">
        <f>IFERROR(VLOOKUP(Logs_Reseau_Part5[[#This Row],[Cell_ID]],Registre_Maintenance_Part[[ID_Antenne]:[Colonne2]],3,FALSE),"")</f>
        <v/>
      </c>
      <c r="I756" t="str">
        <f>IFERROR(VLOOKUP(Logs_Reseau_Part5[[#This Row],[Cell_ID]],Registre_Maintenance_Part[[ID_Antenne]:[Colonne2]],4,FALSE),"")</f>
        <v/>
      </c>
      <c r="J756" t="str">
        <f>IFERROR(VLOOKUP(Logs_Reseau_Part5[[#This Row],[Cell_ID]],Registre_Maintenance_Part[[ID_Antenne]:[Colonne2]],5,FALSE),"")</f>
        <v/>
      </c>
      <c r="K756" t="str">
        <f>IFERROR(VLOOKUP(Logs_Reseau_Part5[[#This Row],[Cell_ID]],Registre_Maintenance_Part[[ID_Antenne]:[Colonne2]],6,FALSE),"")</f>
        <v/>
      </c>
    </row>
    <row r="757" spans="1:11" x14ac:dyDescent="0.3">
      <c r="A757" t="s">
        <v>825</v>
      </c>
      <c r="B757" s="1">
        <v>45214.613194444442</v>
      </c>
      <c r="C757" s="2">
        <v>45214.613194444442</v>
      </c>
      <c r="D757" t="s">
        <v>852</v>
      </c>
      <c r="E757">
        <v>11</v>
      </c>
      <c r="F757" t="s">
        <v>739</v>
      </c>
      <c r="G757" t="str">
        <f>IFERROR(VLOOKUP(Logs_Reseau_Part5[[#This Row],[Cell_ID]],Registre_Maintenance_Part[[ID_Antenne]:[Colonne2]],2,FALSE),"")</f>
        <v/>
      </c>
      <c r="H757" t="str">
        <f>IFERROR(VLOOKUP(Logs_Reseau_Part5[[#This Row],[Cell_ID]],Registre_Maintenance_Part[[ID_Antenne]:[Colonne2]],3,FALSE),"")</f>
        <v/>
      </c>
      <c r="I757" t="str">
        <f>IFERROR(VLOOKUP(Logs_Reseau_Part5[[#This Row],[Cell_ID]],Registre_Maintenance_Part[[ID_Antenne]:[Colonne2]],4,FALSE),"")</f>
        <v/>
      </c>
      <c r="J757" t="str">
        <f>IFERROR(VLOOKUP(Logs_Reseau_Part5[[#This Row],[Cell_ID]],Registre_Maintenance_Part[[ID_Antenne]:[Colonne2]],5,FALSE),"")</f>
        <v/>
      </c>
      <c r="K757" t="str">
        <f>IFERROR(VLOOKUP(Logs_Reseau_Part5[[#This Row],[Cell_ID]],Registre_Maintenance_Part[[ID_Antenne]:[Colonne2]],6,FALSE),"")</f>
        <v/>
      </c>
    </row>
    <row r="758" spans="1:11" x14ac:dyDescent="0.3">
      <c r="A758" t="s">
        <v>1088</v>
      </c>
      <c r="B758" s="1">
        <v>45214.613194444442</v>
      </c>
      <c r="C758" s="2">
        <v>45214.613194444442</v>
      </c>
      <c r="D758" t="s">
        <v>1102</v>
      </c>
      <c r="E758">
        <v>61</v>
      </c>
      <c r="F758" t="s">
        <v>739</v>
      </c>
      <c r="G758" t="str">
        <f>IFERROR(VLOOKUP(Logs_Reseau_Part5[[#This Row],[Cell_ID]],Registre_Maintenance_Part[[ID_Antenne]:[Colonne2]],2,FALSE),"")</f>
        <v/>
      </c>
      <c r="H758" t="str">
        <f>IFERROR(VLOOKUP(Logs_Reseau_Part5[[#This Row],[Cell_ID]],Registre_Maintenance_Part[[ID_Antenne]:[Colonne2]],3,FALSE),"")</f>
        <v/>
      </c>
      <c r="I758" t="str">
        <f>IFERROR(VLOOKUP(Logs_Reseau_Part5[[#This Row],[Cell_ID]],Registre_Maintenance_Part[[ID_Antenne]:[Colonne2]],4,FALSE),"")</f>
        <v/>
      </c>
      <c r="J758" t="str">
        <f>IFERROR(VLOOKUP(Logs_Reseau_Part5[[#This Row],[Cell_ID]],Registre_Maintenance_Part[[ID_Antenne]:[Colonne2]],5,FALSE),"")</f>
        <v/>
      </c>
      <c r="K758" t="str">
        <f>IFERROR(VLOOKUP(Logs_Reseau_Part5[[#This Row],[Cell_ID]],Registre_Maintenance_Part[[ID_Antenne]:[Colonne2]],6,FALSE),"")</f>
        <v/>
      </c>
    </row>
    <row r="759" spans="1:11" x14ac:dyDescent="0.3">
      <c r="A759" t="s">
        <v>1140</v>
      </c>
      <c r="B759" s="1">
        <v>45214.752083333333</v>
      </c>
      <c r="C759" s="2">
        <v>45214.752083333333</v>
      </c>
      <c r="D759" t="s">
        <v>1164</v>
      </c>
      <c r="E759">
        <v>89</v>
      </c>
      <c r="F759" t="s">
        <v>737</v>
      </c>
      <c r="G759" t="str">
        <f>IFERROR(VLOOKUP(Logs_Reseau_Part5[[#This Row],[Cell_ID]],Registre_Maintenance_Part[[ID_Antenne]:[Colonne2]],2,FALSE),"")</f>
        <v/>
      </c>
      <c r="H759" t="str">
        <f>IFERROR(VLOOKUP(Logs_Reseau_Part5[[#This Row],[Cell_ID]],Registre_Maintenance_Part[[ID_Antenne]:[Colonne2]],3,FALSE),"")</f>
        <v/>
      </c>
      <c r="I759" t="str">
        <f>IFERROR(VLOOKUP(Logs_Reseau_Part5[[#This Row],[Cell_ID]],Registre_Maintenance_Part[[ID_Antenne]:[Colonne2]],4,FALSE),"")</f>
        <v/>
      </c>
      <c r="J759" t="str">
        <f>IFERROR(VLOOKUP(Logs_Reseau_Part5[[#This Row],[Cell_ID]],Registre_Maintenance_Part[[ID_Antenne]:[Colonne2]],5,FALSE),"")</f>
        <v/>
      </c>
      <c r="K759" t="str">
        <f>IFERROR(VLOOKUP(Logs_Reseau_Part5[[#This Row],[Cell_ID]],Registre_Maintenance_Part[[ID_Antenne]:[Colonne2]],6,FALSE),"")</f>
        <v/>
      </c>
    </row>
    <row r="760" spans="1:11" x14ac:dyDescent="0.3">
      <c r="A760" t="s">
        <v>1221</v>
      </c>
      <c r="B760" s="1">
        <v>45214.799305555563</v>
      </c>
      <c r="C760" s="2">
        <v>45214.799305555563</v>
      </c>
      <c r="D760" t="s">
        <v>1239</v>
      </c>
      <c r="E760">
        <v>67</v>
      </c>
      <c r="F760" t="s">
        <v>734</v>
      </c>
      <c r="G760" t="str">
        <f>IFERROR(VLOOKUP(Logs_Reseau_Part5[[#This Row],[Cell_ID]],Registre_Maintenance_Part[[ID_Antenne]:[Colonne2]],2,FALSE),"")</f>
        <v/>
      </c>
      <c r="H760" t="str">
        <f>IFERROR(VLOOKUP(Logs_Reseau_Part5[[#This Row],[Cell_ID]],Registre_Maintenance_Part[[ID_Antenne]:[Colonne2]],3,FALSE),"")</f>
        <v/>
      </c>
      <c r="I760" t="str">
        <f>IFERROR(VLOOKUP(Logs_Reseau_Part5[[#This Row],[Cell_ID]],Registre_Maintenance_Part[[ID_Antenne]:[Colonne2]],4,FALSE),"")</f>
        <v/>
      </c>
      <c r="J760" t="str">
        <f>IFERROR(VLOOKUP(Logs_Reseau_Part5[[#This Row],[Cell_ID]],Registre_Maintenance_Part[[ID_Antenne]:[Colonne2]],5,FALSE),"")</f>
        <v/>
      </c>
      <c r="K760" t="str">
        <f>IFERROR(VLOOKUP(Logs_Reseau_Part5[[#This Row],[Cell_ID]],Registre_Maintenance_Part[[ID_Antenne]:[Colonne2]],6,FALSE),"")</f>
        <v/>
      </c>
    </row>
    <row r="761" spans="1:11" x14ac:dyDescent="0.3">
      <c r="A761" t="s">
        <v>781</v>
      </c>
      <c r="B761" s="1">
        <v>45214.816666666673</v>
      </c>
      <c r="C761" s="2">
        <v>45214.816666666673</v>
      </c>
      <c r="D761" t="s">
        <v>824</v>
      </c>
      <c r="E761">
        <v>92</v>
      </c>
      <c r="F761" t="s">
        <v>739</v>
      </c>
      <c r="G761" t="str">
        <f>IFERROR(VLOOKUP(Logs_Reseau_Part5[[#This Row],[Cell_ID]],Registre_Maintenance_Part[[ID_Antenne]:[Colonne2]],2,FALSE),"")</f>
        <v/>
      </c>
      <c r="H761" t="str">
        <f>IFERROR(VLOOKUP(Logs_Reseau_Part5[[#This Row],[Cell_ID]],Registre_Maintenance_Part[[ID_Antenne]:[Colonne2]],3,FALSE),"")</f>
        <v/>
      </c>
      <c r="I761" t="str">
        <f>IFERROR(VLOOKUP(Logs_Reseau_Part5[[#This Row],[Cell_ID]],Registre_Maintenance_Part[[ID_Antenne]:[Colonne2]],4,FALSE),"")</f>
        <v/>
      </c>
      <c r="J761" t="str">
        <f>IFERROR(VLOOKUP(Logs_Reseau_Part5[[#This Row],[Cell_ID]],Registre_Maintenance_Part[[ID_Antenne]:[Colonne2]],5,FALSE),"")</f>
        <v/>
      </c>
      <c r="K761" t="str">
        <f>IFERROR(VLOOKUP(Logs_Reseau_Part5[[#This Row],[Cell_ID]],Registre_Maintenance_Part[[ID_Antenne]:[Colonne2]],6,FALSE),"")</f>
        <v/>
      </c>
    </row>
    <row r="762" spans="1:11" x14ac:dyDescent="0.3">
      <c r="A762" t="s">
        <v>732</v>
      </c>
      <c r="B762" s="1">
        <v>45214.870138888888</v>
      </c>
      <c r="C762" s="2">
        <v>45214.870138888888</v>
      </c>
      <c r="D762" t="s">
        <v>763</v>
      </c>
      <c r="E762">
        <v>72</v>
      </c>
      <c r="F762" t="s">
        <v>734</v>
      </c>
      <c r="G762" t="str">
        <f>IFERROR(VLOOKUP(Logs_Reseau_Part5[[#This Row],[Cell_ID]],Registre_Maintenance_Part[[ID_Antenne]:[Colonne2]],2,FALSE),"")</f>
        <v/>
      </c>
      <c r="H762" t="str">
        <f>IFERROR(VLOOKUP(Logs_Reseau_Part5[[#This Row],[Cell_ID]],Registre_Maintenance_Part[[ID_Antenne]:[Colonne2]],3,FALSE),"")</f>
        <v/>
      </c>
      <c r="I762" t="str">
        <f>IFERROR(VLOOKUP(Logs_Reseau_Part5[[#This Row],[Cell_ID]],Registre_Maintenance_Part[[ID_Antenne]:[Colonne2]],4,FALSE),"")</f>
        <v/>
      </c>
      <c r="J762" t="str">
        <f>IFERROR(VLOOKUP(Logs_Reseau_Part5[[#This Row],[Cell_ID]],Registre_Maintenance_Part[[ID_Antenne]:[Colonne2]],5,FALSE),"")</f>
        <v/>
      </c>
      <c r="K762" t="str">
        <f>IFERROR(VLOOKUP(Logs_Reseau_Part5[[#This Row],[Cell_ID]],Registre_Maintenance_Part[[ID_Antenne]:[Colonne2]],6,FALSE),"")</f>
        <v/>
      </c>
    </row>
    <row r="763" spans="1:11" x14ac:dyDescent="0.3">
      <c r="A763" t="s">
        <v>1001</v>
      </c>
      <c r="B763" s="1">
        <v>45214.893750000003</v>
      </c>
      <c r="C763" s="2">
        <v>45214.893750000003</v>
      </c>
      <c r="D763" t="s">
        <v>1021</v>
      </c>
      <c r="E763">
        <v>60</v>
      </c>
      <c r="F763" t="s">
        <v>737</v>
      </c>
      <c r="G763" t="str">
        <f>IFERROR(VLOOKUP(Logs_Reseau_Part5[[#This Row],[Cell_ID]],Registre_Maintenance_Part[[ID_Antenne]:[Colonne2]],2,FALSE),"")</f>
        <v/>
      </c>
      <c r="H763" t="str">
        <f>IFERROR(VLOOKUP(Logs_Reseau_Part5[[#This Row],[Cell_ID]],Registre_Maintenance_Part[[ID_Antenne]:[Colonne2]],3,FALSE),"")</f>
        <v/>
      </c>
      <c r="I763" t="str">
        <f>IFERROR(VLOOKUP(Logs_Reseau_Part5[[#This Row],[Cell_ID]],Registre_Maintenance_Part[[ID_Antenne]:[Colonne2]],4,FALSE),"")</f>
        <v/>
      </c>
      <c r="J763" t="str">
        <f>IFERROR(VLOOKUP(Logs_Reseau_Part5[[#This Row],[Cell_ID]],Registre_Maintenance_Part[[ID_Antenne]:[Colonne2]],5,FALSE),"")</f>
        <v/>
      </c>
      <c r="K763" t="str">
        <f>IFERROR(VLOOKUP(Logs_Reseau_Part5[[#This Row],[Cell_ID]],Registre_Maintenance_Part[[ID_Antenne]:[Colonne2]],6,FALSE),"")</f>
        <v/>
      </c>
    </row>
    <row r="764" spans="1:11" x14ac:dyDescent="0.3">
      <c r="A764" t="s">
        <v>904</v>
      </c>
      <c r="B764" s="1">
        <v>45214.929861111108</v>
      </c>
      <c r="C764" s="2">
        <v>45214.929861111108</v>
      </c>
      <c r="D764" t="s">
        <v>935</v>
      </c>
      <c r="E764">
        <v>89</v>
      </c>
      <c r="F764" t="s">
        <v>739</v>
      </c>
      <c r="G764" t="str">
        <f>IFERROR(VLOOKUP(Logs_Reseau_Part5[[#This Row],[Cell_ID]],Registre_Maintenance_Part[[ID_Antenne]:[Colonne2]],2,FALSE),"")</f>
        <v/>
      </c>
      <c r="H764" t="str">
        <f>IFERROR(VLOOKUP(Logs_Reseau_Part5[[#This Row],[Cell_ID]],Registre_Maintenance_Part[[ID_Antenne]:[Colonne2]],3,FALSE),"")</f>
        <v/>
      </c>
      <c r="I764" t="str">
        <f>IFERROR(VLOOKUP(Logs_Reseau_Part5[[#This Row],[Cell_ID]],Registre_Maintenance_Part[[ID_Antenne]:[Colonne2]],4,FALSE),"")</f>
        <v/>
      </c>
      <c r="J764" t="str">
        <f>IFERROR(VLOOKUP(Logs_Reseau_Part5[[#This Row],[Cell_ID]],Registre_Maintenance_Part[[ID_Antenne]:[Colonne2]],5,FALSE),"")</f>
        <v/>
      </c>
      <c r="K764" t="str">
        <f>IFERROR(VLOOKUP(Logs_Reseau_Part5[[#This Row],[Cell_ID]],Registre_Maintenance_Part[[ID_Antenne]:[Colonne2]],6,FALSE),"")</f>
        <v/>
      </c>
    </row>
    <row r="765" spans="1:11" x14ac:dyDescent="0.3">
      <c r="A765" t="s">
        <v>1406</v>
      </c>
      <c r="B765" s="1">
        <v>45214.931250000001</v>
      </c>
      <c r="C765" s="2">
        <v>45214.931250000001</v>
      </c>
      <c r="D765" t="s">
        <v>1201</v>
      </c>
      <c r="E765">
        <v>81</v>
      </c>
      <c r="F765" t="s">
        <v>737</v>
      </c>
      <c r="G765" t="str">
        <f>IFERROR(VLOOKUP(Logs_Reseau_Part5[[#This Row],[Cell_ID]],Registre_Maintenance_Part[[ID_Antenne]:[Colonne2]],2,FALSE),"")</f>
        <v/>
      </c>
      <c r="H765" t="str">
        <f>IFERROR(VLOOKUP(Logs_Reseau_Part5[[#This Row],[Cell_ID]],Registre_Maintenance_Part[[ID_Antenne]:[Colonne2]],3,FALSE),"")</f>
        <v/>
      </c>
      <c r="I765" t="str">
        <f>IFERROR(VLOOKUP(Logs_Reseau_Part5[[#This Row],[Cell_ID]],Registre_Maintenance_Part[[ID_Antenne]:[Colonne2]],4,FALSE),"")</f>
        <v/>
      </c>
      <c r="J765" t="str">
        <f>IFERROR(VLOOKUP(Logs_Reseau_Part5[[#This Row],[Cell_ID]],Registre_Maintenance_Part[[ID_Antenne]:[Colonne2]],5,FALSE),"")</f>
        <v/>
      </c>
      <c r="K765" t="str">
        <f>IFERROR(VLOOKUP(Logs_Reseau_Part5[[#This Row],[Cell_ID]],Registre_Maintenance_Part[[ID_Antenne]:[Colonne2]],6,FALSE),"")</f>
        <v/>
      </c>
    </row>
    <row r="766" spans="1:11" x14ac:dyDescent="0.3">
      <c r="A766" t="s">
        <v>1290</v>
      </c>
      <c r="B766" s="1">
        <v>45215.01666666667</v>
      </c>
      <c r="C766" s="2">
        <v>45215.01666666667</v>
      </c>
      <c r="D766" t="s">
        <v>1300</v>
      </c>
      <c r="E766">
        <v>35</v>
      </c>
      <c r="F766" t="s">
        <v>737</v>
      </c>
      <c r="G766" t="str">
        <f>IFERROR(VLOOKUP(Logs_Reseau_Part5[[#This Row],[Cell_ID]],Registre_Maintenance_Part[[ID_Antenne]:[Colonne2]],2,FALSE),"")</f>
        <v/>
      </c>
      <c r="H766" t="str">
        <f>IFERROR(VLOOKUP(Logs_Reseau_Part5[[#This Row],[Cell_ID]],Registre_Maintenance_Part[[ID_Antenne]:[Colonne2]],3,FALSE),"")</f>
        <v/>
      </c>
      <c r="I766" t="str">
        <f>IFERROR(VLOOKUP(Logs_Reseau_Part5[[#This Row],[Cell_ID]],Registre_Maintenance_Part[[ID_Antenne]:[Colonne2]],4,FALSE),"")</f>
        <v/>
      </c>
      <c r="J766" t="str">
        <f>IFERROR(VLOOKUP(Logs_Reseau_Part5[[#This Row],[Cell_ID]],Registre_Maintenance_Part[[ID_Antenne]:[Colonne2]],5,FALSE),"")</f>
        <v/>
      </c>
      <c r="K766" t="str">
        <f>IFERROR(VLOOKUP(Logs_Reseau_Part5[[#This Row],[Cell_ID]],Registre_Maintenance_Part[[ID_Antenne]:[Colonne2]],6,FALSE),"")</f>
        <v/>
      </c>
    </row>
    <row r="767" spans="1:11" x14ac:dyDescent="0.3">
      <c r="A767" t="s">
        <v>941</v>
      </c>
      <c r="B767" s="1">
        <v>45215.047222222223</v>
      </c>
      <c r="C767" s="2">
        <v>45215.047222222223</v>
      </c>
      <c r="D767" t="s">
        <v>948</v>
      </c>
      <c r="E767">
        <v>35</v>
      </c>
      <c r="F767" t="s">
        <v>734</v>
      </c>
      <c r="G767" t="str">
        <f>IFERROR(VLOOKUP(Logs_Reseau_Part5[[#This Row],[Cell_ID]],Registre_Maintenance_Part[[ID_Antenne]:[Colonne2]],2,FALSE),"")</f>
        <v/>
      </c>
      <c r="H767" t="str">
        <f>IFERROR(VLOOKUP(Logs_Reseau_Part5[[#This Row],[Cell_ID]],Registre_Maintenance_Part[[ID_Antenne]:[Colonne2]],3,FALSE),"")</f>
        <v/>
      </c>
      <c r="I767" t="str">
        <f>IFERROR(VLOOKUP(Logs_Reseau_Part5[[#This Row],[Cell_ID]],Registre_Maintenance_Part[[ID_Antenne]:[Colonne2]],4,FALSE),"")</f>
        <v/>
      </c>
      <c r="J767" t="str">
        <f>IFERROR(VLOOKUP(Logs_Reseau_Part5[[#This Row],[Cell_ID]],Registre_Maintenance_Part[[ID_Antenne]:[Colonne2]],5,FALSE),"")</f>
        <v/>
      </c>
      <c r="K767" t="str">
        <f>IFERROR(VLOOKUP(Logs_Reseau_Part5[[#This Row],[Cell_ID]],Registre_Maintenance_Part[[ID_Antenne]:[Colonne2]],6,FALSE),"")</f>
        <v/>
      </c>
    </row>
    <row r="768" spans="1:11" x14ac:dyDescent="0.3">
      <c r="A768" t="s">
        <v>1243</v>
      </c>
      <c r="B768" s="1">
        <v>45215.088888888888</v>
      </c>
      <c r="C768" s="2">
        <v>45215.088888888888</v>
      </c>
      <c r="D768" t="s">
        <v>1120</v>
      </c>
      <c r="E768">
        <v>59</v>
      </c>
      <c r="F768" t="s">
        <v>739</v>
      </c>
      <c r="G768" t="str">
        <f>IFERROR(VLOOKUP(Logs_Reseau_Part5[[#This Row],[Cell_ID]],Registre_Maintenance_Part[[ID_Antenne]:[Colonne2]],2,FALSE),"")</f>
        <v/>
      </c>
      <c r="H768" t="str">
        <f>IFERROR(VLOOKUP(Logs_Reseau_Part5[[#This Row],[Cell_ID]],Registre_Maintenance_Part[[ID_Antenne]:[Colonne2]],3,FALSE),"")</f>
        <v/>
      </c>
      <c r="I768" t="str">
        <f>IFERROR(VLOOKUP(Logs_Reseau_Part5[[#This Row],[Cell_ID]],Registre_Maintenance_Part[[ID_Antenne]:[Colonne2]],4,FALSE),"")</f>
        <v/>
      </c>
      <c r="J768" t="str">
        <f>IFERROR(VLOOKUP(Logs_Reseau_Part5[[#This Row],[Cell_ID]],Registre_Maintenance_Part[[ID_Antenne]:[Colonne2]],5,FALSE),"")</f>
        <v/>
      </c>
      <c r="K768" t="str">
        <f>IFERROR(VLOOKUP(Logs_Reseau_Part5[[#This Row],[Cell_ID]],Registre_Maintenance_Part[[ID_Antenne]:[Colonne2]],6,FALSE),"")</f>
        <v/>
      </c>
    </row>
    <row r="769" spans="1:11" x14ac:dyDescent="0.3">
      <c r="A769" t="s">
        <v>904</v>
      </c>
      <c r="B769" s="1">
        <v>45215.10833333333</v>
      </c>
      <c r="C769" s="2">
        <v>45215.10833333333</v>
      </c>
      <c r="D769" t="s">
        <v>908</v>
      </c>
      <c r="E769">
        <v>39</v>
      </c>
      <c r="F769" t="s">
        <v>739</v>
      </c>
      <c r="G769" t="str">
        <f>IFERROR(VLOOKUP(Logs_Reseau_Part5[[#This Row],[Cell_ID]],Registre_Maintenance_Part[[ID_Antenne]:[Colonne2]],2,FALSE),"")</f>
        <v/>
      </c>
      <c r="H769" t="str">
        <f>IFERROR(VLOOKUP(Logs_Reseau_Part5[[#This Row],[Cell_ID]],Registre_Maintenance_Part[[ID_Antenne]:[Colonne2]],3,FALSE),"")</f>
        <v/>
      </c>
      <c r="I769" t="str">
        <f>IFERROR(VLOOKUP(Logs_Reseau_Part5[[#This Row],[Cell_ID]],Registre_Maintenance_Part[[ID_Antenne]:[Colonne2]],4,FALSE),"")</f>
        <v/>
      </c>
      <c r="J769" t="str">
        <f>IFERROR(VLOOKUP(Logs_Reseau_Part5[[#This Row],[Cell_ID]],Registre_Maintenance_Part[[ID_Antenne]:[Colonne2]],5,FALSE),"")</f>
        <v/>
      </c>
      <c r="K769" t="str">
        <f>IFERROR(VLOOKUP(Logs_Reseau_Part5[[#This Row],[Cell_ID]],Registre_Maintenance_Part[[ID_Antenne]:[Colonne2]],6,FALSE),"")</f>
        <v/>
      </c>
    </row>
    <row r="770" spans="1:11" x14ac:dyDescent="0.3">
      <c r="A770" t="s">
        <v>863</v>
      </c>
      <c r="B770" s="1">
        <v>45215.143750000003</v>
      </c>
      <c r="C770" s="2">
        <v>45215.143750000003</v>
      </c>
      <c r="D770" t="s">
        <v>901</v>
      </c>
      <c r="E770">
        <v>107</v>
      </c>
      <c r="F770" t="s">
        <v>737</v>
      </c>
      <c r="G770" t="str">
        <f>IFERROR(VLOOKUP(Logs_Reseau_Part5[[#This Row],[Cell_ID]],Registre_Maintenance_Part[[ID_Antenne]:[Colonne2]],2,FALSE),"")</f>
        <v/>
      </c>
      <c r="H770" t="str">
        <f>IFERROR(VLOOKUP(Logs_Reseau_Part5[[#This Row],[Cell_ID]],Registre_Maintenance_Part[[ID_Antenne]:[Colonne2]],3,FALSE),"")</f>
        <v/>
      </c>
      <c r="I770" t="str">
        <f>IFERROR(VLOOKUP(Logs_Reseau_Part5[[#This Row],[Cell_ID]],Registre_Maintenance_Part[[ID_Antenne]:[Colonne2]],4,FALSE),"")</f>
        <v/>
      </c>
      <c r="J770" t="str">
        <f>IFERROR(VLOOKUP(Logs_Reseau_Part5[[#This Row],[Cell_ID]],Registre_Maintenance_Part[[ID_Antenne]:[Colonne2]],5,FALSE),"")</f>
        <v/>
      </c>
      <c r="K770" t="str">
        <f>IFERROR(VLOOKUP(Logs_Reseau_Part5[[#This Row],[Cell_ID]],Registre_Maintenance_Part[[ID_Antenne]:[Colonne2]],6,FALSE),"")</f>
        <v/>
      </c>
    </row>
    <row r="771" spans="1:11" x14ac:dyDescent="0.3">
      <c r="A771" t="s">
        <v>1363</v>
      </c>
      <c r="B771" s="1">
        <v>45215.163888888892</v>
      </c>
      <c r="C771" s="2">
        <v>45215.163888888892</v>
      </c>
      <c r="D771" t="s">
        <v>1377</v>
      </c>
      <c r="E771">
        <v>109</v>
      </c>
      <c r="F771" t="s">
        <v>737</v>
      </c>
      <c r="G771" t="str">
        <f>IFERROR(VLOOKUP(Logs_Reseau_Part5[[#This Row],[Cell_ID]],Registre_Maintenance_Part[[ID_Antenne]:[Colonne2]],2,FALSE),"")</f>
        <v/>
      </c>
      <c r="H771" t="str">
        <f>IFERROR(VLOOKUP(Logs_Reseau_Part5[[#This Row],[Cell_ID]],Registre_Maintenance_Part[[ID_Antenne]:[Colonne2]],3,FALSE),"")</f>
        <v/>
      </c>
      <c r="I771" t="str">
        <f>IFERROR(VLOOKUP(Logs_Reseau_Part5[[#This Row],[Cell_ID]],Registre_Maintenance_Part[[ID_Antenne]:[Colonne2]],4,FALSE),"")</f>
        <v/>
      </c>
      <c r="J771" t="str">
        <f>IFERROR(VLOOKUP(Logs_Reseau_Part5[[#This Row],[Cell_ID]],Registre_Maintenance_Part[[ID_Antenne]:[Colonne2]],5,FALSE),"")</f>
        <v/>
      </c>
      <c r="K771" t="str">
        <f>IFERROR(VLOOKUP(Logs_Reseau_Part5[[#This Row],[Cell_ID]],Registre_Maintenance_Part[[ID_Antenne]:[Colonne2]],6,FALSE),"")</f>
        <v/>
      </c>
    </row>
    <row r="772" spans="1:11" x14ac:dyDescent="0.3">
      <c r="A772" t="s">
        <v>1406</v>
      </c>
      <c r="B772" s="1">
        <v>45215.231944444437</v>
      </c>
      <c r="C772" s="2">
        <v>45215.231944444437</v>
      </c>
      <c r="D772" t="s">
        <v>1072</v>
      </c>
      <c r="E772">
        <v>25</v>
      </c>
      <c r="F772" t="s">
        <v>737</v>
      </c>
      <c r="G772" t="str">
        <f>IFERROR(VLOOKUP(Logs_Reseau_Part5[[#This Row],[Cell_ID]],Registre_Maintenance_Part[[ID_Antenne]:[Colonne2]],2,FALSE),"")</f>
        <v/>
      </c>
      <c r="H772" t="str">
        <f>IFERROR(VLOOKUP(Logs_Reseau_Part5[[#This Row],[Cell_ID]],Registre_Maintenance_Part[[ID_Antenne]:[Colonne2]],3,FALSE),"")</f>
        <v/>
      </c>
      <c r="I772" t="str">
        <f>IFERROR(VLOOKUP(Logs_Reseau_Part5[[#This Row],[Cell_ID]],Registre_Maintenance_Part[[ID_Antenne]:[Colonne2]],4,FALSE),"")</f>
        <v/>
      </c>
      <c r="J772" t="str">
        <f>IFERROR(VLOOKUP(Logs_Reseau_Part5[[#This Row],[Cell_ID]],Registre_Maintenance_Part[[ID_Antenne]:[Colonne2]],5,FALSE),"")</f>
        <v/>
      </c>
      <c r="K772" t="str">
        <f>IFERROR(VLOOKUP(Logs_Reseau_Part5[[#This Row],[Cell_ID]],Registre_Maintenance_Part[[ID_Antenne]:[Colonne2]],6,FALSE),"")</f>
        <v/>
      </c>
    </row>
    <row r="773" spans="1:11" x14ac:dyDescent="0.3">
      <c r="A773" t="s">
        <v>1347</v>
      </c>
      <c r="B773" s="1">
        <v>45215.272222222222</v>
      </c>
      <c r="C773" s="2">
        <v>45215.272222222222</v>
      </c>
      <c r="D773" t="s">
        <v>1352</v>
      </c>
      <c r="E773">
        <v>56</v>
      </c>
      <c r="F773" t="s">
        <v>739</v>
      </c>
      <c r="G773" t="str">
        <f>IFERROR(VLOOKUP(Logs_Reseau_Part5[[#This Row],[Cell_ID]],Registre_Maintenance_Part[[ID_Antenne]:[Colonne2]],2,FALSE),"")</f>
        <v/>
      </c>
      <c r="H773" t="str">
        <f>IFERROR(VLOOKUP(Logs_Reseau_Part5[[#This Row],[Cell_ID]],Registre_Maintenance_Part[[ID_Antenne]:[Colonne2]],3,FALSE),"")</f>
        <v/>
      </c>
      <c r="I773" t="str">
        <f>IFERROR(VLOOKUP(Logs_Reseau_Part5[[#This Row],[Cell_ID]],Registre_Maintenance_Part[[ID_Antenne]:[Colonne2]],4,FALSE),"")</f>
        <v/>
      </c>
      <c r="J773" t="str">
        <f>IFERROR(VLOOKUP(Logs_Reseau_Part5[[#This Row],[Cell_ID]],Registre_Maintenance_Part[[ID_Antenne]:[Colonne2]],5,FALSE),"")</f>
        <v/>
      </c>
      <c r="K773" t="str">
        <f>IFERROR(VLOOKUP(Logs_Reseau_Part5[[#This Row],[Cell_ID]],Registre_Maintenance_Part[[ID_Antenne]:[Colonne2]],6,FALSE),"")</f>
        <v/>
      </c>
    </row>
    <row r="774" spans="1:11" x14ac:dyDescent="0.3">
      <c r="A774" t="s">
        <v>1167</v>
      </c>
      <c r="B774" s="1">
        <v>45215.322222222218</v>
      </c>
      <c r="C774" s="2">
        <v>45215.322222222218</v>
      </c>
      <c r="D774" t="s">
        <v>1182</v>
      </c>
      <c r="E774">
        <v>57</v>
      </c>
      <c r="F774" t="s">
        <v>739</v>
      </c>
      <c r="G774" t="str">
        <f>IFERROR(VLOOKUP(Logs_Reseau_Part5[[#This Row],[Cell_ID]],Registre_Maintenance_Part[[ID_Antenne]:[Colonne2]],2,FALSE),"")</f>
        <v/>
      </c>
      <c r="H774" t="str">
        <f>IFERROR(VLOOKUP(Logs_Reseau_Part5[[#This Row],[Cell_ID]],Registre_Maintenance_Part[[ID_Antenne]:[Colonne2]],3,FALSE),"")</f>
        <v/>
      </c>
      <c r="I774" t="str">
        <f>IFERROR(VLOOKUP(Logs_Reseau_Part5[[#This Row],[Cell_ID]],Registre_Maintenance_Part[[ID_Antenne]:[Colonne2]],4,FALSE),"")</f>
        <v/>
      </c>
      <c r="J774" t="str">
        <f>IFERROR(VLOOKUP(Logs_Reseau_Part5[[#This Row],[Cell_ID]],Registre_Maintenance_Part[[ID_Antenne]:[Colonne2]],5,FALSE),"")</f>
        <v/>
      </c>
      <c r="K774" t="str">
        <f>IFERROR(VLOOKUP(Logs_Reseau_Part5[[#This Row],[Cell_ID]],Registre_Maintenance_Part[[ID_Antenne]:[Colonne2]],6,FALSE),"")</f>
        <v/>
      </c>
    </row>
    <row r="775" spans="1:11" x14ac:dyDescent="0.3">
      <c r="A775" t="s">
        <v>1332</v>
      </c>
      <c r="B775" s="1">
        <v>45215.372916666667</v>
      </c>
      <c r="C775" s="2">
        <v>45215.372916666667</v>
      </c>
      <c r="D775" t="s">
        <v>1005</v>
      </c>
      <c r="E775">
        <v>70</v>
      </c>
      <c r="F775" t="s">
        <v>737</v>
      </c>
      <c r="G775" t="str">
        <f>IFERROR(VLOOKUP(Logs_Reseau_Part5[[#This Row],[Cell_ID]],Registre_Maintenance_Part[[ID_Antenne]:[Colonne2]],2,FALSE),"")</f>
        <v/>
      </c>
      <c r="H775" t="str">
        <f>IFERROR(VLOOKUP(Logs_Reseau_Part5[[#This Row],[Cell_ID]],Registre_Maintenance_Part[[ID_Antenne]:[Colonne2]],3,FALSE),"")</f>
        <v/>
      </c>
      <c r="I775" t="str">
        <f>IFERROR(VLOOKUP(Logs_Reseau_Part5[[#This Row],[Cell_ID]],Registre_Maintenance_Part[[ID_Antenne]:[Colonne2]],4,FALSE),"")</f>
        <v/>
      </c>
      <c r="J775" t="str">
        <f>IFERROR(VLOOKUP(Logs_Reseau_Part5[[#This Row],[Cell_ID]],Registre_Maintenance_Part[[ID_Antenne]:[Colonne2]],5,FALSE),"")</f>
        <v/>
      </c>
      <c r="K775" t="str">
        <f>IFERROR(VLOOKUP(Logs_Reseau_Part5[[#This Row],[Cell_ID]],Registre_Maintenance_Part[[ID_Antenne]:[Colonne2]],6,FALSE),"")</f>
        <v/>
      </c>
    </row>
    <row r="776" spans="1:11" x14ac:dyDescent="0.3">
      <c r="A776" t="s">
        <v>1221</v>
      </c>
      <c r="B776" s="1">
        <v>45215.479166666657</v>
      </c>
      <c r="C776" s="2">
        <v>45215.479166666657</v>
      </c>
      <c r="D776" t="s">
        <v>852</v>
      </c>
      <c r="E776">
        <v>67</v>
      </c>
      <c r="F776" t="s">
        <v>739</v>
      </c>
      <c r="G776" t="str">
        <f>IFERROR(VLOOKUP(Logs_Reseau_Part5[[#This Row],[Cell_ID]],Registre_Maintenance_Part[[ID_Antenne]:[Colonne2]],2,FALSE),"")</f>
        <v/>
      </c>
      <c r="H776" t="str">
        <f>IFERROR(VLOOKUP(Logs_Reseau_Part5[[#This Row],[Cell_ID]],Registre_Maintenance_Part[[ID_Antenne]:[Colonne2]],3,FALSE),"")</f>
        <v/>
      </c>
      <c r="I776" t="str">
        <f>IFERROR(VLOOKUP(Logs_Reseau_Part5[[#This Row],[Cell_ID]],Registre_Maintenance_Part[[ID_Antenne]:[Colonne2]],4,FALSE),"")</f>
        <v/>
      </c>
      <c r="J776" t="str">
        <f>IFERROR(VLOOKUP(Logs_Reseau_Part5[[#This Row],[Cell_ID]],Registre_Maintenance_Part[[ID_Antenne]:[Colonne2]],5,FALSE),"")</f>
        <v/>
      </c>
      <c r="K776" t="str">
        <f>IFERROR(VLOOKUP(Logs_Reseau_Part5[[#This Row],[Cell_ID]],Registre_Maintenance_Part[[ID_Antenne]:[Colonne2]],6,FALSE),"")</f>
        <v/>
      </c>
    </row>
    <row r="777" spans="1:11" x14ac:dyDescent="0.3">
      <c r="A777" t="s">
        <v>904</v>
      </c>
      <c r="B777" s="1">
        <v>45215.597916666673</v>
      </c>
      <c r="C777" s="2">
        <v>45215.597916666673</v>
      </c>
      <c r="D777" t="s">
        <v>905</v>
      </c>
      <c r="E777">
        <v>7</v>
      </c>
      <c r="F777" t="s">
        <v>739</v>
      </c>
      <c r="G777" t="str">
        <f>IFERROR(VLOOKUP(Logs_Reseau_Part5[[#This Row],[Cell_ID]],Registre_Maintenance_Part[[ID_Antenne]:[Colonne2]],2,FALSE),"")</f>
        <v/>
      </c>
      <c r="H777" t="str">
        <f>IFERROR(VLOOKUP(Logs_Reseau_Part5[[#This Row],[Cell_ID]],Registre_Maintenance_Part[[ID_Antenne]:[Colonne2]],3,FALSE),"")</f>
        <v/>
      </c>
      <c r="I777" t="str">
        <f>IFERROR(VLOOKUP(Logs_Reseau_Part5[[#This Row],[Cell_ID]],Registre_Maintenance_Part[[ID_Antenne]:[Colonne2]],4,FALSE),"")</f>
        <v/>
      </c>
      <c r="J777" t="str">
        <f>IFERROR(VLOOKUP(Logs_Reseau_Part5[[#This Row],[Cell_ID]],Registre_Maintenance_Part[[ID_Antenne]:[Colonne2]],5,FALSE),"")</f>
        <v/>
      </c>
      <c r="K777" t="str">
        <f>IFERROR(VLOOKUP(Logs_Reseau_Part5[[#This Row],[Cell_ID]],Registre_Maintenance_Part[[ID_Antenne]:[Colonne2]],6,FALSE),"")</f>
        <v/>
      </c>
    </row>
    <row r="778" spans="1:11" x14ac:dyDescent="0.3">
      <c r="A778" t="s">
        <v>1140</v>
      </c>
      <c r="B778" s="1">
        <v>45215.743750000001</v>
      </c>
      <c r="C778" s="2">
        <v>45215.743750000001</v>
      </c>
      <c r="D778" t="s">
        <v>1152</v>
      </c>
      <c r="E778">
        <v>103</v>
      </c>
      <c r="F778" t="s">
        <v>734</v>
      </c>
      <c r="G778" t="str">
        <f>IFERROR(VLOOKUP(Logs_Reseau_Part5[[#This Row],[Cell_ID]],Registre_Maintenance_Part[[ID_Antenne]:[Colonne2]],2,FALSE),"")</f>
        <v/>
      </c>
      <c r="H778" t="str">
        <f>IFERROR(VLOOKUP(Logs_Reseau_Part5[[#This Row],[Cell_ID]],Registre_Maintenance_Part[[ID_Antenne]:[Colonne2]],3,FALSE),"")</f>
        <v/>
      </c>
      <c r="I778" t="str">
        <f>IFERROR(VLOOKUP(Logs_Reseau_Part5[[#This Row],[Cell_ID]],Registre_Maintenance_Part[[ID_Antenne]:[Colonne2]],4,FALSE),"")</f>
        <v/>
      </c>
      <c r="J778" t="str">
        <f>IFERROR(VLOOKUP(Logs_Reseau_Part5[[#This Row],[Cell_ID]],Registre_Maintenance_Part[[ID_Antenne]:[Colonne2]],5,FALSE),"")</f>
        <v/>
      </c>
      <c r="K778" t="str">
        <f>IFERROR(VLOOKUP(Logs_Reseau_Part5[[#This Row],[Cell_ID]],Registre_Maintenance_Part[[ID_Antenne]:[Colonne2]],6,FALSE),"")</f>
        <v/>
      </c>
    </row>
    <row r="779" spans="1:11" x14ac:dyDescent="0.3">
      <c r="A779" t="s">
        <v>1263</v>
      </c>
      <c r="B779" s="1">
        <v>45215.756944444453</v>
      </c>
      <c r="C779" s="2">
        <v>45215.756944444453</v>
      </c>
      <c r="D779" t="s">
        <v>1276</v>
      </c>
      <c r="E779">
        <v>24</v>
      </c>
      <c r="F779" t="s">
        <v>739</v>
      </c>
      <c r="G779" t="str">
        <f>IFERROR(VLOOKUP(Logs_Reseau_Part5[[#This Row],[Cell_ID]],Registre_Maintenance_Part[[ID_Antenne]:[Colonne2]],2,FALSE),"")</f>
        <v/>
      </c>
      <c r="H779" t="str">
        <f>IFERROR(VLOOKUP(Logs_Reseau_Part5[[#This Row],[Cell_ID]],Registre_Maintenance_Part[[ID_Antenne]:[Colonne2]],3,FALSE),"")</f>
        <v/>
      </c>
      <c r="I779" t="str">
        <f>IFERROR(VLOOKUP(Logs_Reseau_Part5[[#This Row],[Cell_ID]],Registre_Maintenance_Part[[ID_Antenne]:[Colonne2]],4,FALSE),"")</f>
        <v/>
      </c>
      <c r="J779" t="str">
        <f>IFERROR(VLOOKUP(Logs_Reseau_Part5[[#This Row],[Cell_ID]],Registre_Maintenance_Part[[ID_Antenne]:[Colonne2]],5,FALSE),"")</f>
        <v/>
      </c>
      <c r="K779" t="str">
        <f>IFERROR(VLOOKUP(Logs_Reseau_Part5[[#This Row],[Cell_ID]],Registre_Maintenance_Part[[ID_Antenne]:[Colonne2]],6,FALSE),"")</f>
        <v/>
      </c>
    </row>
    <row r="780" spans="1:11" x14ac:dyDescent="0.3">
      <c r="A780" t="s">
        <v>1384</v>
      </c>
      <c r="B780" s="1">
        <v>45215.775000000001</v>
      </c>
      <c r="C780" s="2">
        <v>45215.775000000001</v>
      </c>
      <c r="D780" t="s">
        <v>1096</v>
      </c>
      <c r="E780">
        <v>95</v>
      </c>
      <c r="F780" t="s">
        <v>737</v>
      </c>
      <c r="G780" t="str">
        <f>IFERROR(VLOOKUP(Logs_Reseau_Part5[[#This Row],[Cell_ID]],Registre_Maintenance_Part[[ID_Antenne]:[Colonne2]],2,FALSE),"")</f>
        <v/>
      </c>
      <c r="H780" t="str">
        <f>IFERROR(VLOOKUP(Logs_Reseau_Part5[[#This Row],[Cell_ID]],Registre_Maintenance_Part[[ID_Antenne]:[Colonne2]],3,FALSE),"")</f>
        <v/>
      </c>
      <c r="I780" t="str">
        <f>IFERROR(VLOOKUP(Logs_Reseau_Part5[[#This Row],[Cell_ID]],Registre_Maintenance_Part[[ID_Antenne]:[Colonne2]],4,FALSE),"")</f>
        <v/>
      </c>
      <c r="J780" t="str">
        <f>IFERROR(VLOOKUP(Logs_Reseau_Part5[[#This Row],[Cell_ID]],Registre_Maintenance_Part[[ID_Antenne]:[Colonne2]],5,FALSE),"")</f>
        <v/>
      </c>
      <c r="K780" t="str">
        <f>IFERROR(VLOOKUP(Logs_Reseau_Part5[[#This Row],[Cell_ID]],Registre_Maintenance_Part[[ID_Antenne]:[Colonne2]],6,FALSE),"")</f>
        <v/>
      </c>
    </row>
    <row r="781" spans="1:11" x14ac:dyDescent="0.3">
      <c r="A781" t="s">
        <v>1001</v>
      </c>
      <c r="B781" s="1">
        <v>45215.811111111107</v>
      </c>
      <c r="C781" s="2">
        <v>45215.811111111107</v>
      </c>
      <c r="D781" t="s">
        <v>901</v>
      </c>
      <c r="E781">
        <v>7</v>
      </c>
      <c r="F781" t="s">
        <v>739</v>
      </c>
      <c r="G781" t="str">
        <f>IFERROR(VLOOKUP(Logs_Reseau_Part5[[#This Row],[Cell_ID]],Registre_Maintenance_Part[[ID_Antenne]:[Colonne2]],2,FALSE),"")</f>
        <v/>
      </c>
      <c r="H781" t="str">
        <f>IFERROR(VLOOKUP(Logs_Reseau_Part5[[#This Row],[Cell_ID]],Registre_Maintenance_Part[[ID_Antenne]:[Colonne2]],3,FALSE),"")</f>
        <v/>
      </c>
      <c r="I781" t="str">
        <f>IFERROR(VLOOKUP(Logs_Reseau_Part5[[#This Row],[Cell_ID]],Registre_Maintenance_Part[[ID_Antenne]:[Colonne2]],4,FALSE),"")</f>
        <v/>
      </c>
      <c r="J781" t="str">
        <f>IFERROR(VLOOKUP(Logs_Reseau_Part5[[#This Row],[Cell_ID]],Registre_Maintenance_Part[[ID_Antenne]:[Colonne2]],5,FALSE),"")</f>
        <v/>
      </c>
      <c r="K781" t="str">
        <f>IFERROR(VLOOKUP(Logs_Reseau_Part5[[#This Row],[Cell_ID]],Registre_Maintenance_Part[[ID_Antenne]:[Colonne2]],6,FALSE),"")</f>
        <v/>
      </c>
    </row>
    <row r="782" spans="1:11" x14ac:dyDescent="0.3">
      <c r="A782" t="s">
        <v>1332</v>
      </c>
      <c r="B782" s="1">
        <v>45215.811111111107</v>
      </c>
      <c r="C782" s="2">
        <v>45215.811111111107</v>
      </c>
      <c r="D782" t="s">
        <v>920</v>
      </c>
      <c r="E782">
        <v>49</v>
      </c>
      <c r="F782" t="s">
        <v>737</v>
      </c>
      <c r="G782" t="str">
        <f>IFERROR(VLOOKUP(Logs_Reseau_Part5[[#This Row],[Cell_ID]],Registre_Maintenance_Part[[ID_Antenne]:[Colonne2]],2,FALSE),"")</f>
        <v/>
      </c>
      <c r="H782" t="str">
        <f>IFERROR(VLOOKUP(Logs_Reseau_Part5[[#This Row],[Cell_ID]],Registre_Maintenance_Part[[ID_Antenne]:[Colonne2]],3,FALSE),"")</f>
        <v/>
      </c>
      <c r="I782" t="str">
        <f>IFERROR(VLOOKUP(Logs_Reseau_Part5[[#This Row],[Cell_ID]],Registre_Maintenance_Part[[ID_Antenne]:[Colonne2]],4,FALSE),"")</f>
        <v/>
      </c>
      <c r="J782" t="str">
        <f>IFERROR(VLOOKUP(Logs_Reseau_Part5[[#This Row],[Cell_ID]],Registre_Maintenance_Part[[ID_Antenne]:[Colonne2]],5,FALSE),"")</f>
        <v/>
      </c>
      <c r="K782" t="str">
        <f>IFERROR(VLOOKUP(Logs_Reseau_Part5[[#This Row],[Cell_ID]],Registre_Maintenance_Part[[ID_Antenne]:[Colonne2]],6,FALSE),"")</f>
        <v/>
      </c>
    </row>
    <row r="783" spans="1:11" x14ac:dyDescent="0.3">
      <c r="A783" t="s">
        <v>863</v>
      </c>
      <c r="B783" s="1">
        <v>45215.879861111112</v>
      </c>
      <c r="C783" s="2">
        <v>45215.879861111112</v>
      </c>
      <c r="D783" t="s">
        <v>882</v>
      </c>
      <c r="E783">
        <v>16</v>
      </c>
      <c r="F783" t="s">
        <v>737</v>
      </c>
      <c r="G783" t="str">
        <f>IFERROR(VLOOKUP(Logs_Reseau_Part5[[#This Row],[Cell_ID]],Registre_Maintenance_Part[[ID_Antenne]:[Colonne2]],2,FALSE),"")</f>
        <v/>
      </c>
      <c r="H783" t="str">
        <f>IFERROR(VLOOKUP(Logs_Reseau_Part5[[#This Row],[Cell_ID]],Registre_Maintenance_Part[[ID_Antenne]:[Colonne2]],3,FALSE),"")</f>
        <v/>
      </c>
      <c r="I783" t="str">
        <f>IFERROR(VLOOKUP(Logs_Reseau_Part5[[#This Row],[Cell_ID]],Registre_Maintenance_Part[[ID_Antenne]:[Colonne2]],4,FALSE),"")</f>
        <v/>
      </c>
      <c r="J783" t="str">
        <f>IFERROR(VLOOKUP(Logs_Reseau_Part5[[#This Row],[Cell_ID]],Registre_Maintenance_Part[[ID_Antenne]:[Colonne2]],5,FALSE),"")</f>
        <v/>
      </c>
      <c r="K783" t="str">
        <f>IFERROR(VLOOKUP(Logs_Reseau_Part5[[#This Row],[Cell_ID]],Registre_Maintenance_Part[[ID_Antenne]:[Colonne2]],6,FALSE),"")</f>
        <v/>
      </c>
    </row>
    <row r="784" spans="1:11" x14ac:dyDescent="0.3">
      <c r="A784" t="s">
        <v>1263</v>
      </c>
      <c r="B784" s="1">
        <v>45216.001388888893</v>
      </c>
      <c r="C784" s="2">
        <v>45216.001388888893</v>
      </c>
      <c r="D784" t="s">
        <v>1280</v>
      </c>
      <c r="E784">
        <v>74</v>
      </c>
      <c r="F784" t="s">
        <v>739</v>
      </c>
      <c r="G784" t="str">
        <f>IFERROR(VLOOKUP(Logs_Reseau_Part5[[#This Row],[Cell_ID]],Registre_Maintenance_Part[[ID_Antenne]:[Colonne2]],2,FALSE),"")</f>
        <v/>
      </c>
      <c r="H784" t="str">
        <f>IFERROR(VLOOKUP(Logs_Reseau_Part5[[#This Row],[Cell_ID]],Registre_Maintenance_Part[[ID_Antenne]:[Colonne2]],3,FALSE),"")</f>
        <v/>
      </c>
      <c r="I784" t="str">
        <f>IFERROR(VLOOKUP(Logs_Reseau_Part5[[#This Row],[Cell_ID]],Registre_Maintenance_Part[[ID_Antenne]:[Colonne2]],4,FALSE),"")</f>
        <v/>
      </c>
      <c r="J784" t="str">
        <f>IFERROR(VLOOKUP(Logs_Reseau_Part5[[#This Row],[Cell_ID]],Registre_Maintenance_Part[[ID_Antenne]:[Colonne2]],5,FALSE),"")</f>
        <v/>
      </c>
      <c r="K784" t="str">
        <f>IFERROR(VLOOKUP(Logs_Reseau_Part5[[#This Row],[Cell_ID]],Registre_Maintenance_Part[[ID_Antenne]:[Colonne2]],6,FALSE),"")</f>
        <v/>
      </c>
    </row>
    <row r="785" spans="1:11" x14ac:dyDescent="0.3">
      <c r="A785" t="s">
        <v>1088</v>
      </c>
      <c r="B785" s="1">
        <v>45216.078472222223</v>
      </c>
      <c r="C785" s="2">
        <v>45216.078472222223</v>
      </c>
      <c r="D785" t="s">
        <v>1105</v>
      </c>
      <c r="E785">
        <v>48</v>
      </c>
      <c r="F785" t="s">
        <v>737</v>
      </c>
      <c r="G785" t="str">
        <f>IFERROR(VLOOKUP(Logs_Reseau_Part5[[#This Row],[Cell_ID]],Registre_Maintenance_Part[[ID_Antenne]:[Colonne2]],2,FALSE),"")</f>
        <v/>
      </c>
      <c r="H785" t="str">
        <f>IFERROR(VLOOKUP(Logs_Reseau_Part5[[#This Row],[Cell_ID]],Registre_Maintenance_Part[[ID_Antenne]:[Colonne2]],3,FALSE),"")</f>
        <v/>
      </c>
      <c r="I785" t="str">
        <f>IFERROR(VLOOKUP(Logs_Reseau_Part5[[#This Row],[Cell_ID]],Registre_Maintenance_Part[[ID_Antenne]:[Colonne2]],4,FALSE),"")</f>
        <v/>
      </c>
      <c r="J785" t="str">
        <f>IFERROR(VLOOKUP(Logs_Reseau_Part5[[#This Row],[Cell_ID]],Registre_Maintenance_Part[[ID_Antenne]:[Colonne2]],5,FALSE),"")</f>
        <v/>
      </c>
      <c r="K785" t="str">
        <f>IFERROR(VLOOKUP(Logs_Reseau_Part5[[#This Row],[Cell_ID]],Registre_Maintenance_Part[[ID_Antenne]:[Colonne2]],6,FALSE),"")</f>
        <v/>
      </c>
    </row>
    <row r="786" spans="1:11" x14ac:dyDescent="0.3">
      <c r="A786" t="s">
        <v>1221</v>
      </c>
      <c r="B786" s="1">
        <v>45216.181944444441</v>
      </c>
      <c r="C786" s="2">
        <v>45216.181944444441</v>
      </c>
      <c r="D786" t="s">
        <v>1223</v>
      </c>
      <c r="E786">
        <v>86</v>
      </c>
      <c r="F786" t="s">
        <v>737</v>
      </c>
      <c r="G786" t="str">
        <f>IFERROR(VLOOKUP(Logs_Reseau_Part5[[#This Row],[Cell_ID]],Registre_Maintenance_Part[[ID_Antenne]:[Colonne2]],2,FALSE),"")</f>
        <v/>
      </c>
      <c r="H786" t="str">
        <f>IFERROR(VLOOKUP(Logs_Reseau_Part5[[#This Row],[Cell_ID]],Registre_Maintenance_Part[[ID_Antenne]:[Colonne2]],3,FALSE),"")</f>
        <v/>
      </c>
      <c r="I786" t="str">
        <f>IFERROR(VLOOKUP(Logs_Reseau_Part5[[#This Row],[Cell_ID]],Registre_Maintenance_Part[[ID_Antenne]:[Colonne2]],4,FALSE),"")</f>
        <v/>
      </c>
      <c r="J786" t="str">
        <f>IFERROR(VLOOKUP(Logs_Reseau_Part5[[#This Row],[Cell_ID]],Registre_Maintenance_Part[[ID_Antenne]:[Colonne2]],5,FALSE),"")</f>
        <v/>
      </c>
      <c r="K786" t="str">
        <f>IFERROR(VLOOKUP(Logs_Reseau_Part5[[#This Row],[Cell_ID]],Registre_Maintenance_Part[[ID_Antenne]:[Colonne2]],6,FALSE),"")</f>
        <v/>
      </c>
    </row>
    <row r="787" spans="1:11" x14ac:dyDescent="0.3">
      <c r="A787" t="s">
        <v>1347</v>
      </c>
      <c r="B787" s="1">
        <v>45216.393055555563</v>
      </c>
      <c r="C787" s="2">
        <v>45216.393055555563</v>
      </c>
      <c r="D787" t="s">
        <v>1353</v>
      </c>
      <c r="E787">
        <v>34</v>
      </c>
      <c r="F787" t="s">
        <v>739</v>
      </c>
      <c r="G787" t="str">
        <f>IFERROR(VLOOKUP(Logs_Reseau_Part5[[#This Row],[Cell_ID]],Registre_Maintenance_Part[[ID_Antenne]:[Colonne2]],2,FALSE),"")</f>
        <v/>
      </c>
      <c r="H787" t="str">
        <f>IFERROR(VLOOKUP(Logs_Reseau_Part5[[#This Row],[Cell_ID]],Registre_Maintenance_Part[[ID_Antenne]:[Colonne2]],3,FALSE),"")</f>
        <v/>
      </c>
      <c r="I787" t="str">
        <f>IFERROR(VLOOKUP(Logs_Reseau_Part5[[#This Row],[Cell_ID]],Registre_Maintenance_Part[[ID_Antenne]:[Colonne2]],4,FALSE),"")</f>
        <v/>
      </c>
      <c r="J787" t="str">
        <f>IFERROR(VLOOKUP(Logs_Reseau_Part5[[#This Row],[Cell_ID]],Registre_Maintenance_Part[[ID_Antenne]:[Colonne2]],5,FALSE),"")</f>
        <v/>
      </c>
      <c r="K787" t="str">
        <f>IFERROR(VLOOKUP(Logs_Reseau_Part5[[#This Row],[Cell_ID]],Registre_Maintenance_Part[[ID_Antenne]:[Colonne2]],6,FALSE),"")</f>
        <v/>
      </c>
    </row>
    <row r="788" spans="1:11" x14ac:dyDescent="0.3">
      <c r="A788" t="s">
        <v>1347</v>
      </c>
      <c r="B788" s="1">
        <v>45216.435416666667</v>
      </c>
      <c r="C788" s="2">
        <v>45216.435416666667</v>
      </c>
      <c r="D788" t="s">
        <v>1200</v>
      </c>
      <c r="E788">
        <v>88</v>
      </c>
      <c r="F788" t="s">
        <v>734</v>
      </c>
      <c r="G788" t="str">
        <f>IFERROR(VLOOKUP(Logs_Reseau_Part5[[#This Row],[Cell_ID]],Registre_Maintenance_Part[[ID_Antenne]:[Colonne2]],2,FALSE),"")</f>
        <v/>
      </c>
      <c r="H788" t="str">
        <f>IFERROR(VLOOKUP(Logs_Reseau_Part5[[#This Row],[Cell_ID]],Registre_Maintenance_Part[[ID_Antenne]:[Colonne2]],3,FALSE),"")</f>
        <v/>
      </c>
      <c r="I788" t="str">
        <f>IFERROR(VLOOKUP(Logs_Reseau_Part5[[#This Row],[Cell_ID]],Registre_Maintenance_Part[[ID_Antenne]:[Colonne2]],4,FALSE),"")</f>
        <v/>
      </c>
      <c r="J788" t="str">
        <f>IFERROR(VLOOKUP(Logs_Reseau_Part5[[#This Row],[Cell_ID]],Registre_Maintenance_Part[[ID_Antenne]:[Colonne2]],5,FALSE),"")</f>
        <v/>
      </c>
      <c r="K788" t="str">
        <f>IFERROR(VLOOKUP(Logs_Reseau_Part5[[#This Row],[Cell_ID]],Registre_Maintenance_Part[[ID_Antenne]:[Colonne2]],6,FALSE),"")</f>
        <v/>
      </c>
    </row>
    <row r="789" spans="1:11" x14ac:dyDescent="0.3">
      <c r="A789" t="s">
        <v>1026</v>
      </c>
      <c r="B789" s="1">
        <v>45216.459027777782</v>
      </c>
      <c r="C789" s="2">
        <v>45216.459027777782</v>
      </c>
      <c r="D789" t="s">
        <v>882</v>
      </c>
      <c r="E789">
        <v>100</v>
      </c>
      <c r="F789" t="s">
        <v>737</v>
      </c>
      <c r="G789" t="str">
        <f>IFERROR(VLOOKUP(Logs_Reseau_Part5[[#This Row],[Cell_ID]],Registre_Maintenance_Part[[ID_Antenne]:[Colonne2]],2,FALSE),"")</f>
        <v/>
      </c>
      <c r="H789" t="str">
        <f>IFERROR(VLOOKUP(Logs_Reseau_Part5[[#This Row],[Cell_ID]],Registre_Maintenance_Part[[ID_Antenne]:[Colonne2]],3,FALSE),"")</f>
        <v/>
      </c>
      <c r="I789" t="str">
        <f>IFERROR(VLOOKUP(Logs_Reseau_Part5[[#This Row],[Cell_ID]],Registre_Maintenance_Part[[ID_Antenne]:[Colonne2]],4,FALSE),"")</f>
        <v/>
      </c>
      <c r="J789" t="str">
        <f>IFERROR(VLOOKUP(Logs_Reseau_Part5[[#This Row],[Cell_ID]],Registre_Maintenance_Part[[ID_Antenne]:[Colonne2]],5,FALSE),"")</f>
        <v/>
      </c>
      <c r="K789" t="str">
        <f>IFERROR(VLOOKUP(Logs_Reseau_Part5[[#This Row],[Cell_ID]],Registre_Maintenance_Part[[ID_Antenne]:[Colonne2]],6,FALSE),"")</f>
        <v/>
      </c>
    </row>
    <row r="790" spans="1:11" x14ac:dyDescent="0.3">
      <c r="A790" t="s">
        <v>1088</v>
      </c>
      <c r="B790" s="1">
        <v>45216.463888888888</v>
      </c>
      <c r="C790" s="2">
        <v>45216.463888888888</v>
      </c>
      <c r="D790" t="s">
        <v>1054</v>
      </c>
      <c r="E790">
        <v>58</v>
      </c>
      <c r="F790" t="s">
        <v>734</v>
      </c>
      <c r="G790" t="str">
        <f>IFERROR(VLOOKUP(Logs_Reseau_Part5[[#This Row],[Cell_ID]],Registre_Maintenance_Part[[ID_Antenne]:[Colonne2]],2,FALSE),"")</f>
        <v/>
      </c>
      <c r="H790" t="str">
        <f>IFERROR(VLOOKUP(Logs_Reseau_Part5[[#This Row],[Cell_ID]],Registre_Maintenance_Part[[ID_Antenne]:[Colonne2]],3,FALSE),"")</f>
        <v/>
      </c>
      <c r="I790" t="str">
        <f>IFERROR(VLOOKUP(Logs_Reseau_Part5[[#This Row],[Cell_ID]],Registre_Maintenance_Part[[ID_Antenne]:[Colonne2]],4,FALSE),"")</f>
        <v/>
      </c>
      <c r="J790" t="str">
        <f>IFERROR(VLOOKUP(Logs_Reseau_Part5[[#This Row],[Cell_ID]],Registre_Maintenance_Part[[ID_Antenne]:[Colonne2]],5,FALSE),"")</f>
        <v/>
      </c>
      <c r="K790" t="str">
        <f>IFERROR(VLOOKUP(Logs_Reseau_Part5[[#This Row],[Cell_ID]],Registre_Maintenance_Part[[ID_Antenne]:[Colonne2]],6,FALSE),"")</f>
        <v/>
      </c>
    </row>
    <row r="791" spans="1:11" x14ac:dyDescent="0.3">
      <c r="A791" t="s">
        <v>1116</v>
      </c>
      <c r="B791" s="1">
        <v>45216.513888888891</v>
      </c>
      <c r="C791" s="2">
        <v>45216.513888888891</v>
      </c>
      <c r="D791" t="s">
        <v>1132</v>
      </c>
      <c r="E791">
        <v>73</v>
      </c>
      <c r="F791" t="s">
        <v>737</v>
      </c>
      <c r="G791" t="str">
        <f>IFERROR(VLOOKUP(Logs_Reseau_Part5[[#This Row],[Cell_ID]],Registre_Maintenance_Part[[ID_Antenne]:[Colonne2]],2,FALSE),"")</f>
        <v/>
      </c>
      <c r="H791" t="str">
        <f>IFERROR(VLOOKUP(Logs_Reseau_Part5[[#This Row],[Cell_ID]],Registre_Maintenance_Part[[ID_Antenne]:[Colonne2]],3,FALSE),"")</f>
        <v/>
      </c>
      <c r="I791" t="str">
        <f>IFERROR(VLOOKUP(Logs_Reseau_Part5[[#This Row],[Cell_ID]],Registre_Maintenance_Part[[ID_Antenne]:[Colonne2]],4,FALSE),"")</f>
        <v/>
      </c>
      <c r="J791" t="str">
        <f>IFERROR(VLOOKUP(Logs_Reseau_Part5[[#This Row],[Cell_ID]],Registre_Maintenance_Part[[ID_Antenne]:[Colonne2]],5,FALSE),"")</f>
        <v/>
      </c>
      <c r="K791" t="str">
        <f>IFERROR(VLOOKUP(Logs_Reseau_Part5[[#This Row],[Cell_ID]],Registre_Maintenance_Part[[ID_Antenne]:[Colonne2]],6,FALSE),"")</f>
        <v/>
      </c>
    </row>
    <row r="792" spans="1:11" x14ac:dyDescent="0.3">
      <c r="A792" t="s">
        <v>1026</v>
      </c>
      <c r="B792" s="1">
        <v>45216.693749999999</v>
      </c>
      <c r="C792" s="2">
        <v>45216.693749999999</v>
      </c>
      <c r="D792" t="s">
        <v>853</v>
      </c>
      <c r="E792">
        <v>24</v>
      </c>
      <c r="F792" t="s">
        <v>739</v>
      </c>
      <c r="G792" t="str">
        <f>IFERROR(VLOOKUP(Logs_Reseau_Part5[[#This Row],[Cell_ID]],Registre_Maintenance_Part[[ID_Antenne]:[Colonne2]],2,FALSE),"")</f>
        <v/>
      </c>
      <c r="H792" t="str">
        <f>IFERROR(VLOOKUP(Logs_Reseau_Part5[[#This Row],[Cell_ID]],Registre_Maintenance_Part[[ID_Antenne]:[Colonne2]],3,FALSE),"")</f>
        <v/>
      </c>
      <c r="I792" t="str">
        <f>IFERROR(VLOOKUP(Logs_Reseau_Part5[[#This Row],[Cell_ID]],Registre_Maintenance_Part[[ID_Antenne]:[Colonne2]],4,FALSE),"")</f>
        <v/>
      </c>
      <c r="J792" t="str">
        <f>IFERROR(VLOOKUP(Logs_Reseau_Part5[[#This Row],[Cell_ID]],Registre_Maintenance_Part[[ID_Antenne]:[Colonne2]],5,FALSE),"")</f>
        <v/>
      </c>
      <c r="K792" t="str">
        <f>IFERROR(VLOOKUP(Logs_Reseau_Part5[[#This Row],[Cell_ID]],Registre_Maintenance_Part[[ID_Antenne]:[Colonne2]],6,FALSE),"")</f>
        <v/>
      </c>
    </row>
    <row r="793" spans="1:11" x14ac:dyDescent="0.3">
      <c r="A793" t="s">
        <v>732</v>
      </c>
      <c r="B793" s="1">
        <v>45216.792361111111</v>
      </c>
      <c r="C793" s="2">
        <v>45216.792361111111</v>
      </c>
      <c r="D793" t="s">
        <v>743</v>
      </c>
      <c r="E793">
        <v>56</v>
      </c>
      <c r="F793" t="s">
        <v>734</v>
      </c>
      <c r="G793" t="str">
        <f>IFERROR(VLOOKUP(Logs_Reseau_Part5[[#This Row],[Cell_ID]],Registre_Maintenance_Part[[ID_Antenne]:[Colonne2]],2,FALSE),"")</f>
        <v/>
      </c>
      <c r="H793" t="str">
        <f>IFERROR(VLOOKUP(Logs_Reseau_Part5[[#This Row],[Cell_ID]],Registre_Maintenance_Part[[ID_Antenne]:[Colonne2]],3,FALSE),"")</f>
        <v/>
      </c>
      <c r="I793" t="str">
        <f>IFERROR(VLOOKUP(Logs_Reseau_Part5[[#This Row],[Cell_ID]],Registre_Maintenance_Part[[ID_Antenne]:[Colonne2]],4,FALSE),"")</f>
        <v/>
      </c>
      <c r="J793" t="str">
        <f>IFERROR(VLOOKUP(Logs_Reseau_Part5[[#This Row],[Cell_ID]],Registre_Maintenance_Part[[ID_Antenne]:[Colonne2]],5,FALSE),"")</f>
        <v/>
      </c>
      <c r="K793" t="str">
        <f>IFERROR(VLOOKUP(Logs_Reseau_Part5[[#This Row],[Cell_ID]],Registre_Maintenance_Part[[ID_Antenne]:[Colonne2]],6,FALSE),"")</f>
        <v/>
      </c>
    </row>
    <row r="794" spans="1:11" x14ac:dyDescent="0.3">
      <c r="A794" t="s">
        <v>1140</v>
      </c>
      <c r="B794" s="1">
        <v>45216.950694444437</v>
      </c>
      <c r="C794" s="2">
        <v>45216.950694444437</v>
      </c>
      <c r="D794" t="s">
        <v>735</v>
      </c>
      <c r="E794">
        <v>12</v>
      </c>
      <c r="F794" t="s">
        <v>734</v>
      </c>
      <c r="G794" t="str">
        <f>IFERROR(VLOOKUP(Logs_Reseau_Part5[[#This Row],[Cell_ID]],Registre_Maintenance_Part[[ID_Antenne]:[Colonne2]],2,FALSE),"")</f>
        <v/>
      </c>
      <c r="H794" t="str">
        <f>IFERROR(VLOOKUP(Logs_Reseau_Part5[[#This Row],[Cell_ID]],Registre_Maintenance_Part[[ID_Antenne]:[Colonne2]],3,FALSE),"")</f>
        <v/>
      </c>
      <c r="I794" t="str">
        <f>IFERROR(VLOOKUP(Logs_Reseau_Part5[[#This Row],[Cell_ID]],Registre_Maintenance_Part[[ID_Antenne]:[Colonne2]],4,FALSE),"")</f>
        <v/>
      </c>
      <c r="J794" t="str">
        <f>IFERROR(VLOOKUP(Logs_Reseau_Part5[[#This Row],[Cell_ID]],Registre_Maintenance_Part[[ID_Antenne]:[Colonne2]],5,FALSE),"")</f>
        <v/>
      </c>
      <c r="K794" t="str">
        <f>IFERROR(VLOOKUP(Logs_Reseau_Part5[[#This Row],[Cell_ID]],Registre_Maintenance_Part[[ID_Antenne]:[Colonne2]],6,FALSE),"")</f>
        <v/>
      </c>
    </row>
    <row r="795" spans="1:11" x14ac:dyDescent="0.3">
      <c r="A795" t="s">
        <v>1384</v>
      </c>
      <c r="B795" s="1">
        <v>45216.960416666669</v>
      </c>
      <c r="C795" s="2">
        <v>45216.960416666669</v>
      </c>
      <c r="D795" t="s">
        <v>1387</v>
      </c>
      <c r="E795">
        <v>41</v>
      </c>
      <c r="F795" t="s">
        <v>737</v>
      </c>
      <c r="G795" t="str">
        <f>IFERROR(VLOOKUP(Logs_Reseau_Part5[[#This Row],[Cell_ID]],Registre_Maintenance_Part[[ID_Antenne]:[Colonne2]],2,FALSE),"")</f>
        <v/>
      </c>
      <c r="H795" t="str">
        <f>IFERROR(VLOOKUP(Logs_Reseau_Part5[[#This Row],[Cell_ID]],Registre_Maintenance_Part[[ID_Antenne]:[Colonne2]],3,FALSE),"")</f>
        <v/>
      </c>
      <c r="I795" t="str">
        <f>IFERROR(VLOOKUP(Logs_Reseau_Part5[[#This Row],[Cell_ID]],Registre_Maintenance_Part[[ID_Antenne]:[Colonne2]],4,FALSE),"")</f>
        <v/>
      </c>
      <c r="J795" t="str">
        <f>IFERROR(VLOOKUP(Logs_Reseau_Part5[[#This Row],[Cell_ID]],Registre_Maintenance_Part[[ID_Antenne]:[Colonne2]],5,FALSE),"")</f>
        <v/>
      </c>
      <c r="K795" t="str">
        <f>IFERROR(VLOOKUP(Logs_Reseau_Part5[[#This Row],[Cell_ID]],Registre_Maintenance_Part[[ID_Antenne]:[Colonne2]],6,FALSE),"")</f>
        <v/>
      </c>
    </row>
    <row r="796" spans="1:11" x14ac:dyDescent="0.3">
      <c r="A796" t="s">
        <v>1061</v>
      </c>
      <c r="B796" s="1">
        <v>45217.027777777781</v>
      </c>
      <c r="C796" s="2">
        <v>45217.027777777781</v>
      </c>
      <c r="D796" t="s">
        <v>915</v>
      </c>
      <c r="E796">
        <v>54</v>
      </c>
      <c r="F796" t="s">
        <v>737</v>
      </c>
      <c r="G796" t="str">
        <f>IFERROR(VLOOKUP(Logs_Reseau_Part5[[#This Row],[Cell_ID]],Registre_Maintenance_Part[[ID_Antenne]:[Colonne2]],2,FALSE),"")</f>
        <v/>
      </c>
      <c r="H796" t="str">
        <f>IFERROR(VLOOKUP(Logs_Reseau_Part5[[#This Row],[Cell_ID]],Registre_Maintenance_Part[[ID_Antenne]:[Colonne2]],3,FALSE),"")</f>
        <v/>
      </c>
      <c r="I796" t="str">
        <f>IFERROR(VLOOKUP(Logs_Reseau_Part5[[#This Row],[Cell_ID]],Registre_Maintenance_Part[[ID_Antenne]:[Colonne2]],4,FALSE),"")</f>
        <v/>
      </c>
      <c r="J796" t="str">
        <f>IFERROR(VLOOKUP(Logs_Reseau_Part5[[#This Row],[Cell_ID]],Registre_Maintenance_Part[[ID_Antenne]:[Colonne2]],5,FALSE),"")</f>
        <v/>
      </c>
      <c r="K796" t="str">
        <f>IFERROR(VLOOKUP(Logs_Reseau_Part5[[#This Row],[Cell_ID]],Registre_Maintenance_Part[[ID_Antenne]:[Colonne2]],6,FALSE),"")</f>
        <v/>
      </c>
    </row>
    <row r="797" spans="1:11" x14ac:dyDescent="0.3">
      <c r="A797" t="s">
        <v>941</v>
      </c>
      <c r="B797" s="1">
        <v>45217.068749999999</v>
      </c>
      <c r="C797" s="2">
        <v>45217.068749999999</v>
      </c>
      <c r="D797" t="s">
        <v>959</v>
      </c>
      <c r="E797">
        <v>77</v>
      </c>
      <c r="F797" t="s">
        <v>739</v>
      </c>
      <c r="G797" t="str">
        <f>IFERROR(VLOOKUP(Logs_Reseau_Part5[[#This Row],[Cell_ID]],Registre_Maintenance_Part[[ID_Antenne]:[Colonne2]],2,FALSE),"")</f>
        <v/>
      </c>
      <c r="H797" t="str">
        <f>IFERROR(VLOOKUP(Logs_Reseau_Part5[[#This Row],[Cell_ID]],Registre_Maintenance_Part[[ID_Antenne]:[Colonne2]],3,FALSE),"")</f>
        <v/>
      </c>
      <c r="I797" t="str">
        <f>IFERROR(VLOOKUP(Logs_Reseau_Part5[[#This Row],[Cell_ID]],Registre_Maintenance_Part[[ID_Antenne]:[Colonne2]],4,FALSE),"")</f>
        <v/>
      </c>
      <c r="J797" t="str">
        <f>IFERROR(VLOOKUP(Logs_Reseau_Part5[[#This Row],[Cell_ID]],Registre_Maintenance_Part[[ID_Antenne]:[Colonne2]],5,FALSE),"")</f>
        <v/>
      </c>
      <c r="K797" t="str">
        <f>IFERROR(VLOOKUP(Logs_Reseau_Part5[[#This Row],[Cell_ID]],Registre_Maintenance_Part[[ID_Antenne]:[Colonne2]],6,FALSE),"")</f>
        <v/>
      </c>
    </row>
    <row r="798" spans="1:11" x14ac:dyDescent="0.3">
      <c r="A798" t="s">
        <v>732</v>
      </c>
      <c r="B798" s="1">
        <v>45217.109027777777</v>
      </c>
      <c r="C798" s="2">
        <v>45217.109027777777</v>
      </c>
      <c r="D798" t="s">
        <v>740</v>
      </c>
      <c r="E798">
        <v>59</v>
      </c>
      <c r="F798" t="s">
        <v>734</v>
      </c>
      <c r="G798" t="str">
        <f>IFERROR(VLOOKUP(Logs_Reseau_Part5[[#This Row],[Cell_ID]],Registre_Maintenance_Part[[ID_Antenne]:[Colonne2]],2,FALSE),"")</f>
        <v/>
      </c>
      <c r="H798" t="str">
        <f>IFERROR(VLOOKUP(Logs_Reseau_Part5[[#This Row],[Cell_ID]],Registre_Maintenance_Part[[ID_Antenne]:[Colonne2]],3,FALSE),"")</f>
        <v/>
      </c>
      <c r="I798" t="str">
        <f>IFERROR(VLOOKUP(Logs_Reseau_Part5[[#This Row],[Cell_ID]],Registre_Maintenance_Part[[ID_Antenne]:[Colonne2]],4,FALSE),"")</f>
        <v/>
      </c>
      <c r="J798" t="str">
        <f>IFERROR(VLOOKUP(Logs_Reseau_Part5[[#This Row],[Cell_ID]],Registre_Maintenance_Part[[ID_Antenne]:[Colonne2]],5,FALSE),"")</f>
        <v/>
      </c>
      <c r="K798" t="str">
        <f>IFERROR(VLOOKUP(Logs_Reseau_Part5[[#This Row],[Cell_ID]],Registre_Maintenance_Part[[ID_Antenne]:[Colonne2]],6,FALSE),"")</f>
        <v/>
      </c>
    </row>
    <row r="799" spans="1:11" x14ac:dyDescent="0.3">
      <c r="A799" t="s">
        <v>1088</v>
      </c>
      <c r="B799" s="1">
        <v>45217.193749999999</v>
      </c>
      <c r="C799" s="2">
        <v>45217.193749999999</v>
      </c>
      <c r="D799" t="s">
        <v>1042</v>
      </c>
      <c r="E799">
        <v>56</v>
      </c>
      <c r="F799" t="s">
        <v>734</v>
      </c>
      <c r="G799" t="str">
        <f>IFERROR(VLOOKUP(Logs_Reseau_Part5[[#This Row],[Cell_ID]],Registre_Maintenance_Part[[ID_Antenne]:[Colonne2]],2,FALSE),"")</f>
        <v/>
      </c>
      <c r="H799" t="str">
        <f>IFERROR(VLOOKUP(Logs_Reseau_Part5[[#This Row],[Cell_ID]],Registre_Maintenance_Part[[ID_Antenne]:[Colonne2]],3,FALSE),"")</f>
        <v/>
      </c>
      <c r="I799" t="str">
        <f>IFERROR(VLOOKUP(Logs_Reseau_Part5[[#This Row],[Cell_ID]],Registre_Maintenance_Part[[ID_Antenne]:[Colonne2]],4,FALSE),"")</f>
        <v/>
      </c>
      <c r="J799" t="str">
        <f>IFERROR(VLOOKUP(Logs_Reseau_Part5[[#This Row],[Cell_ID]],Registre_Maintenance_Part[[ID_Antenne]:[Colonne2]],5,FALSE),"")</f>
        <v/>
      </c>
      <c r="K799" t="str">
        <f>IFERROR(VLOOKUP(Logs_Reseau_Part5[[#This Row],[Cell_ID]],Registre_Maintenance_Part[[ID_Antenne]:[Colonne2]],6,FALSE),"")</f>
        <v/>
      </c>
    </row>
    <row r="800" spans="1:11" x14ac:dyDescent="0.3">
      <c r="A800" t="s">
        <v>732</v>
      </c>
      <c r="B800" s="1">
        <v>45217.28125</v>
      </c>
      <c r="C800" s="2">
        <v>45217.28125</v>
      </c>
      <c r="D800" t="s">
        <v>744</v>
      </c>
      <c r="E800">
        <v>51</v>
      </c>
      <c r="F800" t="s">
        <v>737</v>
      </c>
      <c r="G800" t="str">
        <f>IFERROR(VLOOKUP(Logs_Reseau_Part5[[#This Row],[Cell_ID]],Registre_Maintenance_Part[[ID_Antenne]:[Colonne2]],2,FALSE),"")</f>
        <v/>
      </c>
      <c r="H800" t="str">
        <f>IFERROR(VLOOKUP(Logs_Reseau_Part5[[#This Row],[Cell_ID]],Registre_Maintenance_Part[[ID_Antenne]:[Colonne2]],3,FALSE),"")</f>
        <v/>
      </c>
      <c r="I800" t="str">
        <f>IFERROR(VLOOKUP(Logs_Reseau_Part5[[#This Row],[Cell_ID]],Registre_Maintenance_Part[[ID_Antenne]:[Colonne2]],4,FALSE),"")</f>
        <v/>
      </c>
      <c r="J800" t="str">
        <f>IFERROR(VLOOKUP(Logs_Reseau_Part5[[#This Row],[Cell_ID]],Registre_Maintenance_Part[[ID_Antenne]:[Colonne2]],5,FALSE),"")</f>
        <v/>
      </c>
      <c r="K800" t="str">
        <f>IFERROR(VLOOKUP(Logs_Reseau_Part5[[#This Row],[Cell_ID]],Registre_Maintenance_Part[[ID_Antenne]:[Colonne2]],6,FALSE),"")</f>
        <v/>
      </c>
    </row>
    <row r="801" spans="1:11" x14ac:dyDescent="0.3">
      <c r="A801" t="s">
        <v>1290</v>
      </c>
      <c r="B801" s="1">
        <v>45217.29583333333</v>
      </c>
      <c r="C801" s="2">
        <v>45217.29583333333</v>
      </c>
      <c r="D801" t="s">
        <v>1292</v>
      </c>
      <c r="E801">
        <v>119</v>
      </c>
      <c r="F801" t="s">
        <v>734</v>
      </c>
      <c r="G801" t="str">
        <f>IFERROR(VLOOKUP(Logs_Reseau_Part5[[#This Row],[Cell_ID]],Registre_Maintenance_Part[[ID_Antenne]:[Colonne2]],2,FALSE),"")</f>
        <v/>
      </c>
      <c r="H801" t="str">
        <f>IFERROR(VLOOKUP(Logs_Reseau_Part5[[#This Row],[Cell_ID]],Registre_Maintenance_Part[[ID_Antenne]:[Colonne2]],3,FALSE),"")</f>
        <v/>
      </c>
      <c r="I801" t="str">
        <f>IFERROR(VLOOKUP(Logs_Reseau_Part5[[#This Row],[Cell_ID]],Registre_Maintenance_Part[[ID_Antenne]:[Colonne2]],4,FALSE),"")</f>
        <v/>
      </c>
      <c r="J801" t="str">
        <f>IFERROR(VLOOKUP(Logs_Reseau_Part5[[#This Row],[Cell_ID]],Registre_Maintenance_Part[[ID_Antenne]:[Colonne2]],5,FALSE),"")</f>
        <v/>
      </c>
      <c r="K801" t="str">
        <f>IFERROR(VLOOKUP(Logs_Reseau_Part5[[#This Row],[Cell_ID]],Registre_Maintenance_Part[[ID_Antenne]:[Colonne2]],6,FALSE),"")</f>
        <v/>
      </c>
    </row>
    <row r="802" spans="1:11" x14ac:dyDescent="0.3">
      <c r="A802" t="s">
        <v>732</v>
      </c>
      <c r="B802" s="1">
        <v>45217.321527777778</v>
      </c>
      <c r="C802" s="2">
        <v>45217.321527777778</v>
      </c>
      <c r="D802" t="s">
        <v>772</v>
      </c>
      <c r="E802">
        <v>118</v>
      </c>
      <c r="F802" t="s">
        <v>737</v>
      </c>
      <c r="G802" t="str">
        <f>IFERROR(VLOOKUP(Logs_Reseau_Part5[[#This Row],[Cell_ID]],Registre_Maintenance_Part[[ID_Antenne]:[Colonne2]],2,FALSE),"")</f>
        <v/>
      </c>
      <c r="H802" t="str">
        <f>IFERROR(VLOOKUP(Logs_Reseau_Part5[[#This Row],[Cell_ID]],Registre_Maintenance_Part[[ID_Antenne]:[Colonne2]],3,FALSE),"")</f>
        <v/>
      </c>
      <c r="I802" t="str">
        <f>IFERROR(VLOOKUP(Logs_Reseau_Part5[[#This Row],[Cell_ID]],Registre_Maintenance_Part[[ID_Antenne]:[Colonne2]],4,FALSE),"")</f>
        <v/>
      </c>
      <c r="J802" t="str">
        <f>IFERROR(VLOOKUP(Logs_Reseau_Part5[[#This Row],[Cell_ID]],Registre_Maintenance_Part[[ID_Antenne]:[Colonne2]],5,FALSE),"")</f>
        <v/>
      </c>
      <c r="K802" t="str">
        <f>IFERROR(VLOOKUP(Logs_Reseau_Part5[[#This Row],[Cell_ID]],Registre_Maintenance_Part[[ID_Antenne]:[Colonne2]],6,FALSE),"")</f>
        <v/>
      </c>
    </row>
    <row r="803" spans="1:11" x14ac:dyDescent="0.3">
      <c r="A803" t="s">
        <v>1384</v>
      </c>
      <c r="B803" s="1">
        <v>45217.324305555558</v>
      </c>
      <c r="C803" s="2">
        <v>45217.324305555558</v>
      </c>
      <c r="D803" t="s">
        <v>1404</v>
      </c>
      <c r="E803">
        <v>14</v>
      </c>
      <c r="F803" t="s">
        <v>737</v>
      </c>
      <c r="G803" t="str">
        <f>IFERROR(VLOOKUP(Logs_Reseau_Part5[[#This Row],[Cell_ID]],Registre_Maintenance_Part[[ID_Antenne]:[Colonne2]],2,FALSE),"")</f>
        <v/>
      </c>
      <c r="H803" t="str">
        <f>IFERROR(VLOOKUP(Logs_Reseau_Part5[[#This Row],[Cell_ID]],Registre_Maintenance_Part[[ID_Antenne]:[Colonne2]],3,FALSE),"")</f>
        <v/>
      </c>
      <c r="I803" t="str">
        <f>IFERROR(VLOOKUP(Logs_Reseau_Part5[[#This Row],[Cell_ID]],Registre_Maintenance_Part[[ID_Antenne]:[Colonne2]],4,FALSE),"")</f>
        <v/>
      </c>
      <c r="J803" t="str">
        <f>IFERROR(VLOOKUP(Logs_Reseau_Part5[[#This Row],[Cell_ID]],Registre_Maintenance_Part[[ID_Antenne]:[Colonne2]],5,FALSE),"")</f>
        <v/>
      </c>
      <c r="K803" t="str">
        <f>IFERROR(VLOOKUP(Logs_Reseau_Part5[[#This Row],[Cell_ID]],Registre_Maintenance_Part[[ID_Antenne]:[Colonne2]],6,FALSE),"")</f>
        <v/>
      </c>
    </row>
    <row r="804" spans="1:11" x14ac:dyDescent="0.3">
      <c r="A804" t="s">
        <v>732</v>
      </c>
      <c r="B804" s="1">
        <v>45217.411805555559</v>
      </c>
      <c r="C804" s="2">
        <v>45217.411805555559</v>
      </c>
      <c r="D804" t="s">
        <v>757</v>
      </c>
      <c r="E804">
        <v>92</v>
      </c>
      <c r="F804" t="s">
        <v>739</v>
      </c>
      <c r="G804" t="str">
        <f>IFERROR(VLOOKUP(Logs_Reseau_Part5[[#This Row],[Cell_ID]],Registre_Maintenance_Part[[ID_Antenne]:[Colonne2]],2,FALSE),"")</f>
        <v/>
      </c>
      <c r="H804" t="str">
        <f>IFERROR(VLOOKUP(Logs_Reseau_Part5[[#This Row],[Cell_ID]],Registre_Maintenance_Part[[ID_Antenne]:[Colonne2]],3,FALSE),"")</f>
        <v/>
      </c>
      <c r="I804" t="str">
        <f>IFERROR(VLOOKUP(Logs_Reseau_Part5[[#This Row],[Cell_ID]],Registre_Maintenance_Part[[ID_Antenne]:[Colonne2]],4,FALSE),"")</f>
        <v/>
      </c>
      <c r="J804" t="str">
        <f>IFERROR(VLOOKUP(Logs_Reseau_Part5[[#This Row],[Cell_ID]],Registre_Maintenance_Part[[ID_Antenne]:[Colonne2]],5,FALSE),"")</f>
        <v/>
      </c>
      <c r="K804" t="str">
        <f>IFERROR(VLOOKUP(Logs_Reseau_Part5[[#This Row],[Cell_ID]],Registre_Maintenance_Part[[ID_Antenne]:[Colonne2]],6,FALSE),"")</f>
        <v/>
      </c>
    </row>
    <row r="805" spans="1:11" x14ac:dyDescent="0.3">
      <c r="A805" t="s">
        <v>1088</v>
      </c>
      <c r="B805" s="1">
        <v>45217.414583333331</v>
      </c>
      <c r="C805" s="2">
        <v>45217.414583333331</v>
      </c>
      <c r="D805" t="s">
        <v>850</v>
      </c>
      <c r="E805">
        <v>74</v>
      </c>
      <c r="F805" t="s">
        <v>739</v>
      </c>
      <c r="G805" t="str">
        <f>IFERROR(VLOOKUP(Logs_Reseau_Part5[[#This Row],[Cell_ID]],Registre_Maintenance_Part[[ID_Antenne]:[Colonne2]],2,FALSE),"")</f>
        <v/>
      </c>
      <c r="H805" t="str">
        <f>IFERROR(VLOOKUP(Logs_Reseau_Part5[[#This Row],[Cell_ID]],Registre_Maintenance_Part[[ID_Antenne]:[Colonne2]],3,FALSE),"")</f>
        <v/>
      </c>
      <c r="I805" t="str">
        <f>IFERROR(VLOOKUP(Logs_Reseau_Part5[[#This Row],[Cell_ID]],Registre_Maintenance_Part[[ID_Antenne]:[Colonne2]],4,FALSE),"")</f>
        <v/>
      </c>
      <c r="J805" t="str">
        <f>IFERROR(VLOOKUP(Logs_Reseau_Part5[[#This Row],[Cell_ID]],Registre_Maintenance_Part[[ID_Antenne]:[Colonne2]],5,FALSE),"")</f>
        <v/>
      </c>
      <c r="K805" t="str">
        <f>IFERROR(VLOOKUP(Logs_Reseau_Part5[[#This Row],[Cell_ID]],Registre_Maintenance_Part[[ID_Antenne]:[Colonne2]],6,FALSE),"")</f>
        <v/>
      </c>
    </row>
    <row r="806" spans="1:11" x14ac:dyDescent="0.3">
      <c r="A806" t="s">
        <v>1116</v>
      </c>
      <c r="B806" s="1">
        <v>45217.488194444442</v>
      </c>
      <c r="C806" s="2">
        <v>45217.488194444442</v>
      </c>
      <c r="D806" t="s">
        <v>1133</v>
      </c>
      <c r="E806">
        <v>94</v>
      </c>
      <c r="F806" t="s">
        <v>734</v>
      </c>
      <c r="G806" t="str">
        <f>IFERROR(VLOOKUP(Logs_Reseau_Part5[[#This Row],[Cell_ID]],Registre_Maintenance_Part[[ID_Antenne]:[Colonne2]],2,FALSE),"")</f>
        <v/>
      </c>
      <c r="H806" t="str">
        <f>IFERROR(VLOOKUP(Logs_Reseau_Part5[[#This Row],[Cell_ID]],Registre_Maintenance_Part[[ID_Antenne]:[Colonne2]],3,FALSE),"")</f>
        <v/>
      </c>
      <c r="I806" t="str">
        <f>IFERROR(VLOOKUP(Logs_Reseau_Part5[[#This Row],[Cell_ID]],Registre_Maintenance_Part[[ID_Antenne]:[Colonne2]],4,FALSE),"")</f>
        <v/>
      </c>
      <c r="J806" t="str">
        <f>IFERROR(VLOOKUP(Logs_Reseau_Part5[[#This Row],[Cell_ID]],Registre_Maintenance_Part[[ID_Antenne]:[Colonne2]],5,FALSE),"")</f>
        <v/>
      </c>
      <c r="K806" t="str">
        <f>IFERROR(VLOOKUP(Logs_Reseau_Part5[[#This Row],[Cell_ID]],Registre_Maintenance_Part[[ID_Antenne]:[Colonne2]],6,FALSE),"")</f>
        <v/>
      </c>
    </row>
    <row r="807" spans="1:11" x14ac:dyDescent="0.3">
      <c r="A807" t="s">
        <v>1310</v>
      </c>
      <c r="B807" s="1">
        <v>45217.504166666673</v>
      </c>
      <c r="C807" s="2">
        <v>45217.504166666673</v>
      </c>
      <c r="D807" t="s">
        <v>1042</v>
      </c>
      <c r="E807">
        <v>55</v>
      </c>
      <c r="F807" t="s">
        <v>739</v>
      </c>
      <c r="G807" t="str">
        <f>IFERROR(VLOOKUP(Logs_Reseau_Part5[[#This Row],[Cell_ID]],Registre_Maintenance_Part[[ID_Antenne]:[Colonne2]],2,FALSE),"")</f>
        <v/>
      </c>
      <c r="H807" t="str">
        <f>IFERROR(VLOOKUP(Logs_Reseau_Part5[[#This Row],[Cell_ID]],Registre_Maintenance_Part[[ID_Antenne]:[Colonne2]],3,FALSE),"")</f>
        <v/>
      </c>
      <c r="I807" t="str">
        <f>IFERROR(VLOOKUP(Logs_Reseau_Part5[[#This Row],[Cell_ID]],Registre_Maintenance_Part[[ID_Antenne]:[Colonne2]],4,FALSE),"")</f>
        <v/>
      </c>
      <c r="J807" t="str">
        <f>IFERROR(VLOOKUP(Logs_Reseau_Part5[[#This Row],[Cell_ID]],Registre_Maintenance_Part[[ID_Antenne]:[Colonne2]],5,FALSE),"")</f>
        <v/>
      </c>
      <c r="K807" t="str">
        <f>IFERROR(VLOOKUP(Logs_Reseau_Part5[[#This Row],[Cell_ID]],Registre_Maintenance_Part[[ID_Antenne]:[Colonne2]],6,FALSE),"")</f>
        <v/>
      </c>
    </row>
    <row r="808" spans="1:11" x14ac:dyDescent="0.3">
      <c r="A808" t="s">
        <v>1243</v>
      </c>
      <c r="B808" s="1">
        <v>45217.509027777778</v>
      </c>
      <c r="C808" s="2">
        <v>45217.509027777778</v>
      </c>
      <c r="D808" t="s">
        <v>740</v>
      </c>
      <c r="E808">
        <v>49</v>
      </c>
      <c r="F808" t="s">
        <v>734</v>
      </c>
      <c r="G808" t="str">
        <f>IFERROR(VLOOKUP(Logs_Reseau_Part5[[#This Row],[Cell_ID]],Registre_Maintenance_Part[[ID_Antenne]:[Colonne2]],2,FALSE),"")</f>
        <v/>
      </c>
      <c r="H808" t="str">
        <f>IFERROR(VLOOKUP(Logs_Reseau_Part5[[#This Row],[Cell_ID]],Registre_Maintenance_Part[[ID_Antenne]:[Colonne2]],3,FALSE),"")</f>
        <v/>
      </c>
      <c r="I808" t="str">
        <f>IFERROR(VLOOKUP(Logs_Reseau_Part5[[#This Row],[Cell_ID]],Registre_Maintenance_Part[[ID_Antenne]:[Colonne2]],4,FALSE),"")</f>
        <v/>
      </c>
      <c r="J808" t="str">
        <f>IFERROR(VLOOKUP(Logs_Reseau_Part5[[#This Row],[Cell_ID]],Registre_Maintenance_Part[[ID_Antenne]:[Colonne2]],5,FALSE),"")</f>
        <v/>
      </c>
      <c r="K808" t="str">
        <f>IFERROR(VLOOKUP(Logs_Reseau_Part5[[#This Row],[Cell_ID]],Registre_Maintenance_Part[[ID_Antenne]:[Colonne2]],6,FALSE),"")</f>
        <v/>
      </c>
    </row>
    <row r="809" spans="1:11" x14ac:dyDescent="0.3">
      <c r="A809" t="s">
        <v>863</v>
      </c>
      <c r="B809" s="1">
        <v>45217.570833333331</v>
      </c>
      <c r="C809" s="2">
        <v>45217.570833333331</v>
      </c>
      <c r="D809" t="s">
        <v>898</v>
      </c>
      <c r="E809">
        <v>28</v>
      </c>
      <c r="F809" t="s">
        <v>734</v>
      </c>
      <c r="G809" t="str">
        <f>IFERROR(VLOOKUP(Logs_Reseau_Part5[[#This Row],[Cell_ID]],Registre_Maintenance_Part[[ID_Antenne]:[Colonne2]],2,FALSE),"")</f>
        <v/>
      </c>
      <c r="H809" t="str">
        <f>IFERROR(VLOOKUP(Logs_Reseau_Part5[[#This Row],[Cell_ID]],Registre_Maintenance_Part[[ID_Antenne]:[Colonne2]],3,FALSE),"")</f>
        <v/>
      </c>
      <c r="I809" t="str">
        <f>IFERROR(VLOOKUP(Logs_Reseau_Part5[[#This Row],[Cell_ID]],Registre_Maintenance_Part[[ID_Antenne]:[Colonne2]],4,FALSE),"")</f>
        <v/>
      </c>
      <c r="J809" t="str">
        <f>IFERROR(VLOOKUP(Logs_Reseau_Part5[[#This Row],[Cell_ID]],Registre_Maintenance_Part[[ID_Antenne]:[Colonne2]],5,FALSE),"")</f>
        <v/>
      </c>
      <c r="K809" t="str">
        <f>IFERROR(VLOOKUP(Logs_Reseau_Part5[[#This Row],[Cell_ID]],Registre_Maintenance_Part[[ID_Antenne]:[Colonne2]],6,FALSE),"")</f>
        <v/>
      </c>
    </row>
    <row r="810" spans="1:11" x14ac:dyDescent="0.3">
      <c r="A810" t="s">
        <v>1290</v>
      </c>
      <c r="B810" s="1">
        <v>45217.640277777777</v>
      </c>
      <c r="C810" s="2">
        <v>45217.640277777777</v>
      </c>
      <c r="D810" t="s">
        <v>1308</v>
      </c>
      <c r="E810">
        <v>113</v>
      </c>
      <c r="F810" t="s">
        <v>739</v>
      </c>
      <c r="G810" t="str">
        <f>IFERROR(VLOOKUP(Logs_Reseau_Part5[[#This Row],[Cell_ID]],Registre_Maintenance_Part[[ID_Antenne]:[Colonne2]],2,FALSE),"")</f>
        <v/>
      </c>
      <c r="H810" t="str">
        <f>IFERROR(VLOOKUP(Logs_Reseau_Part5[[#This Row],[Cell_ID]],Registre_Maintenance_Part[[ID_Antenne]:[Colonne2]],3,FALSE),"")</f>
        <v/>
      </c>
      <c r="I810" t="str">
        <f>IFERROR(VLOOKUP(Logs_Reseau_Part5[[#This Row],[Cell_ID]],Registre_Maintenance_Part[[ID_Antenne]:[Colonne2]],4,FALSE),"")</f>
        <v/>
      </c>
      <c r="J810" t="str">
        <f>IFERROR(VLOOKUP(Logs_Reseau_Part5[[#This Row],[Cell_ID]],Registre_Maintenance_Part[[ID_Antenne]:[Colonne2]],5,FALSE),"")</f>
        <v/>
      </c>
      <c r="K810" t="str">
        <f>IFERROR(VLOOKUP(Logs_Reseau_Part5[[#This Row],[Cell_ID]],Registre_Maintenance_Part[[ID_Antenne]:[Colonne2]],6,FALSE),"")</f>
        <v/>
      </c>
    </row>
    <row r="811" spans="1:11" x14ac:dyDescent="0.3">
      <c r="A811" t="s">
        <v>1195</v>
      </c>
      <c r="B811" s="1">
        <v>45217.68472222222</v>
      </c>
      <c r="C811" s="2">
        <v>45217.68472222222</v>
      </c>
      <c r="D811" t="s">
        <v>933</v>
      </c>
      <c r="E811">
        <v>43</v>
      </c>
      <c r="F811" t="s">
        <v>734</v>
      </c>
      <c r="G811" t="str">
        <f>IFERROR(VLOOKUP(Logs_Reseau_Part5[[#This Row],[Cell_ID]],Registre_Maintenance_Part[[ID_Antenne]:[Colonne2]],2,FALSE),"")</f>
        <v/>
      </c>
      <c r="H811" t="str">
        <f>IFERROR(VLOOKUP(Logs_Reseau_Part5[[#This Row],[Cell_ID]],Registre_Maintenance_Part[[ID_Antenne]:[Colonne2]],3,FALSE),"")</f>
        <v/>
      </c>
      <c r="I811" t="str">
        <f>IFERROR(VLOOKUP(Logs_Reseau_Part5[[#This Row],[Cell_ID]],Registre_Maintenance_Part[[ID_Antenne]:[Colonne2]],4,FALSE),"")</f>
        <v/>
      </c>
      <c r="J811" t="str">
        <f>IFERROR(VLOOKUP(Logs_Reseau_Part5[[#This Row],[Cell_ID]],Registre_Maintenance_Part[[ID_Antenne]:[Colonne2]],5,FALSE),"")</f>
        <v/>
      </c>
      <c r="K811" t="str">
        <f>IFERROR(VLOOKUP(Logs_Reseau_Part5[[#This Row],[Cell_ID]],Registre_Maintenance_Part[[ID_Antenne]:[Colonne2]],6,FALSE),"")</f>
        <v/>
      </c>
    </row>
    <row r="812" spans="1:11" x14ac:dyDescent="0.3">
      <c r="A812" t="s">
        <v>1061</v>
      </c>
      <c r="B812" s="1">
        <v>45217.701388888891</v>
      </c>
      <c r="C812" s="2">
        <v>45217.701388888891</v>
      </c>
      <c r="D812" t="s">
        <v>872</v>
      </c>
      <c r="E812">
        <v>71</v>
      </c>
      <c r="F812" t="s">
        <v>737</v>
      </c>
      <c r="G812" t="str">
        <f>IFERROR(VLOOKUP(Logs_Reseau_Part5[[#This Row],[Cell_ID]],Registre_Maintenance_Part[[ID_Antenne]:[Colonne2]],2,FALSE),"")</f>
        <v/>
      </c>
      <c r="H812" t="str">
        <f>IFERROR(VLOOKUP(Logs_Reseau_Part5[[#This Row],[Cell_ID]],Registre_Maintenance_Part[[ID_Antenne]:[Colonne2]],3,FALSE),"")</f>
        <v/>
      </c>
      <c r="I812" t="str">
        <f>IFERROR(VLOOKUP(Logs_Reseau_Part5[[#This Row],[Cell_ID]],Registre_Maintenance_Part[[ID_Antenne]:[Colonne2]],4,FALSE),"")</f>
        <v/>
      </c>
      <c r="J812" t="str">
        <f>IFERROR(VLOOKUP(Logs_Reseau_Part5[[#This Row],[Cell_ID]],Registre_Maintenance_Part[[ID_Antenne]:[Colonne2]],5,FALSE),"")</f>
        <v/>
      </c>
      <c r="K812" t="str">
        <f>IFERROR(VLOOKUP(Logs_Reseau_Part5[[#This Row],[Cell_ID]],Registre_Maintenance_Part[[ID_Antenne]:[Colonne2]],6,FALSE),"")</f>
        <v/>
      </c>
    </row>
    <row r="813" spans="1:11" x14ac:dyDescent="0.3">
      <c r="A813" t="s">
        <v>1001</v>
      </c>
      <c r="B813" s="1">
        <v>45217.818749999999</v>
      </c>
      <c r="C813" s="2">
        <v>45217.818749999999</v>
      </c>
      <c r="D813" t="s">
        <v>872</v>
      </c>
      <c r="E813">
        <v>100</v>
      </c>
      <c r="F813" t="s">
        <v>734</v>
      </c>
      <c r="G813" t="str">
        <f>IFERROR(VLOOKUP(Logs_Reseau_Part5[[#This Row],[Cell_ID]],Registre_Maintenance_Part[[ID_Antenne]:[Colonne2]],2,FALSE),"")</f>
        <v/>
      </c>
      <c r="H813" t="str">
        <f>IFERROR(VLOOKUP(Logs_Reseau_Part5[[#This Row],[Cell_ID]],Registre_Maintenance_Part[[ID_Antenne]:[Colonne2]],3,FALSE),"")</f>
        <v/>
      </c>
      <c r="I813" t="str">
        <f>IFERROR(VLOOKUP(Logs_Reseau_Part5[[#This Row],[Cell_ID]],Registre_Maintenance_Part[[ID_Antenne]:[Colonne2]],4,FALSE),"")</f>
        <v/>
      </c>
      <c r="J813" t="str">
        <f>IFERROR(VLOOKUP(Logs_Reseau_Part5[[#This Row],[Cell_ID]],Registre_Maintenance_Part[[ID_Antenne]:[Colonne2]],5,FALSE),"")</f>
        <v/>
      </c>
      <c r="K813" t="str">
        <f>IFERROR(VLOOKUP(Logs_Reseau_Part5[[#This Row],[Cell_ID]],Registre_Maintenance_Part[[ID_Antenne]:[Colonne2]],6,FALSE),"")</f>
        <v/>
      </c>
    </row>
    <row r="814" spans="1:11" x14ac:dyDescent="0.3">
      <c r="A814" t="s">
        <v>1167</v>
      </c>
      <c r="B814" s="1">
        <v>45217.863194444442</v>
      </c>
      <c r="C814" s="2">
        <v>45217.863194444442</v>
      </c>
      <c r="D814" t="s">
        <v>1193</v>
      </c>
      <c r="E814">
        <v>89</v>
      </c>
      <c r="F814" t="s">
        <v>734</v>
      </c>
      <c r="G814" t="str">
        <f>IFERROR(VLOOKUP(Logs_Reseau_Part5[[#This Row],[Cell_ID]],Registre_Maintenance_Part[[ID_Antenne]:[Colonne2]],2,FALSE),"")</f>
        <v/>
      </c>
      <c r="H814" t="str">
        <f>IFERROR(VLOOKUP(Logs_Reseau_Part5[[#This Row],[Cell_ID]],Registre_Maintenance_Part[[ID_Antenne]:[Colonne2]],3,FALSE),"")</f>
        <v/>
      </c>
      <c r="I814" t="str">
        <f>IFERROR(VLOOKUP(Logs_Reseau_Part5[[#This Row],[Cell_ID]],Registre_Maintenance_Part[[ID_Antenne]:[Colonne2]],4,FALSE),"")</f>
        <v/>
      </c>
      <c r="J814" t="str">
        <f>IFERROR(VLOOKUP(Logs_Reseau_Part5[[#This Row],[Cell_ID]],Registre_Maintenance_Part[[ID_Antenne]:[Colonne2]],5,FALSE),"")</f>
        <v/>
      </c>
      <c r="K814" t="str">
        <f>IFERROR(VLOOKUP(Logs_Reseau_Part5[[#This Row],[Cell_ID]],Registre_Maintenance_Part[[ID_Antenne]:[Colonne2]],6,FALSE),"")</f>
        <v/>
      </c>
    </row>
    <row r="815" spans="1:11" x14ac:dyDescent="0.3">
      <c r="A815" t="s">
        <v>1384</v>
      </c>
      <c r="B815" s="1">
        <v>45217.944444444453</v>
      </c>
      <c r="C815" s="2">
        <v>45217.944444444453</v>
      </c>
      <c r="D815" t="s">
        <v>1396</v>
      </c>
      <c r="E815">
        <v>33</v>
      </c>
      <c r="F815" t="s">
        <v>734</v>
      </c>
      <c r="G815" t="str">
        <f>IFERROR(VLOOKUP(Logs_Reseau_Part5[[#This Row],[Cell_ID]],Registre_Maintenance_Part[[ID_Antenne]:[Colonne2]],2,FALSE),"")</f>
        <v/>
      </c>
      <c r="H815" t="str">
        <f>IFERROR(VLOOKUP(Logs_Reseau_Part5[[#This Row],[Cell_ID]],Registre_Maintenance_Part[[ID_Antenne]:[Colonne2]],3,FALSE),"")</f>
        <v/>
      </c>
      <c r="I815" t="str">
        <f>IFERROR(VLOOKUP(Logs_Reseau_Part5[[#This Row],[Cell_ID]],Registre_Maintenance_Part[[ID_Antenne]:[Colonne2]],4,FALSE),"")</f>
        <v/>
      </c>
      <c r="J815" t="str">
        <f>IFERROR(VLOOKUP(Logs_Reseau_Part5[[#This Row],[Cell_ID]],Registre_Maintenance_Part[[ID_Antenne]:[Colonne2]],5,FALSE),"")</f>
        <v/>
      </c>
      <c r="K815" t="str">
        <f>IFERROR(VLOOKUP(Logs_Reseau_Part5[[#This Row],[Cell_ID]],Registre_Maintenance_Part[[ID_Antenne]:[Colonne2]],6,FALSE),"")</f>
        <v/>
      </c>
    </row>
    <row r="816" spans="1:11" x14ac:dyDescent="0.3">
      <c r="A816" t="s">
        <v>1140</v>
      </c>
      <c r="B816" s="1">
        <v>45218.011111111111</v>
      </c>
      <c r="C816" s="2">
        <v>45218.011111111111</v>
      </c>
      <c r="D816" t="s">
        <v>1146</v>
      </c>
      <c r="E816">
        <v>59</v>
      </c>
      <c r="F816" t="s">
        <v>734</v>
      </c>
      <c r="G816" t="str">
        <f>IFERROR(VLOOKUP(Logs_Reseau_Part5[[#This Row],[Cell_ID]],Registre_Maintenance_Part[[ID_Antenne]:[Colonne2]],2,FALSE),"")</f>
        <v/>
      </c>
      <c r="H816" t="str">
        <f>IFERROR(VLOOKUP(Logs_Reseau_Part5[[#This Row],[Cell_ID]],Registre_Maintenance_Part[[ID_Antenne]:[Colonne2]],3,FALSE),"")</f>
        <v/>
      </c>
      <c r="I816" t="str">
        <f>IFERROR(VLOOKUP(Logs_Reseau_Part5[[#This Row],[Cell_ID]],Registre_Maintenance_Part[[ID_Antenne]:[Colonne2]],4,FALSE),"")</f>
        <v/>
      </c>
      <c r="J816" t="str">
        <f>IFERROR(VLOOKUP(Logs_Reseau_Part5[[#This Row],[Cell_ID]],Registre_Maintenance_Part[[ID_Antenne]:[Colonne2]],5,FALSE),"")</f>
        <v/>
      </c>
      <c r="K816" t="str">
        <f>IFERROR(VLOOKUP(Logs_Reseau_Part5[[#This Row],[Cell_ID]],Registre_Maintenance_Part[[ID_Antenne]:[Colonne2]],6,FALSE),"")</f>
        <v/>
      </c>
    </row>
    <row r="817" spans="1:11" x14ac:dyDescent="0.3">
      <c r="A817" t="s">
        <v>863</v>
      </c>
      <c r="B817" s="1">
        <v>45218.056944444441</v>
      </c>
      <c r="C817" s="2">
        <v>45218.056944444441</v>
      </c>
      <c r="D817" t="s">
        <v>897</v>
      </c>
      <c r="E817">
        <v>46</v>
      </c>
      <c r="F817" t="s">
        <v>739</v>
      </c>
      <c r="G817" t="str">
        <f>IFERROR(VLOOKUP(Logs_Reseau_Part5[[#This Row],[Cell_ID]],Registre_Maintenance_Part[[ID_Antenne]:[Colonne2]],2,FALSE),"")</f>
        <v/>
      </c>
      <c r="H817" t="str">
        <f>IFERROR(VLOOKUP(Logs_Reseau_Part5[[#This Row],[Cell_ID]],Registre_Maintenance_Part[[ID_Antenne]:[Colonne2]],3,FALSE),"")</f>
        <v/>
      </c>
      <c r="I817" t="str">
        <f>IFERROR(VLOOKUP(Logs_Reseau_Part5[[#This Row],[Cell_ID]],Registre_Maintenance_Part[[ID_Antenne]:[Colonne2]],4,FALSE),"")</f>
        <v/>
      </c>
      <c r="J817" t="str">
        <f>IFERROR(VLOOKUP(Logs_Reseau_Part5[[#This Row],[Cell_ID]],Registre_Maintenance_Part[[ID_Antenne]:[Colonne2]],5,FALSE),"")</f>
        <v/>
      </c>
      <c r="K817" t="str">
        <f>IFERROR(VLOOKUP(Logs_Reseau_Part5[[#This Row],[Cell_ID]],Registre_Maintenance_Part[[ID_Antenne]:[Colonne2]],6,FALSE),"")</f>
        <v/>
      </c>
    </row>
    <row r="818" spans="1:11" x14ac:dyDescent="0.3">
      <c r="A818" t="s">
        <v>1384</v>
      </c>
      <c r="B818" s="1">
        <v>45218.240277777782</v>
      </c>
      <c r="C818" s="2">
        <v>45218.240277777782</v>
      </c>
      <c r="D818" t="s">
        <v>869</v>
      </c>
      <c r="E818">
        <v>53</v>
      </c>
      <c r="F818" t="s">
        <v>739</v>
      </c>
      <c r="G818" t="str">
        <f>IFERROR(VLOOKUP(Logs_Reseau_Part5[[#This Row],[Cell_ID]],Registre_Maintenance_Part[[ID_Antenne]:[Colonne2]],2,FALSE),"")</f>
        <v/>
      </c>
      <c r="H818" t="str">
        <f>IFERROR(VLOOKUP(Logs_Reseau_Part5[[#This Row],[Cell_ID]],Registre_Maintenance_Part[[ID_Antenne]:[Colonne2]],3,FALSE),"")</f>
        <v/>
      </c>
      <c r="I818" t="str">
        <f>IFERROR(VLOOKUP(Logs_Reseau_Part5[[#This Row],[Cell_ID]],Registre_Maintenance_Part[[ID_Antenne]:[Colonne2]],4,FALSE),"")</f>
        <v/>
      </c>
      <c r="J818" t="str">
        <f>IFERROR(VLOOKUP(Logs_Reseau_Part5[[#This Row],[Cell_ID]],Registre_Maintenance_Part[[ID_Antenne]:[Colonne2]],5,FALSE),"")</f>
        <v/>
      </c>
      <c r="K818" t="str">
        <f>IFERROR(VLOOKUP(Logs_Reseau_Part5[[#This Row],[Cell_ID]],Registre_Maintenance_Part[[ID_Antenne]:[Colonne2]],6,FALSE),"")</f>
        <v/>
      </c>
    </row>
    <row r="819" spans="1:11" x14ac:dyDescent="0.3">
      <c r="A819" t="s">
        <v>1088</v>
      </c>
      <c r="B819" s="1">
        <v>45218.242361111108</v>
      </c>
      <c r="C819" s="2">
        <v>45218.242361111108</v>
      </c>
      <c r="D819" t="s">
        <v>942</v>
      </c>
      <c r="E819">
        <v>64</v>
      </c>
      <c r="F819" t="s">
        <v>734</v>
      </c>
      <c r="G819" t="str">
        <f>IFERROR(VLOOKUP(Logs_Reseau_Part5[[#This Row],[Cell_ID]],Registre_Maintenance_Part[[ID_Antenne]:[Colonne2]],2,FALSE),"")</f>
        <v/>
      </c>
      <c r="H819" t="str">
        <f>IFERROR(VLOOKUP(Logs_Reseau_Part5[[#This Row],[Cell_ID]],Registre_Maintenance_Part[[ID_Antenne]:[Colonne2]],3,FALSE),"")</f>
        <v/>
      </c>
      <c r="I819" t="str">
        <f>IFERROR(VLOOKUP(Logs_Reseau_Part5[[#This Row],[Cell_ID]],Registre_Maintenance_Part[[ID_Antenne]:[Colonne2]],4,FALSE),"")</f>
        <v/>
      </c>
      <c r="J819" t="str">
        <f>IFERROR(VLOOKUP(Logs_Reseau_Part5[[#This Row],[Cell_ID]],Registre_Maintenance_Part[[ID_Antenne]:[Colonne2]],5,FALSE),"")</f>
        <v/>
      </c>
      <c r="K819" t="str">
        <f>IFERROR(VLOOKUP(Logs_Reseau_Part5[[#This Row],[Cell_ID]],Registre_Maintenance_Part[[ID_Antenne]:[Colonne2]],6,FALSE),"")</f>
        <v/>
      </c>
    </row>
    <row r="820" spans="1:11" x14ac:dyDescent="0.3">
      <c r="A820" t="s">
        <v>1332</v>
      </c>
      <c r="B820" s="1">
        <v>45218.287499999999</v>
      </c>
      <c r="C820" s="2">
        <v>45218.287499999999</v>
      </c>
      <c r="D820" t="s">
        <v>1346</v>
      </c>
      <c r="E820">
        <v>71</v>
      </c>
      <c r="F820" t="s">
        <v>739</v>
      </c>
      <c r="G820" t="str">
        <f>IFERROR(VLOOKUP(Logs_Reseau_Part5[[#This Row],[Cell_ID]],Registre_Maintenance_Part[[ID_Antenne]:[Colonne2]],2,FALSE),"")</f>
        <v/>
      </c>
      <c r="H820" t="str">
        <f>IFERROR(VLOOKUP(Logs_Reseau_Part5[[#This Row],[Cell_ID]],Registre_Maintenance_Part[[ID_Antenne]:[Colonne2]],3,FALSE),"")</f>
        <v/>
      </c>
      <c r="I820" t="str">
        <f>IFERROR(VLOOKUP(Logs_Reseau_Part5[[#This Row],[Cell_ID]],Registre_Maintenance_Part[[ID_Antenne]:[Colonne2]],4,FALSE),"")</f>
        <v/>
      </c>
      <c r="J820" t="str">
        <f>IFERROR(VLOOKUP(Logs_Reseau_Part5[[#This Row],[Cell_ID]],Registre_Maintenance_Part[[ID_Antenne]:[Colonne2]],5,FALSE),"")</f>
        <v/>
      </c>
      <c r="K820" t="str">
        <f>IFERROR(VLOOKUP(Logs_Reseau_Part5[[#This Row],[Cell_ID]],Registre_Maintenance_Part[[ID_Antenne]:[Colonne2]],6,FALSE),"")</f>
        <v/>
      </c>
    </row>
    <row r="821" spans="1:11" x14ac:dyDescent="0.3">
      <c r="A821" t="s">
        <v>1243</v>
      </c>
      <c r="B821" s="1">
        <v>45218.314583333333</v>
      </c>
      <c r="C821" s="2">
        <v>45218.314583333333</v>
      </c>
      <c r="D821" t="s">
        <v>1257</v>
      </c>
      <c r="E821">
        <v>45</v>
      </c>
      <c r="F821" t="s">
        <v>734</v>
      </c>
      <c r="G821" t="str">
        <f>IFERROR(VLOOKUP(Logs_Reseau_Part5[[#This Row],[Cell_ID]],Registre_Maintenance_Part[[ID_Antenne]:[Colonne2]],2,FALSE),"")</f>
        <v/>
      </c>
      <c r="H821" t="str">
        <f>IFERROR(VLOOKUP(Logs_Reseau_Part5[[#This Row],[Cell_ID]],Registre_Maintenance_Part[[ID_Antenne]:[Colonne2]],3,FALSE),"")</f>
        <v/>
      </c>
      <c r="I821" t="str">
        <f>IFERROR(VLOOKUP(Logs_Reseau_Part5[[#This Row],[Cell_ID]],Registre_Maintenance_Part[[ID_Antenne]:[Colonne2]],4,FALSE),"")</f>
        <v/>
      </c>
      <c r="J821" t="str">
        <f>IFERROR(VLOOKUP(Logs_Reseau_Part5[[#This Row],[Cell_ID]],Registre_Maintenance_Part[[ID_Antenne]:[Colonne2]],5,FALSE),"")</f>
        <v/>
      </c>
      <c r="K821" t="str">
        <f>IFERROR(VLOOKUP(Logs_Reseau_Part5[[#This Row],[Cell_ID]],Registre_Maintenance_Part[[ID_Antenne]:[Colonne2]],6,FALSE),"")</f>
        <v/>
      </c>
    </row>
    <row r="822" spans="1:11" x14ac:dyDescent="0.3">
      <c r="A822" t="s">
        <v>825</v>
      </c>
      <c r="B822" s="1">
        <v>45218.334722222222</v>
      </c>
      <c r="C822" s="2">
        <v>45218.334722222222</v>
      </c>
      <c r="D822" t="s">
        <v>828</v>
      </c>
      <c r="E822">
        <v>85</v>
      </c>
      <c r="F822" t="s">
        <v>739</v>
      </c>
      <c r="G822" t="str">
        <f>IFERROR(VLOOKUP(Logs_Reseau_Part5[[#This Row],[Cell_ID]],Registre_Maintenance_Part[[ID_Antenne]:[Colonne2]],2,FALSE),"")</f>
        <v/>
      </c>
      <c r="H822" t="str">
        <f>IFERROR(VLOOKUP(Logs_Reseau_Part5[[#This Row],[Cell_ID]],Registre_Maintenance_Part[[ID_Antenne]:[Colonne2]],3,FALSE),"")</f>
        <v/>
      </c>
      <c r="I822" t="str">
        <f>IFERROR(VLOOKUP(Logs_Reseau_Part5[[#This Row],[Cell_ID]],Registre_Maintenance_Part[[ID_Antenne]:[Colonne2]],4,FALSE),"")</f>
        <v/>
      </c>
      <c r="J822" t="str">
        <f>IFERROR(VLOOKUP(Logs_Reseau_Part5[[#This Row],[Cell_ID]],Registre_Maintenance_Part[[ID_Antenne]:[Colonne2]],5,FALSE),"")</f>
        <v/>
      </c>
      <c r="K822" t="str">
        <f>IFERROR(VLOOKUP(Logs_Reseau_Part5[[#This Row],[Cell_ID]],Registre_Maintenance_Part[[ID_Antenne]:[Colonne2]],6,FALSE),"")</f>
        <v/>
      </c>
    </row>
    <row r="823" spans="1:11" x14ac:dyDescent="0.3">
      <c r="A823" t="s">
        <v>1088</v>
      </c>
      <c r="B823" s="1">
        <v>45218.361805555563</v>
      </c>
      <c r="C823" s="2">
        <v>45218.361805555563</v>
      </c>
      <c r="D823" t="s">
        <v>778</v>
      </c>
      <c r="E823">
        <v>45</v>
      </c>
      <c r="F823" t="s">
        <v>739</v>
      </c>
      <c r="G823" t="str">
        <f>IFERROR(VLOOKUP(Logs_Reseau_Part5[[#This Row],[Cell_ID]],Registre_Maintenance_Part[[ID_Antenne]:[Colonne2]],2,FALSE),"")</f>
        <v/>
      </c>
      <c r="H823" t="str">
        <f>IFERROR(VLOOKUP(Logs_Reseau_Part5[[#This Row],[Cell_ID]],Registre_Maintenance_Part[[ID_Antenne]:[Colonne2]],3,FALSE),"")</f>
        <v/>
      </c>
      <c r="I823" t="str">
        <f>IFERROR(VLOOKUP(Logs_Reseau_Part5[[#This Row],[Cell_ID]],Registre_Maintenance_Part[[ID_Antenne]:[Colonne2]],4,FALSE),"")</f>
        <v/>
      </c>
      <c r="J823" t="str">
        <f>IFERROR(VLOOKUP(Logs_Reseau_Part5[[#This Row],[Cell_ID]],Registre_Maintenance_Part[[ID_Antenne]:[Colonne2]],5,FALSE),"")</f>
        <v/>
      </c>
      <c r="K823" t="str">
        <f>IFERROR(VLOOKUP(Logs_Reseau_Part5[[#This Row],[Cell_ID]],Registre_Maintenance_Part[[ID_Antenne]:[Colonne2]],6,FALSE),"")</f>
        <v/>
      </c>
    </row>
    <row r="824" spans="1:11" x14ac:dyDescent="0.3">
      <c r="A824" t="s">
        <v>1221</v>
      </c>
      <c r="B824" s="1">
        <v>45218.558333333327</v>
      </c>
      <c r="C824" s="2">
        <v>45218.558333333327</v>
      </c>
      <c r="D824" t="s">
        <v>926</v>
      </c>
      <c r="E824">
        <v>54</v>
      </c>
      <c r="F824" t="s">
        <v>739</v>
      </c>
      <c r="G824" t="str">
        <f>IFERROR(VLOOKUP(Logs_Reseau_Part5[[#This Row],[Cell_ID]],Registre_Maintenance_Part[[ID_Antenne]:[Colonne2]],2,FALSE),"")</f>
        <v/>
      </c>
      <c r="H824" t="str">
        <f>IFERROR(VLOOKUP(Logs_Reseau_Part5[[#This Row],[Cell_ID]],Registre_Maintenance_Part[[ID_Antenne]:[Colonne2]],3,FALSE),"")</f>
        <v/>
      </c>
      <c r="I824" t="str">
        <f>IFERROR(VLOOKUP(Logs_Reseau_Part5[[#This Row],[Cell_ID]],Registre_Maintenance_Part[[ID_Antenne]:[Colonne2]],4,FALSE),"")</f>
        <v/>
      </c>
      <c r="J824" t="str">
        <f>IFERROR(VLOOKUP(Logs_Reseau_Part5[[#This Row],[Cell_ID]],Registre_Maintenance_Part[[ID_Antenne]:[Colonne2]],5,FALSE),"")</f>
        <v/>
      </c>
      <c r="K824" t="str">
        <f>IFERROR(VLOOKUP(Logs_Reseau_Part5[[#This Row],[Cell_ID]],Registre_Maintenance_Part[[ID_Antenne]:[Colonne2]],6,FALSE),"")</f>
        <v/>
      </c>
    </row>
    <row r="825" spans="1:11" x14ac:dyDescent="0.3">
      <c r="A825" t="s">
        <v>781</v>
      </c>
      <c r="B825" s="1">
        <v>45218.635416666657</v>
      </c>
      <c r="C825" s="2">
        <v>45218.635416666657</v>
      </c>
      <c r="D825" t="s">
        <v>782</v>
      </c>
      <c r="E825">
        <v>17</v>
      </c>
      <c r="F825" t="s">
        <v>739</v>
      </c>
      <c r="G825" t="str">
        <f>IFERROR(VLOOKUP(Logs_Reseau_Part5[[#This Row],[Cell_ID]],Registre_Maintenance_Part[[ID_Antenne]:[Colonne2]],2,FALSE),"")</f>
        <v/>
      </c>
      <c r="H825" t="str">
        <f>IFERROR(VLOOKUP(Logs_Reseau_Part5[[#This Row],[Cell_ID]],Registre_Maintenance_Part[[ID_Antenne]:[Colonne2]],3,FALSE),"")</f>
        <v/>
      </c>
      <c r="I825" t="str">
        <f>IFERROR(VLOOKUP(Logs_Reseau_Part5[[#This Row],[Cell_ID]],Registre_Maintenance_Part[[ID_Antenne]:[Colonne2]],4,FALSE),"")</f>
        <v/>
      </c>
      <c r="J825" t="str">
        <f>IFERROR(VLOOKUP(Logs_Reseau_Part5[[#This Row],[Cell_ID]],Registre_Maintenance_Part[[ID_Antenne]:[Colonne2]],5,FALSE),"")</f>
        <v/>
      </c>
      <c r="K825" t="str">
        <f>IFERROR(VLOOKUP(Logs_Reseau_Part5[[#This Row],[Cell_ID]],Registre_Maintenance_Part[[ID_Antenne]:[Colonne2]],6,FALSE),"")</f>
        <v/>
      </c>
    </row>
    <row r="826" spans="1:11" x14ac:dyDescent="0.3">
      <c r="A826" t="s">
        <v>1001</v>
      </c>
      <c r="B826" s="1">
        <v>45218.647916666669</v>
      </c>
      <c r="C826" s="2">
        <v>45218.647916666669</v>
      </c>
      <c r="D826" t="s">
        <v>1023</v>
      </c>
      <c r="E826">
        <v>78</v>
      </c>
      <c r="F826" t="s">
        <v>734</v>
      </c>
      <c r="G826" t="str">
        <f>IFERROR(VLOOKUP(Logs_Reseau_Part5[[#This Row],[Cell_ID]],Registre_Maintenance_Part[[ID_Antenne]:[Colonne2]],2,FALSE),"")</f>
        <v/>
      </c>
      <c r="H826" t="str">
        <f>IFERROR(VLOOKUP(Logs_Reseau_Part5[[#This Row],[Cell_ID]],Registre_Maintenance_Part[[ID_Antenne]:[Colonne2]],3,FALSE),"")</f>
        <v/>
      </c>
      <c r="I826" t="str">
        <f>IFERROR(VLOOKUP(Logs_Reseau_Part5[[#This Row],[Cell_ID]],Registre_Maintenance_Part[[ID_Antenne]:[Colonne2]],4,FALSE),"")</f>
        <v/>
      </c>
      <c r="J826" t="str">
        <f>IFERROR(VLOOKUP(Logs_Reseau_Part5[[#This Row],[Cell_ID]],Registre_Maintenance_Part[[ID_Antenne]:[Colonne2]],5,FALSE),"")</f>
        <v/>
      </c>
      <c r="K826" t="str">
        <f>IFERROR(VLOOKUP(Logs_Reseau_Part5[[#This Row],[Cell_ID]],Registre_Maintenance_Part[[ID_Antenne]:[Colonne2]],6,FALSE),"")</f>
        <v/>
      </c>
    </row>
    <row r="827" spans="1:11" x14ac:dyDescent="0.3">
      <c r="A827" t="s">
        <v>1243</v>
      </c>
      <c r="B827" s="1">
        <v>45218.659722222219</v>
      </c>
      <c r="C827" s="2">
        <v>45218.659722222219</v>
      </c>
      <c r="D827" t="s">
        <v>1250</v>
      </c>
      <c r="E827">
        <v>24</v>
      </c>
      <c r="F827" t="s">
        <v>734</v>
      </c>
      <c r="G827" t="str">
        <f>IFERROR(VLOOKUP(Logs_Reseau_Part5[[#This Row],[Cell_ID]],Registre_Maintenance_Part[[ID_Antenne]:[Colonne2]],2,FALSE),"")</f>
        <v/>
      </c>
      <c r="H827" t="str">
        <f>IFERROR(VLOOKUP(Logs_Reseau_Part5[[#This Row],[Cell_ID]],Registre_Maintenance_Part[[ID_Antenne]:[Colonne2]],3,FALSE),"")</f>
        <v/>
      </c>
      <c r="I827" t="str">
        <f>IFERROR(VLOOKUP(Logs_Reseau_Part5[[#This Row],[Cell_ID]],Registre_Maintenance_Part[[ID_Antenne]:[Colonne2]],4,FALSE),"")</f>
        <v/>
      </c>
      <c r="J827" t="str">
        <f>IFERROR(VLOOKUP(Logs_Reseau_Part5[[#This Row],[Cell_ID]],Registre_Maintenance_Part[[ID_Antenne]:[Colonne2]],5,FALSE),"")</f>
        <v/>
      </c>
      <c r="K827" t="str">
        <f>IFERROR(VLOOKUP(Logs_Reseau_Part5[[#This Row],[Cell_ID]],Registre_Maintenance_Part[[ID_Antenne]:[Colonne2]],6,FALSE),"")</f>
        <v/>
      </c>
    </row>
    <row r="828" spans="1:11" x14ac:dyDescent="0.3">
      <c r="A828" t="s">
        <v>1384</v>
      </c>
      <c r="B828" s="1">
        <v>45218.665972222218</v>
      </c>
      <c r="C828" s="2">
        <v>45218.665972222218</v>
      </c>
      <c r="D828" t="s">
        <v>1389</v>
      </c>
      <c r="E828">
        <v>90</v>
      </c>
      <c r="F828" t="s">
        <v>739</v>
      </c>
      <c r="G828" t="str">
        <f>IFERROR(VLOOKUP(Logs_Reseau_Part5[[#This Row],[Cell_ID]],Registre_Maintenance_Part[[ID_Antenne]:[Colonne2]],2,FALSE),"")</f>
        <v/>
      </c>
      <c r="H828" t="str">
        <f>IFERROR(VLOOKUP(Logs_Reseau_Part5[[#This Row],[Cell_ID]],Registre_Maintenance_Part[[ID_Antenne]:[Colonne2]],3,FALSE),"")</f>
        <v/>
      </c>
      <c r="I828" t="str">
        <f>IFERROR(VLOOKUP(Logs_Reseau_Part5[[#This Row],[Cell_ID]],Registre_Maintenance_Part[[ID_Antenne]:[Colonne2]],4,FALSE),"")</f>
        <v/>
      </c>
      <c r="J828" t="str">
        <f>IFERROR(VLOOKUP(Logs_Reseau_Part5[[#This Row],[Cell_ID]],Registre_Maintenance_Part[[ID_Antenne]:[Colonne2]],5,FALSE),"")</f>
        <v/>
      </c>
      <c r="K828" t="str">
        <f>IFERROR(VLOOKUP(Logs_Reseau_Part5[[#This Row],[Cell_ID]],Registre_Maintenance_Part[[ID_Antenne]:[Colonne2]],6,FALSE),"")</f>
        <v/>
      </c>
    </row>
    <row r="829" spans="1:11" x14ac:dyDescent="0.3">
      <c r="A829" t="s">
        <v>1001</v>
      </c>
      <c r="B829" s="1">
        <v>45218.675694444442</v>
      </c>
      <c r="C829" s="2">
        <v>45218.675694444442</v>
      </c>
      <c r="D829" t="s">
        <v>890</v>
      </c>
      <c r="E829">
        <v>37</v>
      </c>
      <c r="F829" t="s">
        <v>739</v>
      </c>
      <c r="G829" t="str">
        <f>IFERROR(VLOOKUP(Logs_Reseau_Part5[[#This Row],[Cell_ID]],Registre_Maintenance_Part[[ID_Antenne]:[Colonne2]],2,FALSE),"")</f>
        <v/>
      </c>
      <c r="H829" t="str">
        <f>IFERROR(VLOOKUP(Logs_Reseau_Part5[[#This Row],[Cell_ID]],Registre_Maintenance_Part[[ID_Antenne]:[Colonne2]],3,FALSE),"")</f>
        <v/>
      </c>
      <c r="I829" t="str">
        <f>IFERROR(VLOOKUP(Logs_Reseau_Part5[[#This Row],[Cell_ID]],Registre_Maintenance_Part[[ID_Antenne]:[Colonne2]],4,FALSE),"")</f>
        <v/>
      </c>
      <c r="J829" t="str">
        <f>IFERROR(VLOOKUP(Logs_Reseau_Part5[[#This Row],[Cell_ID]],Registre_Maintenance_Part[[ID_Antenne]:[Colonne2]],5,FALSE),"")</f>
        <v/>
      </c>
      <c r="K829" t="str">
        <f>IFERROR(VLOOKUP(Logs_Reseau_Part5[[#This Row],[Cell_ID]],Registre_Maintenance_Part[[ID_Antenne]:[Colonne2]],6,FALSE),"")</f>
        <v/>
      </c>
    </row>
    <row r="830" spans="1:11" x14ac:dyDescent="0.3">
      <c r="A830" t="s">
        <v>781</v>
      </c>
      <c r="B830" s="1">
        <v>45218.793055555558</v>
      </c>
      <c r="C830" s="2">
        <v>45218.793055555558</v>
      </c>
      <c r="D830" t="s">
        <v>814</v>
      </c>
      <c r="E830">
        <v>100</v>
      </c>
      <c r="F830" t="s">
        <v>739</v>
      </c>
      <c r="G830" t="str">
        <f>IFERROR(VLOOKUP(Logs_Reseau_Part5[[#This Row],[Cell_ID]],Registre_Maintenance_Part[[ID_Antenne]:[Colonne2]],2,FALSE),"")</f>
        <v/>
      </c>
      <c r="H830" t="str">
        <f>IFERROR(VLOOKUP(Logs_Reseau_Part5[[#This Row],[Cell_ID]],Registre_Maintenance_Part[[ID_Antenne]:[Colonne2]],3,FALSE),"")</f>
        <v/>
      </c>
      <c r="I830" t="str">
        <f>IFERROR(VLOOKUP(Logs_Reseau_Part5[[#This Row],[Cell_ID]],Registre_Maintenance_Part[[ID_Antenne]:[Colonne2]],4,FALSE),"")</f>
        <v/>
      </c>
      <c r="J830" t="str">
        <f>IFERROR(VLOOKUP(Logs_Reseau_Part5[[#This Row],[Cell_ID]],Registre_Maintenance_Part[[ID_Antenne]:[Colonne2]],5,FALSE),"")</f>
        <v/>
      </c>
      <c r="K830" t="str">
        <f>IFERROR(VLOOKUP(Logs_Reseau_Part5[[#This Row],[Cell_ID]],Registre_Maintenance_Part[[ID_Antenne]:[Colonne2]],6,FALSE),"")</f>
        <v/>
      </c>
    </row>
    <row r="831" spans="1:11" x14ac:dyDescent="0.3">
      <c r="A831" t="s">
        <v>1347</v>
      </c>
      <c r="B831" s="1">
        <v>45218.794444444437</v>
      </c>
      <c r="C831" s="2">
        <v>45218.794444444437</v>
      </c>
      <c r="D831" t="s">
        <v>1351</v>
      </c>
      <c r="E831">
        <v>108</v>
      </c>
      <c r="F831" t="s">
        <v>734</v>
      </c>
      <c r="G831" t="str">
        <f>IFERROR(VLOOKUP(Logs_Reseau_Part5[[#This Row],[Cell_ID]],Registre_Maintenance_Part[[ID_Antenne]:[Colonne2]],2,FALSE),"")</f>
        <v/>
      </c>
      <c r="H831" t="str">
        <f>IFERROR(VLOOKUP(Logs_Reseau_Part5[[#This Row],[Cell_ID]],Registre_Maintenance_Part[[ID_Antenne]:[Colonne2]],3,FALSE),"")</f>
        <v/>
      </c>
      <c r="I831" t="str">
        <f>IFERROR(VLOOKUP(Logs_Reseau_Part5[[#This Row],[Cell_ID]],Registre_Maintenance_Part[[ID_Antenne]:[Colonne2]],4,FALSE),"")</f>
        <v/>
      </c>
      <c r="J831" t="str">
        <f>IFERROR(VLOOKUP(Logs_Reseau_Part5[[#This Row],[Cell_ID]],Registre_Maintenance_Part[[ID_Antenne]:[Colonne2]],5,FALSE),"")</f>
        <v/>
      </c>
      <c r="K831" t="str">
        <f>IFERROR(VLOOKUP(Logs_Reseau_Part5[[#This Row],[Cell_ID]],Registre_Maintenance_Part[[ID_Antenne]:[Colonne2]],6,FALSE),"")</f>
        <v/>
      </c>
    </row>
    <row r="832" spans="1:11" x14ac:dyDescent="0.3">
      <c r="A832" t="s">
        <v>863</v>
      </c>
      <c r="B832" s="1">
        <v>45218.875694444447</v>
      </c>
      <c r="C832" s="2">
        <v>45218.875694444447</v>
      </c>
      <c r="D832" t="s">
        <v>869</v>
      </c>
      <c r="E832">
        <v>39</v>
      </c>
      <c r="F832" t="s">
        <v>734</v>
      </c>
      <c r="G832" t="str">
        <f>IFERROR(VLOOKUP(Logs_Reseau_Part5[[#This Row],[Cell_ID]],Registre_Maintenance_Part[[ID_Antenne]:[Colonne2]],2,FALSE),"")</f>
        <v/>
      </c>
      <c r="H832" t="str">
        <f>IFERROR(VLOOKUP(Logs_Reseau_Part5[[#This Row],[Cell_ID]],Registre_Maintenance_Part[[ID_Antenne]:[Colonne2]],3,FALSE),"")</f>
        <v/>
      </c>
      <c r="I832" t="str">
        <f>IFERROR(VLOOKUP(Logs_Reseau_Part5[[#This Row],[Cell_ID]],Registre_Maintenance_Part[[ID_Antenne]:[Colonne2]],4,FALSE),"")</f>
        <v/>
      </c>
      <c r="J832" t="str">
        <f>IFERROR(VLOOKUP(Logs_Reseau_Part5[[#This Row],[Cell_ID]],Registre_Maintenance_Part[[ID_Antenne]:[Colonne2]],5,FALSE),"")</f>
        <v/>
      </c>
      <c r="K832" t="str">
        <f>IFERROR(VLOOKUP(Logs_Reseau_Part5[[#This Row],[Cell_ID]],Registre_Maintenance_Part[[ID_Antenne]:[Colonne2]],6,FALSE),"")</f>
        <v/>
      </c>
    </row>
    <row r="833" spans="1:11" x14ac:dyDescent="0.3">
      <c r="A833" t="s">
        <v>1195</v>
      </c>
      <c r="B833" s="1">
        <v>45218.89166666667</v>
      </c>
      <c r="C833" s="2">
        <v>45218.89166666667</v>
      </c>
      <c r="D833" t="s">
        <v>814</v>
      </c>
      <c r="E833">
        <v>107</v>
      </c>
      <c r="F833" t="s">
        <v>737</v>
      </c>
      <c r="G833" t="str">
        <f>IFERROR(VLOOKUP(Logs_Reseau_Part5[[#This Row],[Cell_ID]],Registre_Maintenance_Part[[ID_Antenne]:[Colonne2]],2,FALSE),"")</f>
        <v/>
      </c>
      <c r="H833" t="str">
        <f>IFERROR(VLOOKUP(Logs_Reseau_Part5[[#This Row],[Cell_ID]],Registre_Maintenance_Part[[ID_Antenne]:[Colonne2]],3,FALSE),"")</f>
        <v/>
      </c>
      <c r="I833" t="str">
        <f>IFERROR(VLOOKUP(Logs_Reseau_Part5[[#This Row],[Cell_ID]],Registre_Maintenance_Part[[ID_Antenne]:[Colonne2]],4,FALSE),"")</f>
        <v/>
      </c>
      <c r="J833" t="str">
        <f>IFERROR(VLOOKUP(Logs_Reseau_Part5[[#This Row],[Cell_ID]],Registre_Maintenance_Part[[ID_Antenne]:[Colonne2]],5,FALSE),"")</f>
        <v/>
      </c>
      <c r="K833" t="str">
        <f>IFERROR(VLOOKUP(Logs_Reseau_Part5[[#This Row],[Cell_ID]],Registre_Maintenance_Part[[ID_Antenne]:[Colonne2]],6,FALSE),"")</f>
        <v/>
      </c>
    </row>
    <row r="834" spans="1:11" x14ac:dyDescent="0.3">
      <c r="A834" t="s">
        <v>1263</v>
      </c>
      <c r="B834" s="1">
        <v>45218.906944444447</v>
      </c>
      <c r="C834" s="2">
        <v>45218.906944444447</v>
      </c>
      <c r="D834" t="s">
        <v>962</v>
      </c>
      <c r="E834">
        <v>8</v>
      </c>
      <c r="F834" t="s">
        <v>739</v>
      </c>
      <c r="G834" t="str">
        <f>IFERROR(VLOOKUP(Logs_Reseau_Part5[[#This Row],[Cell_ID]],Registre_Maintenance_Part[[ID_Antenne]:[Colonne2]],2,FALSE),"")</f>
        <v/>
      </c>
      <c r="H834" t="str">
        <f>IFERROR(VLOOKUP(Logs_Reseau_Part5[[#This Row],[Cell_ID]],Registre_Maintenance_Part[[ID_Antenne]:[Colonne2]],3,FALSE),"")</f>
        <v/>
      </c>
      <c r="I834" t="str">
        <f>IFERROR(VLOOKUP(Logs_Reseau_Part5[[#This Row],[Cell_ID]],Registre_Maintenance_Part[[ID_Antenne]:[Colonne2]],4,FALSE),"")</f>
        <v/>
      </c>
      <c r="J834" t="str">
        <f>IFERROR(VLOOKUP(Logs_Reseau_Part5[[#This Row],[Cell_ID]],Registre_Maintenance_Part[[ID_Antenne]:[Colonne2]],5,FALSE),"")</f>
        <v/>
      </c>
      <c r="K834" t="str">
        <f>IFERROR(VLOOKUP(Logs_Reseau_Part5[[#This Row],[Cell_ID]],Registre_Maintenance_Part[[ID_Antenne]:[Colonne2]],6,FALSE),"")</f>
        <v/>
      </c>
    </row>
    <row r="835" spans="1:11" x14ac:dyDescent="0.3">
      <c r="A835" t="s">
        <v>980</v>
      </c>
      <c r="B835" s="1">
        <v>45218.990277777782</v>
      </c>
      <c r="C835" s="2">
        <v>45218.990277777782</v>
      </c>
      <c r="D835" t="s">
        <v>983</v>
      </c>
      <c r="E835">
        <v>100</v>
      </c>
      <c r="F835" t="s">
        <v>734</v>
      </c>
      <c r="G835" t="str">
        <f>IFERROR(VLOOKUP(Logs_Reseau_Part5[[#This Row],[Cell_ID]],Registre_Maintenance_Part[[ID_Antenne]:[Colonne2]],2,FALSE),"")</f>
        <v/>
      </c>
      <c r="H835" t="str">
        <f>IFERROR(VLOOKUP(Logs_Reseau_Part5[[#This Row],[Cell_ID]],Registre_Maintenance_Part[[ID_Antenne]:[Colonne2]],3,FALSE),"")</f>
        <v/>
      </c>
      <c r="I835" t="str">
        <f>IFERROR(VLOOKUP(Logs_Reseau_Part5[[#This Row],[Cell_ID]],Registre_Maintenance_Part[[ID_Antenne]:[Colonne2]],4,FALSE),"")</f>
        <v/>
      </c>
      <c r="J835" t="str">
        <f>IFERROR(VLOOKUP(Logs_Reseau_Part5[[#This Row],[Cell_ID]],Registre_Maintenance_Part[[ID_Antenne]:[Colonne2]],5,FALSE),"")</f>
        <v/>
      </c>
      <c r="K835" t="str">
        <f>IFERROR(VLOOKUP(Logs_Reseau_Part5[[#This Row],[Cell_ID]],Registre_Maintenance_Part[[ID_Antenne]:[Colonne2]],6,FALSE),"")</f>
        <v/>
      </c>
    </row>
    <row r="836" spans="1:11" x14ac:dyDescent="0.3">
      <c r="A836" t="s">
        <v>1363</v>
      </c>
      <c r="B836" s="1">
        <v>45219.041666666657</v>
      </c>
      <c r="C836" s="2">
        <v>45219.041666666657</v>
      </c>
      <c r="D836" t="s">
        <v>897</v>
      </c>
      <c r="E836">
        <v>100</v>
      </c>
      <c r="F836" t="s">
        <v>739</v>
      </c>
      <c r="G836" t="str">
        <f>IFERROR(VLOOKUP(Logs_Reseau_Part5[[#This Row],[Cell_ID]],Registre_Maintenance_Part[[ID_Antenne]:[Colonne2]],2,FALSE),"")</f>
        <v/>
      </c>
      <c r="H836" t="str">
        <f>IFERROR(VLOOKUP(Logs_Reseau_Part5[[#This Row],[Cell_ID]],Registre_Maintenance_Part[[ID_Antenne]:[Colonne2]],3,FALSE),"")</f>
        <v/>
      </c>
      <c r="I836" t="str">
        <f>IFERROR(VLOOKUP(Logs_Reseau_Part5[[#This Row],[Cell_ID]],Registre_Maintenance_Part[[ID_Antenne]:[Colonne2]],4,FALSE),"")</f>
        <v/>
      </c>
      <c r="J836" t="str">
        <f>IFERROR(VLOOKUP(Logs_Reseau_Part5[[#This Row],[Cell_ID]],Registre_Maintenance_Part[[ID_Antenne]:[Colonne2]],5,FALSE),"")</f>
        <v/>
      </c>
      <c r="K836" t="str">
        <f>IFERROR(VLOOKUP(Logs_Reseau_Part5[[#This Row],[Cell_ID]],Registre_Maintenance_Part[[ID_Antenne]:[Colonne2]],6,FALSE),"")</f>
        <v/>
      </c>
    </row>
    <row r="837" spans="1:11" x14ac:dyDescent="0.3">
      <c r="A837" t="s">
        <v>1026</v>
      </c>
      <c r="B837" s="1">
        <v>45219.076388888891</v>
      </c>
      <c r="C837" s="2">
        <v>45219.076388888891</v>
      </c>
      <c r="D837" t="s">
        <v>1042</v>
      </c>
      <c r="E837">
        <v>93</v>
      </c>
      <c r="F837" t="s">
        <v>739</v>
      </c>
      <c r="G837" t="str">
        <f>IFERROR(VLOOKUP(Logs_Reseau_Part5[[#This Row],[Cell_ID]],Registre_Maintenance_Part[[ID_Antenne]:[Colonne2]],2,FALSE),"")</f>
        <v/>
      </c>
      <c r="H837" t="str">
        <f>IFERROR(VLOOKUP(Logs_Reseau_Part5[[#This Row],[Cell_ID]],Registre_Maintenance_Part[[ID_Antenne]:[Colonne2]],3,FALSE),"")</f>
        <v/>
      </c>
      <c r="I837" t="str">
        <f>IFERROR(VLOOKUP(Logs_Reseau_Part5[[#This Row],[Cell_ID]],Registre_Maintenance_Part[[ID_Antenne]:[Colonne2]],4,FALSE),"")</f>
        <v/>
      </c>
      <c r="J837" t="str">
        <f>IFERROR(VLOOKUP(Logs_Reseau_Part5[[#This Row],[Cell_ID]],Registre_Maintenance_Part[[ID_Antenne]:[Colonne2]],5,FALSE),"")</f>
        <v/>
      </c>
      <c r="K837" t="str">
        <f>IFERROR(VLOOKUP(Logs_Reseau_Part5[[#This Row],[Cell_ID]],Registre_Maintenance_Part[[ID_Antenne]:[Colonne2]],6,FALSE),"")</f>
        <v/>
      </c>
    </row>
    <row r="838" spans="1:11" x14ac:dyDescent="0.3">
      <c r="A838" t="s">
        <v>781</v>
      </c>
      <c r="B838" s="1">
        <v>45219.101388888892</v>
      </c>
      <c r="C838" s="2">
        <v>45219.101388888892</v>
      </c>
      <c r="D838" t="s">
        <v>815</v>
      </c>
      <c r="E838">
        <v>75</v>
      </c>
      <c r="F838" t="s">
        <v>734</v>
      </c>
      <c r="G838" t="str">
        <f>IFERROR(VLOOKUP(Logs_Reseau_Part5[[#This Row],[Cell_ID]],Registre_Maintenance_Part[[ID_Antenne]:[Colonne2]],2,FALSE),"")</f>
        <v/>
      </c>
      <c r="H838" t="str">
        <f>IFERROR(VLOOKUP(Logs_Reseau_Part5[[#This Row],[Cell_ID]],Registre_Maintenance_Part[[ID_Antenne]:[Colonne2]],3,FALSE),"")</f>
        <v/>
      </c>
      <c r="I838" t="str">
        <f>IFERROR(VLOOKUP(Logs_Reseau_Part5[[#This Row],[Cell_ID]],Registre_Maintenance_Part[[ID_Antenne]:[Colonne2]],4,FALSE),"")</f>
        <v/>
      </c>
      <c r="J838" t="str">
        <f>IFERROR(VLOOKUP(Logs_Reseau_Part5[[#This Row],[Cell_ID]],Registre_Maintenance_Part[[ID_Antenne]:[Colonne2]],5,FALSE),"")</f>
        <v/>
      </c>
      <c r="K838" t="str">
        <f>IFERROR(VLOOKUP(Logs_Reseau_Part5[[#This Row],[Cell_ID]],Registre_Maintenance_Part[[ID_Antenne]:[Colonne2]],6,FALSE),"")</f>
        <v/>
      </c>
    </row>
    <row r="839" spans="1:11" x14ac:dyDescent="0.3">
      <c r="A839" t="s">
        <v>1140</v>
      </c>
      <c r="B839" s="1">
        <v>45219.106249999997</v>
      </c>
      <c r="C839" s="2">
        <v>45219.106249999997</v>
      </c>
      <c r="D839" t="s">
        <v>1155</v>
      </c>
      <c r="E839">
        <v>87</v>
      </c>
      <c r="F839" t="s">
        <v>737</v>
      </c>
      <c r="G839" t="str">
        <f>IFERROR(VLOOKUP(Logs_Reseau_Part5[[#This Row],[Cell_ID]],Registre_Maintenance_Part[[ID_Antenne]:[Colonne2]],2,FALSE),"")</f>
        <v/>
      </c>
      <c r="H839" t="str">
        <f>IFERROR(VLOOKUP(Logs_Reseau_Part5[[#This Row],[Cell_ID]],Registre_Maintenance_Part[[ID_Antenne]:[Colonne2]],3,FALSE),"")</f>
        <v/>
      </c>
      <c r="I839" t="str">
        <f>IFERROR(VLOOKUP(Logs_Reseau_Part5[[#This Row],[Cell_ID]],Registre_Maintenance_Part[[ID_Antenne]:[Colonne2]],4,FALSE),"")</f>
        <v/>
      </c>
      <c r="J839" t="str">
        <f>IFERROR(VLOOKUP(Logs_Reseau_Part5[[#This Row],[Cell_ID]],Registre_Maintenance_Part[[ID_Antenne]:[Colonne2]],5,FALSE),"")</f>
        <v/>
      </c>
      <c r="K839" t="str">
        <f>IFERROR(VLOOKUP(Logs_Reseau_Part5[[#This Row],[Cell_ID]],Registre_Maintenance_Part[[ID_Antenne]:[Colonne2]],6,FALSE),"")</f>
        <v/>
      </c>
    </row>
    <row r="840" spans="1:11" x14ac:dyDescent="0.3">
      <c r="A840" t="s">
        <v>1140</v>
      </c>
      <c r="B840" s="1">
        <v>45219.301388888889</v>
      </c>
      <c r="C840" s="2">
        <v>45219.301388888889</v>
      </c>
      <c r="D840" t="s">
        <v>752</v>
      </c>
      <c r="E840">
        <v>65</v>
      </c>
      <c r="F840" t="s">
        <v>734</v>
      </c>
      <c r="G840" t="str">
        <f>IFERROR(VLOOKUP(Logs_Reseau_Part5[[#This Row],[Cell_ID]],Registre_Maintenance_Part[[ID_Antenne]:[Colonne2]],2,FALSE),"")</f>
        <v/>
      </c>
      <c r="H840" t="str">
        <f>IFERROR(VLOOKUP(Logs_Reseau_Part5[[#This Row],[Cell_ID]],Registre_Maintenance_Part[[ID_Antenne]:[Colonne2]],3,FALSE),"")</f>
        <v/>
      </c>
      <c r="I840" t="str">
        <f>IFERROR(VLOOKUP(Logs_Reseau_Part5[[#This Row],[Cell_ID]],Registre_Maintenance_Part[[ID_Antenne]:[Colonne2]],4,FALSE),"")</f>
        <v/>
      </c>
      <c r="J840" t="str">
        <f>IFERROR(VLOOKUP(Logs_Reseau_Part5[[#This Row],[Cell_ID]],Registre_Maintenance_Part[[ID_Antenne]:[Colonne2]],5,FALSE),"")</f>
        <v/>
      </c>
      <c r="K840" t="str">
        <f>IFERROR(VLOOKUP(Logs_Reseau_Part5[[#This Row],[Cell_ID]],Registre_Maintenance_Part[[ID_Antenne]:[Colonne2]],6,FALSE),"")</f>
        <v/>
      </c>
    </row>
    <row r="841" spans="1:11" x14ac:dyDescent="0.3">
      <c r="A841" t="s">
        <v>1088</v>
      </c>
      <c r="B841" s="1">
        <v>45219.453472222223</v>
      </c>
      <c r="C841" s="2">
        <v>45219.453472222223</v>
      </c>
      <c r="D841" t="s">
        <v>1112</v>
      </c>
      <c r="E841">
        <v>52</v>
      </c>
      <c r="F841" t="s">
        <v>737</v>
      </c>
      <c r="G841" t="str">
        <f>IFERROR(VLOOKUP(Logs_Reseau_Part5[[#This Row],[Cell_ID]],Registre_Maintenance_Part[[ID_Antenne]:[Colonne2]],2,FALSE),"")</f>
        <v/>
      </c>
      <c r="H841" t="str">
        <f>IFERROR(VLOOKUP(Logs_Reseau_Part5[[#This Row],[Cell_ID]],Registre_Maintenance_Part[[ID_Antenne]:[Colonne2]],3,FALSE),"")</f>
        <v/>
      </c>
      <c r="I841" t="str">
        <f>IFERROR(VLOOKUP(Logs_Reseau_Part5[[#This Row],[Cell_ID]],Registre_Maintenance_Part[[ID_Antenne]:[Colonne2]],4,FALSE),"")</f>
        <v/>
      </c>
      <c r="J841" t="str">
        <f>IFERROR(VLOOKUP(Logs_Reseau_Part5[[#This Row],[Cell_ID]],Registre_Maintenance_Part[[ID_Antenne]:[Colonne2]],5,FALSE),"")</f>
        <v/>
      </c>
      <c r="K841" t="str">
        <f>IFERROR(VLOOKUP(Logs_Reseau_Part5[[#This Row],[Cell_ID]],Registre_Maintenance_Part[[ID_Antenne]:[Colonne2]],6,FALSE),"")</f>
        <v/>
      </c>
    </row>
    <row r="842" spans="1:11" x14ac:dyDescent="0.3">
      <c r="A842" t="s">
        <v>1116</v>
      </c>
      <c r="B842" s="1">
        <v>45219.506249999999</v>
      </c>
      <c r="C842" s="2">
        <v>45219.506249999999</v>
      </c>
      <c r="D842" t="s">
        <v>877</v>
      </c>
      <c r="E842">
        <v>41</v>
      </c>
      <c r="F842" t="s">
        <v>737</v>
      </c>
      <c r="G842" t="str">
        <f>IFERROR(VLOOKUP(Logs_Reseau_Part5[[#This Row],[Cell_ID]],Registre_Maintenance_Part[[ID_Antenne]:[Colonne2]],2,FALSE),"")</f>
        <v/>
      </c>
      <c r="H842" t="str">
        <f>IFERROR(VLOOKUP(Logs_Reseau_Part5[[#This Row],[Cell_ID]],Registre_Maintenance_Part[[ID_Antenne]:[Colonne2]],3,FALSE),"")</f>
        <v/>
      </c>
      <c r="I842" t="str">
        <f>IFERROR(VLOOKUP(Logs_Reseau_Part5[[#This Row],[Cell_ID]],Registre_Maintenance_Part[[ID_Antenne]:[Colonne2]],4,FALSE),"")</f>
        <v/>
      </c>
      <c r="J842" t="str">
        <f>IFERROR(VLOOKUP(Logs_Reseau_Part5[[#This Row],[Cell_ID]],Registre_Maintenance_Part[[ID_Antenne]:[Colonne2]],5,FALSE),"")</f>
        <v/>
      </c>
      <c r="K842" t="str">
        <f>IFERROR(VLOOKUP(Logs_Reseau_Part5[[#This Row],[Cell_ID]],Registre_Maintenance_Part[[ID_Antenne]:[Colonne2]],6,FALSE),"")</f>
        <v/>
      </c>
    </row>
    <row r="843" spans="1:11" x14ac:dyDescent="0.3">
      <c r="A843" t="s">
        <v>1116</v>
      </c>
      <c r="B843" s="1">
        <v>45219.633333333331</v>
      </c>
      <c r="C843" s="2">
        <v>45219.633333333331</v>
      </c>
      <c r="D843" t="s">
        <v>1134</v>
      </c>
      <c r="E843">
        <v>18</v>
      </c>
      <c r="F843" t="s">
        <v>739</v>
      </c>
      <c r="G843" t="str">
        <f>IFERROR(VLOOKUP(Logs_Reseau_Part5[[#This Row],[Cell_ID]],Registre_Maintenance_Part[[ID_Antenne]:[Colonne2]],2,FALSE),"")</f>
        <v/>
      </c>
      <c r="H843" t="str">
        <f>IFERROR(VLOOKUP(Logs_Reseau_Part5[[#This Row],[Cell_ID]],Registre_Maintenance_Part[[ID_Antenne]:[Colonne2]],3,FALSE),"")</f>
        <v/>
      </c>
      <c r="I843" t="str">
        <f>IFERROR(VLOOKUP(Logs_Reseau_Part5[[#This Row],[Cell_ID]],Registre_Maintenance_Part[[ID_Antenne]:[Colonne2]],4,FALSE),"")</f>
        <v/>
      </c>
      <c r="J843" t="str">
        <f>IFERROR(VLOOKUP(Logs_Reseau_Part5[[#This Row],[Cell_ID]],Registre_Maintenance_Part[[ID_Antenne]:[Colonne2]],5,FALSE),"")</f>
        <v/>
      </c>
      <c r="K843" t="str">
        <f>IFERROR(VLOOKUP(Logs_Reseau_Part5[[#This Row],[Cell_ID]],Registre_Maintenance_Part[[ID_Antenne]:[Colonne2]],6,FALSE),"")</f>
        <v/>
      </c>
    </row>
    <row r="844" spans="1:11" x14ac:dyDescent="0.3">
      <c r="A844" t="s">
        <v>1116</v>
      </c>
      <c r="B844" s="1">
        <v>45219.636111111111</v>
      </c>
      <c r="C844" s="2">
        <v>45219.636111111111</v>
      </c>
      <c r="D844" t="s">
        <v>946</v>
      </c>
      <c r="E844">
        <v>49</v>
      </c>
      <c r="F844" t="s">
        <v>734</v>
      </c>
      <c r="G844" t="str">
        <f>IFERROR(VLOOKUP(Logs_Reseau_Part5[[#This Row],[Cell_ID]],Registre_Maintenance_Part[[ID_Antenne]:[Colonne2]],2,FALSE),"")</f>
        <v/>
      </c>
      <c r="H844" t="str">
        <f>IFERROR(VLOOKUP(Logs_Reseau_Part5[[#This Row],[Cell_ID]],Registre_Maintenance_Part[[ID_Antenne]:[Colonne2]],3,FALSE),"")</f>
        <v/>
      </c>
      <c r="I844" t="str">
        <f>IFERROR(VLOOKUP(Logs_Reseau_Part5[[#This Row],[Cell_ID]],Registre_Maintenance_Part[[ID_Antenne]:[Colonne2]],4,FALSE),"")</f>
        <v/>
      </c>
      <c r="J844" t="str">
        <f>IFERROR(VLOOKUP(Logs_Reseau_Part5[[#This Row],[Cell_ID]],Registre_Maintenance_Part[[ID_Antenne]:[Colonne2]],5,FALSE),"")</f>
        <v/>
      </c>
      <c r="K844" t="str">
        <f>IFERROR(VLOOKUP(Logs_Reseau_Part5[[#This Row],[Cell_ID]],Registre_Maintenance_Part[[ID_Antenne]:[Colonne2]],6,FALSE),"")</f>
        <v/>
      </c>
    </row>
    <row r="845" spans="1:11" x14ac:dyDescent="0.3">
      <c r="A845" t="s">
        <v>1221</v>
      </c>
      <c r="B845" s="1">
        <v>45219.753472222219</v>
      </c>
      <c r="C845" s="2">
        <v>45219.753472222219</v>
      </c>
      <c r="D845" t="s">
        <v>847</v>
      </c>
      <c r="E845">
        <v>77</v>
      </c>
      <c r="F845" t="s">
        <v>734</v>
      </c>
      <c r="G845" t="str">
        <f>IFERROR(VLOOKUP(Logs_Reseau_Part5[[#This Row],[Cell_ID]],Registre_Maintenance_Part[[ID_Antenne]:[Colonne2]],2,FALSE),"")</f>
        <v/>
      </c>
      <c r="H845" t="str">
        <f>IFERROR(VLOOKUP(Logs_Reseau_Part5[[#This Row],[Cell_ID]],Registre_Maintenance_Part[[ID_Antenne]:[Colonne2]],3,FALSE),"")</f>
        <v/>
      </c>
      <c r="I845" t="str">
        <f>IFERROR(VLOOKUP(Logs_Reseau_Part5[[#This Row],[Cell_ID]],Registre_Maintenance_Part[[ID_Antenne]:[Colonne2]],4,FALSE),"")</f>
        <v/>
      </c>
      <c r="J845" t="str">
        <f>IFERROR(VLOOKUP(Logs_Reseau_Part5[[#This Row],[Cell_ID]],Registre_Maintenance_Part[[ID_Antenne]:[Colonne2]],5,FALSE),"")</f>
        <v/>
      </c>
      <c r="K845" t="str">
        <f>IFERROR(VLOOKUP(Logs_Reseau_Part5[[#This Row],[Cell_ID]],Registre_Maintenance_Part[[ID_Antenne]:[Colonne2]],6,FALSE),"")</f>
        <v/>
      </c>
    </row>
    <row r="846" spans="1:11" x14ac:dyDescent="0.3">
      <c r="A846" t="s">
        <v>1167</v>
      </c>
      <c r="B846" s="1">
        <v>45219.793055555558</v>
      </c>
      <c r="C846" s="2">
        <v>45219.793055555558</v>
      </c>
      <c r="D846" t="s">
        <v>959</v>
      </c>
      <c r="E846">
        <v>9</v>
      </c>
      <c r="F846" t="s">
        <v>737</v>
      </c>
      <c r="G846" t="str">
        <f>IFERROR(VLOOKUP(Logs_Reseau_Part5[[#This Row],[Cell_ID]],Registre_Maintenance_Part[[ID_Antenne]:[Colonne2]],2,FALSE),"")</f>
        <v/>
      </c>
      <c r="H846" t="str">
        <f>IFERROR(VLOOKUP(Logs_Reseau_Part5[[#This Row],[Cell_ID]],Registre_Maintenance_Part[[ID_Antenne]:[Colonne2]],3,FALSE),"")</f>
        <v/>
      </c>
      <c r="I846" t="str">
        <f>IFERROR(VLOOKUP(Logs_Reseau_Part5[[#This Row],[Cell_ID]],Registre_Maintenance_Part[[ID_Antenne]:[Colonne2]],4,FALSE),"")</f>
        <v/>
      </c>
      <c r="J846" t="str">
        <f>IFERROR(VLOOKUP(Logs_Reseau_Part5[[#This Row],[Cell_ID]],Registre_Maintenance_Part[[ID_Antenne]:[Colonne2]],5,FALSE),"")</f>
        <v/>
      </c>
      <c r="K846" t="str">
        <f>IFERROR(VLOOKUP(Logs_Reseau_Part5[[#This Row],[Cell_ID]],Registre_Maintenance_Part[[ID_Antenne]:[Colonne2]],6,FALSE),"")</f>
        <v/>
      </c>
    </row>
    <row r="847" spans="1:11" x14ac:dyDescent="0.3">
      <c r="A847" t="s">
        <v>1263</v>
      </c>
      <c r="B847" s="1">
        <v>45219.793749999997</v>
      </c>
      <c r="C847" s="2">
        <v>45219.793749999997</v>
      </c>
      <c r="D847" t="s">
        <v>1265</v>
      </c>
      <c r="E847">
        <v>43</v>
      </c>
      <c r="F847" t="s">
        <v>737</v>
      </c>
      <c r="G847" t="str">
        <f>IFERROR(VLOOKUP(Logs_Reseau_Part5[[#This Row],[Cell_ID]],Registre_Maintenance_Part[[ID_Antenne]:[Colonne2]],2,FALSE),"")</f>
        <v/>
      </c>
      <c r="H847" t="str">
        <f>IFERROR(VLOOKUP(Logs_Reseau_Part5[[#This Row],[Cell_ID]],Registre_Maintenance_Part[[ID_Antenne]:[Colonne2]],3,FALSE),"")</f>
        <v/>
      </c>
      <c r="I847" t="str">
        <f>IFERROR(VLOOKUP(Logs_Reseau_Part5[[#This Row],[Cell_ID]],Registre_Maintenance_Part[[ID_Antenne]:[Colonne2]],4,FALSE),"")</f>
        <v/>
      </c>
      <c r="J847" t="str">
        <f>IFERROR(VLOOKUP(Logs_Reseau_Part5[[#This Row],[Cell_ID]],Registre_Maintenance_Part[[ID_Antenne]:[Colonne2]],5,FALSE),"")</f>
        <v/>
      </c>
      <c r="K847" t="str">
        <f>IFERROR(VLOOKUP(Logs_Reseau_Part5[[#This Row],[Cell_ID]],Registre_Maintenance_Part[[ID_Antenne]:[Colonne2]],6,FALSE),"")</f>
        <v/>
      </c>
    </row>
    <row r="848" spans="1:11" x14ac:dyDescent="0.3">
      <c r="A848" t="s">
        <v>1290</v>
      </c>
      <c r="B848" s="1">
        <v>45219.818749999999</v>
      </c>
      <c r="C848" s="2">
        <v>45219.818749999999</v>
      </c>
      <c r="D848" t="s">
        <v>916</v>
      </c>
      <c r="E848">
        <v>99</v>
      </c>
      <c r="F848" t="s">
        <v>739</v>
      </c>
      <c r="G848" t="str">
        <f>IFERROR(VLOOKUP(Logs_Reseau_Part5[[#This Row],[Cell_ID]],Registre_Maintenance_Part[[ID_Antenne]:[Colonne2]],2,FALSE),"")</f>
        <v/>
      </c>
      <c r="H848" t="str">
        <f>IFERROR(VLOOKUP(Logs_Reseau_Part5[[#This Row],[Cell_ID]],Registre_Maintenance_Part[[ID_Antenne]:[Colonne2]],3,FALSE),"")</f>
        <v/>
      </c>
      <c r="I848" t="str">
        <f>IFERROR(VLOOKUP(Logs_Reseau_Part5[[#This Row],[Cell_ID]],Registre_Maintenance_Part[[ID_Antenne]:[Colonne2]],4,FALSE),"")</f>
        <v/>
      </c>
      <c r="J848" t="str">
        <f>IFERROR(VLOOKUP(Logs_Reseau_Part5[[#This Row],[Cell_ID]],Registre_Maintenance_Part[[ID_Antenne]:[Colonne2]],5,FALSE),"")</f>
        <v/>
      </c>
      <c r="K848" t="str">
        <f>IFERROR(VLOOKUP(Logs_Reseau_Part5[[#This Row],[Cell_ID]],Registre_Maintenance_Part[[ID_Antenne]:[Colonne2]],6,FALSE),"")</f>
        <v/>
      </c>
    </row>
    <row r="849" spans="1:11" x14ac:dyDescent="0.3">
      <c r="A849" t="s">
        <v>1332</v>
      </c>
      <c r="B849" s="1">
        <v>45219.821527777778</v>
      </c>
      <c r="C849" s="2">
        <v>45219.821527777778</v>
      </c>
      <c r="D849" t="s">
        <v>1237</v>
      </c>
      <c r="E849">
        <v>31</v>
      </c>
      <c r="F849" t="s">
        <v>737</v>
      </c>
      <c r="G849" t="str">
        <f>IFERROR(VLOOKUP(Logs_Reseau_Part5[[#This Row],[Cell_ID]],Registre_Maintenance_Part[[ID_Antenne]:[Colonne2]],2,FALSE),"")</f>
        <v/>
      </c>
      <c r="H849" t="str">
        <f>IFERROR(VLOOKUP(Logs_Reseau_Part5[[#This Row],[Cell_ID]],Registre_Maintenance_Part[[ID_Antenne]:[Colonne2]],3,FALSE),"")</f>
        <v/>
      </c>
      <c r="I849" t="str">
        <f>IFERROR(VLOOKUP(Logs_Reseau_Part5[[#This Row],[Cell_ID]],Registre_Maintenance_Part[[ID_Antenne]:[Colonne2]],4,FALSE),"")</f>
        <v/>
      </c>
      <c r="J849" t="str">
        <f>IFERROR(VLOOKUP(Logs_Reseau_Part5[[#This Row],[Cell_ID]],Registre_Maintenance_Part[[ID_Antenne]:[Colonne2]],5,FALSE),"")</f>
        <v/>
      </c>
      <c r="K849" t="str">
        <f>IFERROR(VLOOKUP(Logs_Reseau_Part5[[#This Row],[Cell_ID]],Registre_Maintenance_Part[[ID_Antenne]:[Colonne2]],6,FALSE),"")</f>
        <v/>
      </c>
    </row>
    <row r="850" spans="1:11" x14ac:dyDescent="0.3">
      <c r="A850" t="s">
        <v>1195</v>
      </c>
      <c r="B850" s="1">
        <v>45219.826388888891</v>
      </c>
      <c r="C850" s="2">
        <v>45219.826388888891</v>
      </c>
      <c r="D850" t="s">
        <v>774</v>
      </c>
      <c r="E850">
        <v>93</v>
      </c>
      <c r="F850" t="s">
        <v>739</v>
      </c>
      <c r="G850" t="str">
        <f>IFERROR(VLOOKUP(Logs_Reseau_Part5[[#This Row],[Cell_ID]],Registre_Maintenance_Part[[ID_Antenne]:[Colonne2]],2,FALSE),"")</f>
        <v/>
      </c>
      <c r="H850" t="str">
        <f>IFERROR(VLOOKUP(Logs_Reseau_Part5[[#This Row],[Cell_ID]],Registre_Maintenance_Part[[ID_Antenne]:[Colonne2]],3,FALSE),"")</f>
        <v/>
      </c>
      <c r="I850" t="str">
        <f>IFERROR(VLOOKUP(Logs_Reseau_Part5[[#This Row],[Cell_ID]],Registre_Maintenance_Part[[ID_Antenne]:[Colonne2]],4,FALSE),"")</f>
        <v/>
      </c>
      <c r="J850" t="str">
        <f>IFERROR(VLOOKUP(Logs_Reseau_Part5[[#This Row],[Cell_ID]],Registre_Maintenance_Part[[ID_Antenne]:[Colonne2]],5,FALSE),"")</f>
        <v/>
      </c>
      <c r="K850" t="str">
        <f>IFERROR(VLOOKUP(Logs_Reseau_Part5[[#This Row],[Cell_ID]],Registre_Maintenance_Part[[ID_Antenne]:[Colonne2]],6,FALSE),"")</f>
        <v/>
      </c>
    </row>
    <row r="851" spans="1:11" x14ac:dyDescent="0.3">
      <c r="A851" t="s">
        <v>1088</v>
      </c>
      <c r="B851" s="1">
        <v>45219.834027777782</v>
      </c>
      <c r="C851" s="2">
        <v>45219.834027777782</v>
      </c>
      <c r="D851" t="s">
        <v>1115</v>
      </c>
      <c r="E851">
        <v>64</v>
      </c>
      <c r="F851" t="s">
        <v>739</v>
      </c>
      <c r="G851" t="str">
        <f>IFERROR(VLOOKUP(Logs_Reseau_Part5[[#This Row],[Cell_ID]],Registre_Maintenance_Part[[ID_Antenne]:[Colonne2]],2,FALSE),"")</f>
        <v/>
      </c>
      <c r="H851" t="str">
        <f>IFERROR(VLOOKUP(Logs_Reseau_Part5[[#This Row],[Cell_ID]],Registre_Maintenance_Part[[ID_Antenne]:[Colonne2]],3,FALSE),"")</f>
        <v/>
      </c>
      <c r="I851" t="str">
        <f>IFERROR(VLOOKUP(Logs_Reseau_Part5[[#This Row],[Cell_ID]],Registre_Maintenance_Part[[ID_Antenne]:[Colonne2]],4,FALSE),"")</f>
        <v/>
      </c>
      <c r="J851" t="str">
        <f>IFERROR(VLOOKUP(Logs_Reseau_Part5[[#This Row],[Cell_ID]],Registre_Maintenance_Part[[ID_Antenne]:[Colonne2]],5,FALSE),"")</f>
        <v/>
      </c>
      <c r="K851" t="str">
        <f>IFERROR(VLOOKUP(Logs_Reseau_Part5[[#This Row],[Cell_ID]],Registre_Maintenance_Part[[ID_Antenne]:[Colonne2]],6,FALSE),"")</f>
        <v/>
      </c>
    </row>
    <row r="852" spans="1:11" x14ac:dyDescent="0.3">
      <c r="A852" t="s">
        <v>732</v>
      </c>
      <c r="B852" s="1">
        <v>45219.840277777781</v>
      </c>
      <c r="C852" s="2">
        <v>45219.840277777781</v>
      </c>
      <c r="D852" t="s">
        <v>768</v>
      </c>
      <c r="E852">
        <v>92</v>
      </c>
      <c r="F852" t="s">
        <v>734</v>
      </c>
      <c r="G852" t="str">
        <f>IFERROR(VLOOKUP(Logs_Reseau_Part5[[#This Row],[Cell_ID]],Registre_Maintenance_Part[[ID_Antenne]:[Colonne2]],2,FALSE),"")</f>
        <v/>
      </c>
      <c r="H852" t="str">
        <f>IFERROR(VLOOKUP(Logs_Reseau_Part5[[#This Row],[Cell_ID]],Registre_Maintenance_Part[[ID_Antenne]:[Colonne2]],3,FALSE),"")</f>
        <v/>
      </c>
      <c r="I852" t="str">
        <f>IFERROR(VLOOKUP(Logs_Reseau_Part5[[#This Row],[Cell_ID]],Registre_Maintenance_Part[[ID_Antenne]:[Colonne2]],4,FALSE),"")</f>
        <v/>
      </c>
      <c r="J852" t="str">
        <f>IFERROR(VLOOKUP(Logs_Reseau_Part5[[#This Row],[Cell_ID]],Registre_Maintenance_Part[[ID_Antenne]:[Colonne2]],5,FALSE),"")</f>
        <v/>
      </c>
      <c r="K852" t="str">
        <f>IFERROR(VLOOKUP(Logs_Reseau_Part5[[#This Row],[Cell_ID]],Registre_Maintenance_Part[[ID_Antenne]:[Colonne2]],6,FALSE),"")</f>
        <v/>
      </c>
    </row>
    <row r="853" spans="1:11" x14ac:dyDescent="0.3">
      <c r="A853" t="s">
        <v>1384</v>
      </c>
      <c r="B853" s="1">
        <v>45219.907638888893</v>
      </c>
      <c r="C853" s="2">
        <v>45219.907638888893</v>
      </c>
      <c r="D853" t="s">
        <v>1403</v>
      </c>
      <c r="E853">
        <v>92</v>
      </c>
      <c r="F853" t="s">
        <v>737</v>
      </c>
      <c r="G853" t="str">
        <f>IFERROR(VLOOKUP(Logs_Reseau_Part5[[#This Row],[Cell_ID]],Registre_Maintenance_Part[[ID_Antenne]:[Colonne2]],2,FALSE),"")</f>
        <v/>
      </c>
      <c r="H853" t="str">
        <f>IFERROR(VLOOKUP(Logs_Reseau_Part5[[#This Row],[Cell_ID]],Registre_Maintenance_Part[[ID_Antenne]:[Colonne2]],3,FALSE),"")</f>
        <v/>
      </c>
      <c r="I853" t="str">
        <f>IFERROR(VLOOKUP(Logs_Reseau_Part5[[#This Row],[Cell_ID]],Registre_Maintenance_Part[[ID_Antenne]:[Colonne2]],4,FALSE),"")</f>
        <v/>
      </c>
      <c r="J853" t="str">
        <f>IFERROR(VLOOKUP(Logs_Reseau_Part5[[#This Row],[Cell_ID]],Registre_Maintenance_Part[[ID_Antenne]:[Colonne2]],5,FALSE),"")</f>
        <v/>
      </c>
      <c r="K853" t="str">
        <f>IFERROR(VLOOKUP(Logs_Reseau_Part5[[#This Row],[Cell_ID]],Registre_Maintenance_Part[[ID_Antenne]:[Colonne2]],6,FALSE),"")</f>
        <v/>
      </c>
    </row>
    <row r="854" spans="1:11" x14ac:dyDescent="0.3">
      <c r="A854" t="s">
        <v>1026</v>
      </c>
      <c r="B854" s="1">
        <v>45219.920138888891</v>
      </c>
      <c r="C854" s="2">
        <v>45219.920138888891</v>
      </c>
      <c r="D854" t="s">
        <v>1049</v>
      </c>
      <c r="E854">
        <v>91</v>
      </c>
      <c r="F854" t="s">
        <v>739</v>
      </c>
      <c r="G854" t="str">
        <f>IFERROR(VLOOKUP(Logs_Reseau_Part5[[#This Row],[Cell_ID]],Registre_Maintenance_Part[[ID_Antenne]:[Colonne2]],2,FALSE),"")</f>
        <v/>
      </c>
      <c r="H854" t="str">
        <f>IFERROR(VLOOKUP(Logs_Reseau_Part5[[#This Row],[Cell_ID]],Registre_Maintenance_Part[[ID_Antenne]:[Colonne2]],3,FALSE),"")</f>
        <v/>
      </c>
      <c r="I854" t="str">
        <f>IFERROR(VLOOKUP(Logs_Reseau_Part5[[#This Row],[Cell_ID]],Registre_Maintenance_Part[[ID_Antenne]:[Colonne2]],4,FALSE),"")</f>
        <v/>
      </c>
      <c r="J854" t="str">
        <f>IFERROR(VLOOKUP(Logs_Reseau_Part5[[#This Row],[Cell_ID]],Registre_Maintenance_Part[[ID_Antenne]:[Colonne2]],5,FALSE),"")</f>
        <v/>
      </c>
      <c r="K854" t="str">
        <f>IFERROR(VLOOKUP(Logs_Reseau_Part5[[#This Row],[Cell_ID]],Registre_Maintenance_Part[[ID_Antenne]:[Colonne2]],6,FALSE),"")</f>
        <v/>
      </c>
    </row>
    <row r="855" spans="1:11" x14ac:dyDescent="0.3">
      <c r="A855" t="s">
        <v>1167</v>
      </c>
      <c r="B855" s="1">
        <v>45219.925694444442</v>
      </c>
      <c r="C855" s="2">
        <v>45219.925694444442</v>
      </c>
      <c r="D855" t="s">
        <v>1183</v>
      </c>
      <c r="E855">
        <v>22</v>
      </c>
      <c r="F855" t="s">
        <v>734</v>
      </c>
      <c r="G855" t="str">
        <f>IFERROR(VLOOKUP(Logs_Reseau_Part5[[#This Row],[Cell_ID]],Registre_Maintenance_Part[[ID_Antenne]:[Colonne2]],2,FALSE),"")</f>
        <v/>
      </c>
      <c r="H855" t="str">
        <f>IFERROR(VLOOKUP(Logs_Reseau_Part5[[#This Row],[Cell_ID]],Registre_Maintenance_Part[[ID_Antenne]:[Colonne2]],3,FALSE),"")</f>
        <v/>
      </c>
      <c r="I855" t="str">
        <f>IFERROR(VLOOKUP(Logs_Reseau_Part5[[#This Row],[Cell_ID]],Registre_Maintenance_Part[[ID_Antenne]:[Colonne2]],4,FALSE),"")</f>
        <v/>
      </c>
      <c r="J855" t="str">
        <f>IFERROR(VLOOKUP(Logs_Reseau_Part5[[#This Row],[Cell_ID]],Registre_Maintenance_Part[[ID_Antenne]:[Colonne2]],5,FALSE),"")</f>
        <v/>
      </c>
      <c r="K855" t="str">
        <f>IFERROR(VLOOKUP(Logs_Reseau_Part5[[#This Row],[Cell_ID]],Registre_Maintenance_Part[[ID_Antenne]:[Colonne2]],6,FALSE),"")</f>
        <v/>
      </c>
    </row>
    <row r="856" spans="1:11" x14ac:dyDescent="0.3">
      <c r="A856" t="s">
        <v>1384</v>
      </c>
      <c r="B856" s="1">
        <v>45219.929166666669</v>
      </c>
      <c r="C856" s="2">
        <v>45219.929166666669</v>
      </c>
      <c r="D856" t="s">
        <v>1394</v>
      </c>
      <c r="E856">
        <v>115</v>
      </c>
      <c r="F856" t="s">
        <v>734</v>
      </c>
      <c r="G856" t="str">
        <f>IFERROR(VLOOKUP(Logs_Reseau_Part5[[#This Row],[Cell_ID]],Registre_Maintenance_Part[[ID_Antenne]:[Colonne2]],2,FALSE),"")</f>
        <v/>
      </c>
      <c r="H856" t="str">
        <f>IFERROR(VLOOKUP(Logs_Reseau_Part5[[#This Row],[Cell_ID]],Registre_Maintenance_Part[[ID_Antenne]:[Colonne2]],3,FALSE),"")</f>
        <v/>
      </c>
      <c r="I856" t="str">
        <f>IFERROR(VLOOKUP(Logs_Reseau_Part5[[#This Row],[Cell_ID]],Registre_Maintenance_Part[[ID_Antenne]:[Colonne2]],4,FALSE),"")</f>
        <v/>
      </c>
      <c r="J856" t="str">
        <f>IFERROR(VLOOKUP(Logs_Reseau_Part5[[#This Row],[Cell_ID]],Registre_Maintenance_Part[[ID_Antenne]:[Colonne2]],5,FALSE),"")</f>
        <v/>
      </c>
      <c r="K856" t="str">
        <f>IFERROR(VLOOKUP(Logs_Reseau_Part5[[#This Row],[Cell_ID]],Registre_Maintenance_Part[[ID_Antenne]:[Colonne2]],6,FALSE),"")</f>
        <v/>
      </c>
    </row>
    <row r="857" spans="1:11" x14ac:dyDescent="0.3">
      <c r="A857" t="s">
        <v>1384</v>
      </c>
      <c r="B857" s="1">
        <v>45219.95</v>
      </c>
      <c r="C857" s="2">
        <v>45219.95</v>
      </c>
      <c r="D857" t="s">
        <v>789</v>
      </c>
      <c r="E857">
        <v>45</v>
      </c>
      <c r="F857" t="s">
        <v>739</v>
      </c>
      <c r="G857" t="str">
        <f>IFERROR(VLOOKUP(Logs_Reseau_Part5[[#This Row],[Cell_ID]],Registre_Maintenance_Part[[ID_Antenne]:[Colonne2]],2,FALSE),"")</f>
        <v/>
      </c>
      <c r="H857" t="str">
        <f>IFERROR(VLOOKUP(Logs_Reseau_Part5[[#This Row],[Cell_ID]],Registre_Maintenance_Part[[ID_Antenne]:[Colonne2]],3,FALSE),"")</f>
        <v/>
      </c>
      <c r="I857" t="str">
        <f>IFERROR(VLOOKUP(Logs_Reseau_Part5[[#This Row],[Cell_ID]],Registre_Maintenance_Part[[ID_Antenne]:[Colonne2]],4,FALSE),"")</f>
        <v/>
      </c>
      <c r="J857" t="str">
        <f>IFERROR(VLOOKUP(Logs_Reseau_Part5[[#This Row],[Cell_ID]],Registre_Maintenance_Part[[ID_Antenne]:[Colonne2]],5,FALSE),"")</f>
        <v/>
      </c>
      <c r="K857" t="str">
        <f>IFERROR(VLOOKUP(Logs_Reseau_Part5[[#This Row],[Cell_ID]],Registre_Maintenance_Part[[ID_Antenne]:[Colonne2]],6,FALSE),"")</f>
        <v/>
      </c>
    </row>
    <row r="858" spans="1:11" x14ac:dyDescent="0.3">
      <c r="A858" t="s">
        <v>863</v>
      </c>
      <c r="B858" s="1">
        <v>45219.989583333343</v>
      </c>
      <c r="C858" s="2">
        <v>45219.989583333343</v>
      </c>
      <c r="D858" t="s">
        <v>886</v>
      </c>
      <c r="E858">
        <v>36</v>
      </c>
      <c r="F858" t="s">
        <v>734</v>
      </c>
      <c r="G858" t="str">
        <f>IFERROR(VLOOKUP(Logs_Reseau_Part5[[#This Row],[Cell_ID]],Registre_Maintenance_Part[[ID_Antenne]:[Colonne2]],2,FALSE),"")</f>
        <v/>
      </c>
      <c r="H858" t="str">
        <f>IFERROR(VLOOKUP(Logs_Reseau_Part5[[#This Row],[Cell_ID]],Registre_Maintenance_Part[[ID_Antenne]:[Colonne2]],3,FALSE),"")</f>
        <v/>
      </c>
      <c r="I858" t="str">
        <f>IFERROR(VLOOKUP(Logs_Reseau_Part5[[#This Row],[Cell_ID]],Registre_Maintenance_Part[[ID_Antenne]:[Colonne2]],4,FALSE),"")</f>
        <v/>
      </c>
      <c r="J858" t="str">
        <f>IFERROR(VLOOKUP(Logs_Reseau_Part5[[#This Row],[Cell_ID]],Registre_Maintenance_Part[[ID_Antenne]:[Colonne2]],5,FALSE),"")</f>
        <v/>
      </c>
      <c r="K858" t="str">
        <f>IFERROR(VLOOKUP(Logs_Reseau_Part5[[#This Row],[Cell_ID]],Registre_Maintenance_Part[[ID_Antenne]:[Colonne2]],6,FALSE),"")</f>
        <v/>
      </c>
    </row>
    <row r="859" spans="1:11" x14ac:dyDescent="0.3">
      <c r="A859" t="s">
        <v>1088</v>
      </c>
      <c r="B859" s="1">
        <v>45219.997916666667</v>
      </c>
      <c r="C859" s="2">
        <v>45219.997916666667</v>
      </c>
      <c r="D859" t="s">
        <v>809</v>
      </c>
      <c r="E859">
        <v>102</v>
      </c>
      <c r="F859" t="s">
        <v>737</v>
      </c>
      <c r="G859" t="str">
        <f>IFERROR(VLOOKUP(Logs_Reseau_Part5[[#This Row],[Cell_ID]],Registre_Maintenance_Part[[ID_Antenne]:[Colonne2]],2,FALSE),"")</f>
        <v/>
      </c>
      <c r="H859" t="str">
        <f>IFERROR(VLOOKUP(Logs_Reseau_Part5[[#This Row],[Cell_ID]],Registre_Maintenance_Part[[ID_Antenne]:[Colonne2]],3,FALSE),"")</f>
        <v/>
      </c>
      <c r="I859" t="str">
        <f>IFERROR(VLOOKUP(Logs_Reseau_Part5[[#This Row],[Cell_ID]],Registre_Maintenance_Part[[ID_Antenne]:[Colonne2]],4,FALSE),"")</f>
        <v/>
      </c>
      <c r="J859" t="str">
        <f>IFERROR(VLOOKUP(Logs_Reseau_Part5[[#This Row],[Cell_ID]],Registre_Maintenance_Part[[ID_Antenne]:[Colonne2]],5,FALSE),"")</f>
        <v/>
      </c>
      <c r="K859" t="str">
        <f>IFERROR(VLOOKUP(Logs_Reseau_Part5[[#This Row],[Cell_ID]],Registre_Maintenance_Part[[ID_Antenne]:[Colonne2]],6,FALSE),"")</f>
        <v/>
      </c>
    </row>
    <row r="860" spans="1:11" x14ac:dyDescent="0.3">
      <c r="A860" t="s">
        <v>1332</v>
      </c>
      <c r="B860" s="1">
        <v>45220.091666666667</v>
      </c>
      <c r="C860" s="2">
        <v>45220.091666666667</v>
      </c>
      <c r="D860" t="s">
        <v>752</v>
      </c>
      <c r="E860">
        <v>87</v>
      </c>
      <c r="F860" t="s">
        <v>737</v>
      </c>
      <c r="G860" t="str">
        <f>IFERROR(VLOOKUP(Logs_Reseau_Part5[[#This Row],[Cell_ID]],Registre_Maintenance_Part[[ID_Antenne]:[Colonne2]],2,FALSE),"")</f>
        <v/>
      </c>
      <c r="H860" t="str">
        <f>IFERROR(VLOOKUP(Logs_Reseau_Part5[[#This Row],[Cell_ID]],Registre_Maintenance_Part[[ID_Antenne]:[Colonne2]],3,FALSE),"")</f>
        <v/>
      </c>
      <c r="I860" t="str">
        <f>IFERROR(VLOOKUP(Logs_Reseau_Part5[[#This Row],[Cell_ID]],Registre_Maintenance_Part[[ID_Antenne]:[Colonne2]],4,FALSE),"")</f>
        <v/>
      </c>
      <c r="J860" t="str">
        <f>IFERROR(VLOOKUP(Logs_Reseau_Part5[[#This Row],[Cell_ID]],Registre_Maintenance_Part[[ID_Antenne]:[Colonne2]],5,FALSE),"")</f>
        <v/>
      </c>
      <c r="K860" t="str">
        <f>IFERROR(VLOOKUP(Logs_Reseau_Part5[[#This Row],[Cell_ID]],Registre_Maintenance_Part[[ID_Antenne]:[Colonne2]],6,FALSE),"")</f>
        <v/>
      </c>
    </row>
    <row r="861" spans="1:11" x14ac:dyDescent="0.3">
      <c r="A861" t="s">
        <v>1347</v>
      </c>
      <c r="B861" s="1">
        <v>45220.093055555553</v>
      </c>
      <c r="C861" s="2">
        <v>45220.093055555553</v>
      </c>
      <c r="D861" t="s">
        <v>1308</v>
      </c>
      <c r="E861">
        <v>48</v>
      </c>
      <c r="F861" t="s">
        <v>734</v>
      </c>
      <c r="G861" t="str">
        <f>IFERROR(VLOOKUP(Logs_Reseau_Part5[[#This Row],[Cell_ID]],Registre_Maintenance_Part[[ID_Antenne]:[Colonne2]],2,FALSE),"")</f>
        <v/>
      </c>
      <c r="H861" t="str">
        <f>IFERROR(VLOOKUP(Logs_Reseau_Part5[[#This Row],[Cell_ID]],Registre_Maintenance_Part[[ID_Antenne]:[Colonne2]],3,FALSE),"")</f>
        <v/>
      </c>
      <c r="I861" t="str">
        <f>IFERROR(VLOOKUP(Logs_Reseau_Part5[[#This Row],[Cell_ID]],Registre_Maintenance_Part[[ID_Antenne]:[Colonne2]],4,FALSE),"")</f>
        <v/>
      </c>
      <c r="J861" t="str">
        <f>IFERROR(VLOOKUP(Logs_Reseau_Part5[[#This Row],[Cell_ID]],Registre_Maintenance_Part[[ID_Antenne]:[Colonne2]],5,FALSE),"")</f>
        <v/>
      </c>
      <c r="K861" t="str">
        <f>IFERROR(VLOOKUP(Logs_Reseau_Part5[[#This Row],[Cell_ID]],Registre_Maintenance_Part[[ID_Antenne]:[Colonne2]],6,FALSE),"")</f>
        <v/>
      </c>
    </row>
    <row r="862" spans="1:11" x14ac:dyDescent="0.3">
      <c r="A862" t="s">
        <v>1243</v>
      </c>
      <c r="B862" s="1">
        <v>45220.114583333343</v>
      </c>
      <c r="C862" s="2">
        <v>45220.114583333343</v>
      </c>
      <c r="D862" t="s">
        <v>778</v>
      </c>
      <c r="E862">
        <v>54</v>
      </c>
      <c r="F862" t="s">
        <v>737</v>
      </c>
      <c r="G862" t="str">
        <f>IFERROR(VLOOKUP(Logs_Reseau_Part5[[#This Row],[Cell_ID]],Registre_Maintenance_Part[[ID_Antenne]:[Colonne2]],2,FALSE),"")</f>
        <v/>
      </c>
      <c r="H862" t="str">
        <f>IFERROR(VLOOKUP(Logs_Reseau_Part5[[#This Row],[Cell_ID]],Registre_Maintenance_Part[[ID_Antenne]:[Colonne2]],3,FALSE),"")</f>
        <v/>
      </c>
      <c r="I862" t="str">
        <f>IFERROR(VLOOKUP(Logs_Reseau_Part5[[#This Row],[Cell_ID]],Registre_Maintenance_Part[[ID_Antenne]:[Colonne2]],4,FALSE),"")</f>
        <v/>
      </c>
      <c r="J862" t="str">
        <f>IFERROR(VLOOKUP(Logs_Reseau_Part5[[#This Row],[Cell_ID]],Registre_Maintenance_Part[[ID_Antenne]:[Colonne2]],5,FALSE),"")</f>
        <v/>
      </c>
      <c r="K862" t="str">
        <f>IFERROR(VLOOKUP(Logs_Reseau_Part5[[#This Row],[Cell_ID]],Registre_Maintenance_Part[[ID_Antenne]:[Colonne2]],6,FALSE),"")</f>
        <v/>
      </c>
    </row>
    <row r="863" spans="1:11" x14ac:dyDescent="0.3">
      <c r="A863" t="s">
        <v>863</v>
      </c>
      <c r="B863" s="1">
        <v>45220.117361111108</v>
      </c>
      <c r="C863" s="2">
        <v>45220.117361111108</v>
      </c>
      <c r="D863" t="s">
        <v>879</v>
      </c>
      <c r="E863">
        <v>39</v>
      </c>
      <c r="F863" t="s">
        <v>734</v>
      </c>
      <c r="G863" t="str">
        <f>IFERROR(VLOOKUP(Logs_Reseau_Part5[[#This Row],[Cell_ID]],Registre_Maintenance_Part[[ID_Antenne]:[Colonne2]],2,FALSE),"")</f>
        <v/>
      </c>
      <c r="H863" t="str">
        <f>IFERROR(VLOOKUP(Logs_Reseau_Part5[[#This Row],[Cell_ID]],Registre_Maintenance_Part[[ID_Antenne]:[Colonne2]],3,FALSE),"")</f>
        <v/>
      </c>
      <c r="I863" t="str">
        <f>IFERROR(VLOOKUP(Logs_Reseau_Part5[[#This Row],[Cell_ID]],Registre_Maintenance_Part[[ID_Antenne]:[Colonne2]],4,FALSE),"")</f>
        <v/>
      </c>
      <c r="J863" t="str">
        <f>IFERROR(VLOOKUP(Logs_Reseau_Part5[[#This Row],[Cell_ID]],Registre_Maintenance_Part[[ID_Antenne]:[Colonne2]],5,FALSE),"")</f>
        <v/>
      </c>
      <c r="K863" t="str">
        <f>IFERROR(VLOOKUP(Logs_Reseau_Part5[[#This Row],[Cell_ID]],Registre_Maintenance_Part[[ID_Antenne]:[Colonne2]],6,FALSE),"")</f>
        <v/>
      </c>
    </row>
    <row r="864" spans="1:11" x14ac:dyDescent="0.3">
      <c r="A864" t="s">
        <v>1384</v>
      </c>
      <c r="B864" s="1">
        <v>45220.230555555558</v>
      </c>
      <c r="C864" s="2">
        <v>45220.230555555558</v>
      </c>
      <c r="D864" t="s">
        <v>790</v>
      </c>
      <c r="E864">
        <v>111</v>
      </c>
      <c r="F864" t="s">
        <v>739</v>
      </c>
      <c r="G864" t="str">
        <f>IFERROR(VLOOKUP(Logs_Reseau_Part5[[#This Row],[Cell_ID]],Registre_Maintenance_Part[[ID_Antenne]:[Colonne2]],2,FALSE),"")</f>
        <v/>
      </c>
      <c r="H864" t="str">
        <f>IFERROR(VLOOKUP(Logs_Reseau_Part5[[#This Row],[Cell_ID]],Registre_Maintenance_Part[[ID_Antenne]:[Colonne2]],3,FALSE),"")</f>
        <v/>
      </c>
      <c r="I864" t="str">
        <f>IFERROR(VLOOKUP(Logs_Reseau_Part5[[#This Row],[Cell_ID]],Registre_Maintenance_Part[[ID_Antenne]:[Colonne2]],4,FALSE),"")</f>
        <v/>
      </c>
      <c r="J864" t="str">
        <f>IFERROR(VLOOKUP(Logs_Reseau_Part5[[#This Row],[Cell_ID]],Registre_Maintenance_Part[[ID_Antenne]:[Colonne2]],5,FALSE),"")</f>
        <v/>
      </c>
      <c r="K864" t="str">
        <f>IFERROR(VLOOKUP(Logs_Reseau_Part5[[#This Row],[Cell_ID]],Registre_Maintenance_Part[[ID_Antenne]:[Colonne2]],6,FALSE),"")</f>
        <v/>
      </c>
    </row>
    <row r="865" spans="1:11" x14ac:dyDescent="0.3">
      <c r="A865" t="s">
        <v>1061</v>
      </c>
      <c r="B865" s="1">
        <v>45220.262499999997</v>
      </c>
      <c r="C865" s="2">
        <v>45220.262499999997</v>
      </c>
      <c r="D865" t="s">
        <v>1085</v>
      </c>
      <c r="E865">
        <v>96</v>
      </c>
      <c r="F865" t="s">
        <v>734</v>
      </c>
      <c r="G865" t="str">
        <f>IFERROR(VLOOKUP(Logs_Reseau_Part5[[#This Row],[Cell_ID]],Registre_Maintenance_Part[[ID_Antenne]:[Colonne2]],2,FALSE),"")</f>
        <v/>
      </c>
      <c r="H865" t="str">
        <f>IFERROR(VLOOKUP(Logs_Reseau_Part5[[#This Row],[Cell_ID]],Registre_Maintenance_Part[[ID_Antenne]:[Colonne2]],3,FALSE),"")</f>
        <v/>
      </c>
      <c r="I865" t="str">
        <f>IFERROR(VLOOKUP(Logs_Reseau_Part5[[#This Row],[Cell_ID]],Registre_Maintenance_Part[[ID_Antenne]:[Colonne2]],4,FALSE),"")</f>
        <v/>
      </c>
      <c r="J865" t="str">
        <f>IFERROR(VLOOKUP(Logs_Reseau_Part5[[#This Row],[Cell_ID]],Registre_Maintenance_Part[[ID_Antenne]:[Colonne2]],5,FALSE),"")</f>
        <v/>
      </c>
      <c r="K865" t="str">
        <f>IFERROR(VLOOKUP(Logs_Reseau_Part5[[#This Row],[Cell_ID]],Registre_Maintenance_Part[[ID_Antenne]:[Colonne2]],6,FALSE),"")</f>
        <v/>
      </c>
    </row>
    <row r="866" spans="1:11" x14ac:dyDescent="0.3">
      <c r="A866" t="s">
        <v>1195</v>
      </c>
      <c r="B866" s="1">
        <v>45220.368055555547</v>
      </c>
      <c r="C866" s="2">
        <v>45220.368055555547</v>
      </c>
      <c r="D866" t="s">
        <v>1201</v>
      </c>
      <c r="E866">
        <v>47</v>
      </c>
      <c r="F866" t="s">
        <v>739</v>
      </c>
      <c r="G866" t="str">
        <f>IFERROR(VLOOKUP(Logs_Reseau_Part5[[#This Row],[Cell_ID]],Registre_Maintenance_Part[[ID_Antenne]:[Colonne2]],2,FALSE),"")</f>
        <v/>
      </c>
      <c r="H866" t="str">
        <f>IFERROR(VLOOKUP(Logs_Reseau_Part5[[#This Row],[Cell_ID]],Registre_Maintenance_Part[[ID_Antenne]:[Colonne2]],3,FALSE),"")</f>
        <v/>
      </c>
      <c r="I866" t="str">
        <f>IFERROR(VLOOKUP(Logs_Reseau_Part5[[#This Row],[Cell_ID]],Registre_Maintenance_Part[[ID_Antenne]:[Colonne2]],4,FALSE),"")</f>
        <v/>
      </c>
      <c r="J866" t="str">
        <f>IFERROR(VLOOKUP(Logs_Reseau_Part5[[#This Row],[Cell_ID]],Registre_Maintenance_Part[[ID_Antenne]:[Colonne2]],5,FALSE),"")</f>
        <v/>
      </c>
      <c r="K866" t="str">
        <f>IFERROR(VLOOKUP(Logs_Reseau_Part5[[#This Row],[Cell_ID]],Registre_Maintenance_Part[[ID_Antenne]:[Colonne2]],6,FALSE),"")</f>
        <v/>
      </c>
    </row>
    <row r="867" spans="1:11" x14ac:dyDescent="0.3">
      <c r="A867" t="s">
        <v>1140</v>
      </c>
      <c r="B867" s="1">
        <v>45220.390972222223</v>
      </c>
      <c r="C867" s="2">
        <v>45220.390972222223</v>
      </c>
      <c r="D867" t="s">
        <v>1111</v>
      </c>
      <c r="E867">
        <v>13</v>
      </c>
      <c r="F867" t="s">
        <v>737</v>
      </c>
      <c r="G867" t="str">
        <f>IFERROR(VLOOKUP(Logs_Reseau_Part5[[#This Row],[Cell_ID]],Registre_Maintenance_Part[[ID_Antenne]:[Colonne2]],2,FALSE),"")</f>
        <v/>
      </c>
      <c r="H867" t="str">
        <f>IFERROR(VLOOKUP(Logs_Reseau_Part5[[#This Row],[Cell_ID]],Registre_Maintenance_Part[[ID_Antenne]:[Colonne2]],3,FALSE),"")</f>
        <v/>
      </c>
      <c r="I867" t="str">
        <f>IFERROR(VLOOKUP(Logs_Reseau_Part5[[#This Row],[Cell_ID]],Registre_Maintenance_Part[[ID_Antenne]:[Colonne2]],4,FALSE),"")</f>
        <v/>
      </c>
      <c r="J867" t="str">
        <f>IFERROR(VLOOKUP(Logs_Reseau_Part5[[#This Row],[Cell_ID]],Registre_Maintenance_Part[[ID_Antenne]:[Colonne2]],5,FALSE),"")</f>
        <v/>
      </c>
      <c r="K867" t="str">
        <f>IFERROR(VLOOKUP(Logs_Reseau_Part5[[#This Row],[Cell_ID]],Registre_Maintenance_Part[[ID_Antenne]:[Colonne2]],6,FALSE),"")</f>
        <v/>
      </c>
    </row>
    <row r="868" spans="1:11" x14ac:dyDescent="0.3">
      <c r="A868" t="s">
        <v>863</v>
      </c>
      <c r="B868" s="1">
        <v>45220.416666666657</v>
      </c>
      <c r="C868" s="2">
        <v>45220.416666666657</v>
      </c>
      <c r="D868" t="s">
        <v>899</v>
      </c>
      <c r="E868">
        <v>32</v>
      </c>
      <c r="F868" t="s">
        <v>737</v>
      </c>
      <c r="G868" t="str">
        <f>IFERROR(VLOOKUP(Logs_Reseau_Part5[[#This Row],[Cell_ID]],Registre_Maintenance_Part[[ID_Antenne]:[Colonne2]],2,FALSE),"")</f>
        <v/>
      </c>
      <c r="H868" t="str">
        <f>IFERROR(VLOOKUP(Logs_Reseau_Part5[[#This Row],[Cell_ID]],Registre_Maintenance_Part[[ID_Antenne]:[Colonne2]],3,FALSE),"")</f>
        <v/>
      </c>
      <c r="I868" t="str">
        <f>IFERROR(VLOOKUP(Logs_Reseau_Part5[[#This Row],[Cell_ID]],Registre_Maintenance_Part[[ID_Antenne]:[Colonne2]],4,FALSE),"")</f>
        <v/>
      </c>
      <c r="J868" t="str">
        <f>IFERROR(VLOOKUP(Logs_Reseau_Part5[[#This Row],[Cell_ID]],Registre_Maintenance_Part[[ID_Antenne]:[Colonne2]],5,FALSE),"")</f>
        <v/>
      </c>
      <c r="K868" t="str">
        <f>IFERROR(VLOOKUP(Logs_Reseau_Part5[[#This Row],[Cell_ID]],Registre_Maintenance_Part[[ID_Antenne]:[Colonne2]],6,FALSE),"")</f>
        <v/>
      </c>
    </row>
    <row r="869" spans="1:11" x14ac:dyDescent="0.3">
      <c r="A869" t="s">
        <v>1061</v>
      </c>
      <c r="B869" s="1">
        <v>45220.428472222222</v>
      </c>
      <c r="C869" s="2">
        <v>45220.428472222222</v>
      </c>
      <c r="D869" t="s">
        <v>761</v>
      </c>
      <c r="E869">
        <v>26</v>
      </c>
      <c r="F869" t="s">
        <v>739</v>
      </c>
      <c r="G869" t="str">
        <f>IFERROR(VLOOKUP(Logs_Reseau_Part5[[#This Row],[Cell_ID]],Registre_Maintenance_Part[[ID_Antenne]:[Colonne2]],2,FALSE),"")</f>
        <v/>
      </c>
      <c r="H869" t="str">
        <f>IFERROR(VLOOKUP(Logs_Reseau_Part5[[#This Row],[Cell_ID]],Registre_Maintenance_Part[[ID_Antenne]:[Colonne2]],3,FALSE),"")</f>
        <v/>
      </c>
      <c r="I869" t="str">
        <f>IFERROR(VLOOKUP(Logs_Reseau_Part5[[#This Row],[Cell_ID]],Registre_Maintenance_Part[[ID_Antenne]:[Colonne2]],4,FALSE),"")</f>
        <v/>
      </c>
      <c r="J869" t="str">
        <f>IFERROR(VLOOKUP(Logs_Reseau_Part5[[#This Row],[Cell_ID]],Registre_Maintenance_Part[[ID_Antenne]:[Colonne2]],5,FALSE),"")</f>
        <v/>
      </c>
      <c r="K869" t="str">
        <f>IFERROR(VLOOKUP(Logs_Reseau_Part5[[#This Row],[Cell_ID]],Registre_Maintenance_Part[[ID_Antenne]:[Colonne2]],6,FALSE),"")</f>
        <v/>
      </c>
    </row>
    <row r="870" spans="1:11" x14ac:dyDescent="0.3">
      <c r="A870" t="s">
        <v>1026</v>
      </c>
      <c r="B870" s="1">
        <v>45220.452777777777</v>
      </c>
      <c r="C870" s="2">
        <v>45220.452777777777</v>
      </c>
      <c r="D870" t="s">
        <v>1051</v>
      </c>
      <c r="E870">
        <v>35</v>
      </c>
      <c r="F870" t="s">
        <v>737</v>
      </c>
      <c r="G870" t="str">
        <f>IFERROR(VLOOKUP(Logs_Reseau_Part5[[#This Row],[Cell_ID]],Registre_Maintenance_Part[[ID_Antenne]:[Colonne2]],2,FALSE),"")</f>
        <v/>
      </c>
      <c r="H870" t="str">
        <f>IFERROR(VLOOKUP(Logs_Reseau_Part5[[#This Row],[Cell_ID]],Registre_Maintenance_Part[[ID_Antenne]:[Colonne2]],3,FALSE),"")</f>
        <v/>
      </c>
      <c r="I870" t="str">
        <f>IFERROR(VLOOKUP(Logs_Reseau_Part5[[#This Row],[Cell_ID]],Registre_Maintenance_Part[[ID_Antenne]:[Colonne2]],4,FALSE),"")</f>
        <v/>
      </c>
      <c r="J870" t="str">
        <f>IFERROR(VLOOKUP(Logs_Reseau_Part5[[#This Row],[Cell_ID]],Registre_Maintenance_Part[[ID_Antenne]:[Colonne2]],5,FALSE),"")</f>
        <v/>
      </c>
      <c r="K870" t="str">
        <f>IFERROR(VLOOKUP(Logs_Reseau_Part5[[#This Row],[Cell_ID]],Registre_Maintenance_Part[[ID_Antenne]:[Colonne2]],6,FALSE),"")</f>
        <v/>
      </c>
    </row>
    <row r="871" spans="1:11" x14ac:dyDescent="0.3">
      <c r="A871" t="s">
        <v>1363</v>
      </c>
      <c r="B871" s="1">
        <v>45220.506249999999</v>
      </c>
      <c r="C871" s="2">
        <v>45220.506249999999</v>
      </c>
      <c r="D871" t="s">
        <v>1182</v>
      </c>
      <c r="E871">
        <v>20</v>
      </c>
      <c r="F871" t="s">
        <v>734</v>
      </c>
      <c r="G871" t="str">
        <f>IFERROR(VLOOKUP(Logs_Reseau_Part5[[#This Row],[Cell_ID]],Registre_Maintenance_Part[[ID_Antenne]:[Colonne2]],2,FALSE),"")</f>
        <v/>
      </c>
      <c r="H871" t="str">
        <f>IFERROR(VLOOKUP(Logs_Reseau_Part5[[#This Row],[Cell_ID]],Registre_Maintenance_Part[[ID_Antenne]:[Colonne2]],3,FALSE),"")</f>
        <v/>
      </c>
      <c r="I871" t="str">
        <f>IFERROR(VLOOKUP(Logs_Reseau_Part5[[#This Row],[Cell_ID]],Registre_Maintenance_Part[[ID_Antenne]:[Colonne2]],4,FALSE),"")</f>
        <v/>
      </c>
      <c r="J871" t="str">
        <f>IFERROR(VLOOKUP(Logs_Reseau_Part5[[#This Row],[Cell_ID]],Registre_Maintenance_Part[[ID_Antenne]:[Colonne2]],5,FALSE),"")</f>
        <v/>
      </c>
      <c r="K871" t="str">
        <f>IFERROR(VLOOKUP(Logs_Reseau_Part5[[#This Row],[Cell_ID]],Registre_Maintenance_Part[[ID_Antenne]:[Colonne2]],6,FALSE),"")</f>
        <v/>
      </c>
    </row>
    <row r="872" spans="1:11" x14ac:dyDescent="0.3">
      <c r="A872" t="s">
        <v>1061</v>
      </c>
      <c r="B872" s="1">
        <v>45220.515972222223</v>
      </c>
      <c r="C872" s="2">
        <v>45220.515972222223</v>
      </c>
      <c r="D872" t="s">
        <v>1072</v>
      </c>
      <c r="E872">
        <v>15</v>
      </c>
      <c r="F872" t="s">
        <v>739</v>
      </c>
      <c r="G872" t="str">
        <f>IFERROR(VLOOKUP(Logs_Reseau_Part5[[#This Row],[Cell_ID]],Registre_Maintenance_Part[[ID_Antenne]:[Colonne2]],2,FALSE),"")</f>
        <v/>
      </c>
      <c r="H872" t="str">
        <f>IFERROR(VLOOKUP(Logs_Reseau_Part5[[#This Row],[Cell_ID]],Registre_Maintenance_Part[[ID_Antenne]:[Colonne2]],3,FALSE),"")</f>
        <v/>
      </c>
      <c r="I872" t="str">
        <f>IFERROR(VLOOKUP(Logs_Reseau_Part5[[#This Row],[Cell_ID]],Registre_Maintenance_Part[[ID_Antenne]:[Colonne2]],4,FALSE),"")</f>
        <v/>
      </c>
      <c r="J872" t="str">
        <f>IFERROR(VLOOKUP(Logs_Reseau_Part5[[#This Row],[Cell_ID]],Registre_Maintenance_Part[[ID_Antenne]:[Colonne2]],5,FALSE),"")</f>
        <v/>
      </c>
      <c r="K872" t="str">
        <f>IFERROR(VLOOKUP(Logs_Reseau_Part5[[#This Row],[Cell_ID]],Registre_Maintenance_Part[[ID_Antenne]:[Colonne2]],6,FALSE),"")</f>
        <v/>
      </c>
    </row>
    <row r="873" spans="1:11" x14ac:dyDescent="0.3">
      <c r="A873" t="s">
        <v>1263</v>
      </c>
      <c r="B873" s="1">
        <v>45220.551388888889</v>
      </c>
      <c r="C873" s="2">
        <v>45220.551388888889</v>
      </c>
      <c r="D873" t="s">
        <v>1284</v>
      </c>
      <c r="E873">
        <v>6</v>
      </c>
      <c r="F873" t="s">
        <v>734</v>
      </c>
      <c r="G873" t="str">
        <f>IFERROR(VLOOKUP(Logs_Reseau_Part5[[#This Row],[Cell_ID]],Registre_Maintenance_Part[[ID_Antenne]:[Colonne2]],2,FALSE),"")</f>
        <v/>
      </c>
      <c r="H873" t="str">
        <f>IFERROR(VLOOKUP(Logs_Reseau_Part5[[#This Row],[Cell_ID]],Registre_Maintenance_Part[[ID_Antenne]:[Colonne2]],3,FALSE),"")</f>
        <v/>
      </c>
      <c r="I873" t="str">
        <f>IFERROR(VLOOKUP(Logs_Reseau_Part5[[#This Row],[Cell_ID]],Registre_Maintenance_Part[[ID_Antenne]:[Colonne2]],4,FALSE),"")</f>
        <v/>
      </c>
      <c r="J873" t="str">
        <f>IFERROR(VLOOKUP(Logs_Reseau_Part5[[#This Row],[Cell_ID]],Registre_Maintenance_Part[[ID_Antenne]:[Colonne2]],5,FALSE),"")</f>
        <v/>
      </c>
      <c r="K873" t="str">
        <f>IFERROR(VLOOKUP(Logs_Reseau_Part5[[#This Row],[Cell_ID]],Registre_Maintenance_Part[[ID_Antenne]:[Colonne2]],6,FALSE),"")</f>
        <v/>
      </c>
    </row>
    <row r="874" spans="1:11" x14ac:dyDescent="0.3">
      <c r="A874" t="s">
        <v>732</v>
      </c>
      <c r="B874" s="1">
        <v>45220.642361111109</v>
      </c>
      <c r="C874" s="2">
        <v>45220.642361111109</v>
      </c>
      <c r="D874" t="s">
        <v>778</v>
      </c>
      <c r="E874">
        <v>19</v>
      </c>
      <c r="F874" t="s">
        <v>734</v>
      </c>
      <c r="G874" t="str">
        <f>IFERROR(VLOOKUP(Logs_Reseau_Part5[[#This Row],[Cell_ID]],Registre_Maintenance_Part[[ID_Antenne]:[Colonne2]],2,FALSE),"")</f>
        <v/>
      </c>
      <c r="H874" t="str">
        <f>IFERROR(VLOOKUP(Logs_Reseau_Part5[[#This Row],[Cell_ID]],Registre_Maintenance_Part[[ID_Antenne]:[Colonne2]],3,FALSE),"")</f>
        <v/>
      </c>
      <c r="I874" t="str">
        <f>IFERROR(VLOOKUP(Logs_Reseau_Part5[[#This Row],[Cell_ID]],Registre_Maintenance_Part[[ID_Antenne]:[Colonne2]],4,FALSE),"")</f>
        <v/>
      </c>
      <c r="J874" t="str">
        <f>IFERROR(VLOOKUP(Logs_Reseau_Part5[[#This Row],[Cell_ID]],Registre_Maintenance_Part[[ID_Antenne]:[Colonne2]],5,FALSE),"")</f>
        <v/>
      </c>
      <c r="K874" t="str">
        <f>IFERROR(VLOOKUP(Logs_Reseau_Part5[[#This Row],[Cell_ID]],Registre_Maintenance_Part[[ID_Antenne]:[Colonne2]],6,FALSE),"")</f>
        <v/>
      </c>
    </row>
    <row r="875" spans="1:11" x14ac:dyDescent="0.3">
      <c r="A875" t="s">
        <v>1195</v>
      </c>
      <c r="B875" s="1">
        <v>45220.651388888888</v>
      </c>
      <c r="C875" s="2">
        <v>45220.651388888888</v>
      </c>
      <c r="D875" t="s">
        <v>905</v>
      </c>
      <c r="E875">
        <v>36</v>
      </c>
      <c r="F875" t="s">
        <v>734</v>
      </c>
      <c r="G875" t="str">
        <f>IFERROR(VLOOKUP(Logs_Reseau_Part5[[#This Row],[Cell_ID]],Registre_Maintenance_Part[[ID_Antenne]:[Colonne2]],2,FALSE),"")</f>
        <v/>
      </c>
      <c r="H875" t="str">
        <f>IFERROR(VLOOKUP(Logs_Reseau_Part5[[#This Row],[Cell_ID]],Registre_Maintenance_Part[[ID_Antenne]:[Colonne2]],3,FALSE),"")</f>
        <v/>
      </c>
      <c r="I875" t="str">
        <f>IFERROR(VLOOKUP(Logs_Reseau_Part5[[#This Row],[Cell_ID]],Registre_Maintenance_Part[[ID_Antenne]:[Colonne2]],4,FALSE),"")</f>
        <v/>
      </c>
      <c r="J875" t="str">
        <f>IFERROR(VLOOKUP(Logs_Reseau_Part5[[#This Row],[Cell_ID]],Registre_Maintenance_Part[[ID_Antenne]:[Colonne2]],5,FALSE),"")</f>
        <v/>
      </c>
      <c r="K875" t="str">
        <f>IFERROR(VLOOKUP(Logs_Reseau_Part5[[#This Row],[Cell_ID]],Registre_Maintenance_Part[[ID_Antenne]:[Colonne2]],6,FALSE),"")</f>
        <v/>
      </c>
    </row>
    <row r="876" spans="1:11" x14ac:dyDescent="0.3">
      <c r="A876" t="s">
        <v>1290</v>
      </c>
      <c r="B876" s="1">
        <v>45220.743055555547</v>
      </c>
      <c r="C876" s="2">
        <v>45220.743055555547</v>
      </c>
      <c r="D876" t="s">
        <v>1121</v>
      </c>
      <c r="E876">
        <v>54</v>
      </c>
      <c r="F876" t="s">
        <v>737</v>
      </c>
      <c r="G876" t="str">
        <f>IFERROR(VLOOKUP(Logs_Reseau_Part5[[#This Row],[Cell_ID]],Registre_Maintenance_Part[[ID_Antenne]:[Colonne2]],2,FALSE),"")</f>
        <v/>
      </c>
      <c r="H876" t="str">
        <f>IFERROR(VLOOKUP(Logs_Reseau_Part5[[#This Row],[Cell_ID]],Registre_Maintenance_Part[[ID_Antenne]:[Colonne2]],3,FALSE),"")</f>
        <v/>
      </c>
      <c r="I876" t="str">
        <f>IFERROR(VLOOKUP(Logs_Reseau_Part5[[#This Row],[Cell_ID]],Registre_Maintenance_Part[[ID_Antenne]:[Colonne2]],4,FALSE),"")</f>
        <v/>
      </c>
      <c r="J876" t="str">
        <f>IFERROR(VLOOKUP(Logs_Reseau_Part5[[#This Row],[Cell_ID]],Registre_Maintenance_Part[[ID_Antenne]:[Colonne2]],5,FALSE),"")</f>
        <v/>
      </c>
      <c r="K876" t="str">
        <f>IFERROR(VLOOKUP(Logs_Reseau_Part5[[#This Row],[Cell_ID]],Registre_Maintenance_Part[[ID_Antenne]:[Colonne2]],6,FALSE),"")</f>
        <v/>
      </c>
    </row>
    <row r="877" spans="1:11" x14ac:dyDescent="0.3">
      <c r="A877" t="s">
        <v>980</v>
      </c>
      <c r="B877" s="1">
        <v>45220.792361111111</v>
      </c>
      <c r="C877" s="2">
        <v>45220.792361111111</v>
      </c>
      <c r="D877" t="s">
        <v>840</v>
      </c>
      <c r="E877">
        <v>10</v>
      </c>
      <c r="F877" t="s">
        <v>739</v>
      </c>
      <c r="G877" t="str">
        <f>IFERROR(VLOOKUP(Logs_Reseau_Part5[[#This Row],[Cell_ID]],Registre_Maintenance_Part[[ID_Antenne]:[Colonne2]],2,FALSE),"")</f>
        <v/>
      </c>
      <c r="H877" t="str">
        <f>IFERROR(VLOOKUP(Logs_Reseau_Part5[[#This Row],[Cell_ID]],Registre_Maintenance_Part[[ID_Antenne]:[Colonne2]],3,FALSE),"")</f>
        <v/>
      </c>
      <c r="I877" t="str">
        <f>IFERROR(VLOOKUP(Logs_Reseau_Part5[[#This Row],[Cell_ID]],Registre_Maintenance_Part[[ID_Antenne]:[Colonne2]],4,FALSE),"")</f>
        <v/>
      </c>
      <c r="J877" t="str">
        <f>IFERROR(VLOOKUP(Logs_Reseau_Part5[[#This Row],[Cell_ID]],Registre_Maintenance_Part[[ID_Antenne]:[Colonne2]],5,FALSE),"")</f>
        <v/>
      </c>
      <c r="K877" t="str">
        <f>IFERROR(VLOOKUP(Logs_Reseau_Part5[[#This Row],[Cell_ID]],Registre_Maintenance_Part[[ID_Antenne]:[Colonne2]],6,FALSE),"")</f>
        <v/>
      </c>
    </row>
    <row r="878" spans="1:11" x14ac:dyDescent="0.3">
      <c r="A878" t="s">
        <v>732</v>
      </c>
      <c r="B878" s="1">
        <v>45220.830555555563</v>
      </c>
      <c r="C878" s="2">
        <v>45220.830555555563</v>
      </c>
      <c r="D878" t="s">
        <v>758</v>
      </c>
      <c r="E878">
        <v>59</v>
      </c>
      <c r="F878" t="s">
        <v>739</v>
      </c>
      <c r="G878" t="str">
        <f>IFERROR(VLOOKUP(Logs_Reseau_Part5[[#This Row],[Cell_ID]],Registre_Maintenance_Part[[ID_Antenne]:[Colonne2]],2,FALSE),"")</f>
        <v/>
      </c>
      <c r="H878" t="str">
        <f>IFERROR(VLOOKUP(Logs_Reseau_Part5[[#This Row],[Cell_ID]],Registre_Maintenance_Part[[ID_Antenne]:[Colonne2]],3,FALSE),"")</f>
        <v/>
      </c>
      <c r="I878" t="str">
        <f>IFERROR(VLOOKUP(Logs_Reseau_Part5[[#This Row],[Cell_ID]],Registre_Maintenance_Part[[ID_Antenne]:[Colonne2]],4,FALSE),"")</f>
        <v/>
      </c>
      <c r="J878" t="str">
        <f>IFERROR(VLOOKUP(Logs_Reseau_Part5[[#This Row],[Cell_ID]],Registre_Maintenance_Part[[ID_Antenne]:[Colonne2]],5,FALSE),"")</f>
        <v/>
      </c>
      <c r="K878" t="str">
        <f>IFERROR(VLOOKUP(Logs_Reseau_Part5[[#This Row],[Cell_ID]],Registre_Maintenance_Part[[ID_Antenne]:[Colonne2]],6,FALSE),"")</f>
        <v/>
      </c>
    </row>
    <row r="879" spans="1:11" x14ac:dyDescent="0.3">
      <c r="A879" t="s">
        <v>1026</v>
      </c>
      <c r="B879" s="1">
        <v>45220.847916666673</v>
      </c>
      <c r="C879" s="2">
        <v>45220.847916666673</v>
      </c>
      <c r="D879" t="s">
        <v>1005</v>
      </c>
      <c r="E879">
        <v>103</v>
      </c>
      <c r="F879" t="s">
        <v>734</v>
      </c>
      <c r="G879" t="str">
        <f>IFERROR(VLOOKUP(Logs_Reseau_Part5[[#This Row],[Cell_ID]],Registre_Maintenance_Part[[ID_Antenne]:[Colonne2]],2,FALSE),"")</f>
        <v/>
      </c>
      <c r="H879" t="str">
        <f>IFERROR(VLOOKUP(Logs_Reseau_Part5[[#This Row],[Cell_ID]],Registre_Maintenance_Part[[ID_Antenne]:[Colonne2]],3,FALSE),"")</f>
        <v/>
      </c>
      <c r="I879" t="str">
        <f>IFERROR(VLOOKUP(Logs_Reseau_Part5[[#This Row],[Cell_ID]],Registre_Maintenance_Part[[ID_Antenne]:[Colonne2]],4,FALSE),"")</f>
        <v/>
      </c>
      <c r="J879" t="str">
        <f>IFERROR(VLOOKUP(Logs_Reseau_Part5[[#This Row],[Cell_ID]],Registre_Maintenance_Part[[ID_Antenne]:[Colonne2]],5,FALSE),"")</f>
        <v/>
      </c>
      <c r="K879" t="str">
        <f>IFERROR(VLOOKUP(Logs_Reseau_Part5[[#This Row],[Cell_ID]],Registre_Maintenance_Part[[ID_Antenne]:[Colonne2]],6,FALSE),"")</f>
        <v/>
      </c>
    </row>
    <row r="880" spans="1:11" x14ac:dyDescent="0.3">
      <c r="A880" t="s">
        <v>904</v>
      </c>
      <c r="B880" s="1">
        <v>45220.877083333333</v>
      </c>
      <c r="C880" s="2">
        <v>45220.877083333333</v>
      </c>
      <c r="D880" t="s">
        <v>909</v>
      </c>
      <c r="E880">
        <v>78</v>
      </c>
      <c r="F880" t="s">
        <v>734</v>
      </c>
      <c r="G880" t="str">
        <f>IFERROR(VLOOKUP(Logs_Reseau_Part5[[#This Row],[Cell_ID]],Registre_Maintenance_Part[[ID_Antenne]:[Colonne2]],2,FALSE),"")</f>
        <v/>
      </c>
      <c r="H880" t="str">
        <f>IFERROR(VLOOKUP(Logs_Reseau_Part5[[#This Row],[Cell_ID]],Registre_Maintenance_Part[[ID_Antenne]:[Colonne2]],3,FALSE),"")</f>
        <v/>
      </c>
      <c r="I880" t="str">
        <f>IFERROR(VLOOKUP(Logs_Reseau_Part5[[#This Row],[Cell_ID]],Registre_Maintenance_Part[[ID_Antenne]:[Colonne2]],4,FALSE),"")</f>
        <v/>
      </c>
      <c r="J880" t="str">
        <f>IFERROR(VLOOKUP(Logs_Reseau_Part5[[#This Row],[Cell_ID]],Registre_Maintenance_Part[[ID_Antenne]:[Colonne2]],5,FALSE),"")</f>
        <v/>
      </c>
      <c r="K880" t="str">
        <f>IFERROR(VLOOKUP(Logs_Reseau_Part5[[#This Row],[Cell_ID]],Registre_Maintenance_Part[[ID_Antenne]:[Colonne2]],6,FALSE),"")</f>
        <v/>
      </c>
    </row>
    <row r="881" spans="1:11" x14ac:dyDescent="0.3">
      <c r="A881" t="s">
        <v>1116</v>
      </c>
      <c r="B881" s="1">
        <v>45220.927777777782</v>
      </c>
      <c r="C881" s="2">
        <v>45220.927777777782</v>
      </c>
      <c r="D881" t="s">
        <v>1037</v>
      </c>
      <c r="E881">
        <v>22</v>
      </c>
      <c r="F881" t="s">
        <v>737</v>
      </c>
      <c r="G881" t="str">
        <f>IFERROR(VLOOKUP(Logs_Reseau_Part5[[#This Row],[Cell_ID]],Registre_Maintenance_Part[[ID_Antenne]:[Colonne2]],2,FALSE),"")</f>
        <v/>
      </c>
      <c r="H881" t="str">
        <f>IFERROR(VLOOKUP(Logs_Reseau_Part5[[#This Row],[Cell_ID]],Registre_Maintenance_Part[[ID_Antenne]:[Colonne2]],3,FALSE),"")</f>
        <v/>
      </c>
      <c r="I881" t="str">
        <f>IFERROR(VLOOKUP(Logs_Reseau_Part5[[#This Row],[Cell_ID]],Registre_Maintenance_Part[[ID_Antenne]:[Colonne2]],4,FALSE),"")</f>
        <v/>
      </c>
      <c r="J881" t="str">
        <f>IFERROR(VLOOKUP(Logs_Reseau_Part5[[#This Row],[Cell_ID]],Registre_Maintenance_Part[[ID_Antenne]:[Colonne2]],5,FALSE),"")</f>
        <v/>
      </c>
      <c r="K881" t="str">
        <f>IFERROR(VLOOKUP(Logs_Reseau_Part5[[#This Row],[Cell_ID]],Registre_Maintenance_Part[[ID_Antenne]:[Colonne2]],6,FALSE),"")</f>
        <v/>
      </c>
    </row>
    <row r="882" spans="1:11" x14ac:dyDescent="0.3">
      <c r="A882" t="s">
        <v>732</v>
      </c>
      <c r="B882" s="1">
        <v>45220.94027777778</v>
      </c>
      <c r="C882" s="2">
        <v>45220.94027777778</v>
      </c>
      <c r="D882" t="s">
        <v>745</v>
      </c>
      <c r="E882">
        <v>33</v>
      </c>
      <c r="F882" t="s">
        <v>739</v>
      </c>
      <c r="G882" t="str">
        <f>IFERROR(VLOOKUP(Logs_Reseau_Part5[[#This Row],[Cell_ID]],Registre_Maintenance_Part[[ID_Antenne]:[Colonne2]],2,FALSE),"")</f>
        <v/>
      </c>
      <c r="H882" t="str">
        <f>IFERROR(VLOOKUP(Logs_Reseau_Part5[[#This Row],[Cell_ID]],Registre_Maintenance_Part[[ID_Antenne]:[Colonne2]],3,FALSE),"")</f>
        <v/>
      </c>
      <c r="I882" t="str">
        <f>IFERROR(VLOOKUP(Logs_Reseau_Part5[[#This Row],[Cell_ID]],Registre_Maintenance_Part[[ID_Antenne]:[Colonne2]],4,FALSE),"")</f>
        <v/>
      </c>
      <c r="J882" t="str">
        <f>IFERROR(VLOOKUP(Logs_Reseau_Part5[[#This Row],[Cell_ID]],Registre_Maintenance_Part[[ID_Antenne]:[Colonne2]],5,FALSE),"")</f>
        <v/>
      </c>
      <c r="K882" t="str">
        <f>IFERROR(VLOOKUP(Logs_Reseau_Part5[[#This Row],[Cell_ID]],Registre_Maintenance_Part[[ID_Antenne]:[Colonne2]],6,FALSE),"")</f>
        <v/>
      </c>
    </row>
    <row r="883" spans="1:11" x14ac:dyDescent="0.3">
      <c r="A883" t="s">
        <v>1347</v>
      </c>
      <c r="B883" s="1">
        <v>45220.96875</v>
      </c>
      <c r="C883" s="2">
        <v>45220.96875</v>
      </c>
      <c r="D883" t="s">
        <v>838</v>
      </c>
      <c r="E883">
        <v>103</v>
      </c>
      <c r="F883" t="s">
        <v>734</v>
      </c>
      <c r="G883" t="str">
        <f>IFERROR(VLOOKUP(Logs_Reseau_Part5[[#This Row],[Cell_ID]],Registre_Maintenance_Part[[ID_Antenne]:[Colonne2]],2,FALSE),"")</f>
        <v/>
      </c>
      <c r="H883" t="str">
        <f>IFERROR(VLOOKUP(Logs_Reseau_Part5[[#This Row],[Cell_ID]],Registre_Maintenance_Part[[ID_Antenne]:[Colonne2]],3,FALSE),"")</f>
        <v/>
      </c>
      <c r="I883" t="str">
        <f>IFERROR(VLOOKUP(Logs_Reseau_Part5[[#This Row],[Cell_ID]],Registre_Maintenance_Part[[ID_Antenne]:[Colonne2]],4,FALSE),"")</f>
        <v/>
      </c>
      <c r="J883" t="str">
        <f>IFERROR(VLOOKUP(Logs_Reseau_Part5[[#This Row],[Cell_ID]],Registre_Maintenance_Part[[ID_Antenne]:[Colonne2]],5,FALSE),"")</f>
        <v/>
      </c>
      <c r="K883" t="str">
        <f>IFERROR(VLOOKUP(Logs_Reseau_Part5[[#This Row],[Cell_ID]],Registre_Maintenance_Part[[ID_Antenne]:[Colonne2]],6,FALSE),"")</f>
        <v/>
      </c>
    </row>
    <row r="884" spans="1:11" x14ac:dyDescent="0.3">
      <c r="A884" t="s">
        <v>941</v>
      </c>
      <c r="B884" s="1">
        <v>45221.039583333331</v>
      </c>
      <c r="C884" s="2">
        <v>45221.039583333331</v>
      </c>
      <c r="D884" t="s">
        <v>975</v>
      </c>
      <c r="E884">
        <v>33</v>
      </c>
      <c r="F884" t="s">
        <v>737</v>
      </c>
      <c r="G884" t="str">
        <f>IFERROR(VLOOKUP(Logs_Reseau_Part5[[#This Row],[Cell_ID]],Registre_Maintenance_Part[[ID_Antenne]:[Colonne2]],2,FALSE),"")</f>
        <v/>
      </c>
      <c r="H884" t="str">
        <f>IFERROR(VLOOKUP(Logs_Reseau_Part5[[#This Row],[Cell_ID]],Registre_Maintenance_Part[[ID_Antenne]:[Colonne2]],3,FALSE),"")</f>
        <v/>
      </c>
      <c r="I884" t="str">
        <f>IFERROR(VLOOKUP(Logs_Reseau_Part5[[#This Row],[Cell_ID]],Registre_Maintenance_Part[[ID_Antenne]:[Colonne2]],4,FALSE),"")</f>
        <v/>
      </c>
      <c r="J884" t="str">
        <f>IFERROR(VLOOKUP(Logs_Reseau_Part5[[#This Row],[Cell_ID]],Registre_Maintenance_Part[[ID_Antenne]:[Colonne2]],5,FALSE),"")</f>
        <v/>
      </c>
      <c r="K884" t="str">
        <f>IFERROR(VLOOKUP(Logs_Reseau_Part5[[#This Row],[Cell_ID]],Registre_Maintenance_Part[[ID_Antenne]:[Colonne2]],6,FALSE),"")</f>
        <v/>
      </c>
    </row>
    <row r="885" spans="1:11" x14ac:dyDescent="0.3">
      <c r="A885" t="s">
        <v>825</v>
      </c>
      <c r="B885" s="1">
        <v>45221.095833333333</v>
      </c>
      <c r="C885" s="2">
        <v>45221.095833333333</v>
      </c>
      <c r="D885" t="s">
        <v>855</v>
      </c>
      <c r="E885">
        <v>113</v>
      </c>
      <c r="F885" t="s">
        <v>739</v>
      </c>
      <c r="G885" t="str">
        <f>IFERROR(VLOOKUP(Logs_Reseau_Part5[[#This Row],[Cell_ID]],Registre_Maintenance_Part[[ID_Antenne]:[Colonne2]],2,FALSE),"")</f>
        <v/>
      </c>
      <c r="H885" t="str">
        <f>IFERROR(VLOOKUP(Logs_Reseau_Part5[[#This Row],[Cell_ID]],Registre_Maintenance_Part[[ID_Antenne]:[Colonne2]],3,FALSE),"")</f>
        <v/>
      </c>
      <c r="I885" t="str">
        <f>IFERROR(VLOOKUP(Logs_Reseau_Part5[[#This Row],[Cell_ID]],Registre_Maintenance_Part[[ID_Antenne]:[Colonne2]],4,FALSE),"")</f>
        <v/>
      </c>
      <c r="J885" t="str">
        <f>IFERROR(VLOOKUP(Logs_Reseau_Part5[[#This Row],[Cell_ID]],Registre_Maintenance_Part[[ID_Antenne]:[Colonne2]],5,FALSE),"")</f>
        <v/>
      </c>
      <c r="K885" t="str">
        <f>IFERROR(VLOOKUP(Logs_Reseau_Part5[[#This Row],[Cell_ID]],Registre_Maintenance_Part[[ID_Antenne]:[Colonne2]],6,FALSE),"")</f>
        <v/>
      </c>
    </row>
    <row r="886" spans="1:11" x14ac:dyDescent="0.3">
      <c r="A886" t="s">
        <v>1061</v>
      </c>
      <c r="B886" s="1">
        <v>45221.106249999997</v>
      </c>
      <c r="C886" s="2">
        <v>45221.106249999997</v>
      </c>
      <c r="D886" t="s">
        <v>754</v>
      </c>
      <c r="E886">
        <v>52</v>
      </c>
      <c r="F886" t="s">
        <v>739</v>
      </c>
      <c r="G886" t="str">
        <f>IFERROR(VLOOKUP(Logs_Reseau_Part5[[#This Row],[Cell_ID]],Registre_Maintenance_Part[[ID_Antenne]:[Colonne2]],2,FALSE),"")</f>
        <v/>
      </c>
      <c r="H886" t="str">
        <f>IFERROR(VLOOKUP(Logs_Reseau_Part5[[#This Row],[Cell_ID]],Registre_Maintenance_Part[[ID_Antenne]:[Colonne2]],3,FALSE),"")</f>
        <v/>
      </c>
      <c r="I886" t="str">
        <f>IFERROR(VLOOKUP(Logs_Reseau_Part5[[#This Row],[Cell_ID]],Registre_Maintenance_Part[[ID_Antenne]:[Colonne2]],4,FALSE),"")</f>
        <v/>
      </c>
      <c r="J886" t="str">
        <f>IFERROR(VLOOKUP(Logs_Reseau_Part5[[#This Row],[Cell_ID]],Registre_Maintenance_Part[[ID_Antenne]:[Colonne2]],5,FALSE),"")</f>
        <v/>
      </c>
      <c r="K886" t="str">
        <f>IFERROR(VLOOKUP(Logs_Reseau_Part5[[#This Row],[Cell_ID]],Registre_Maintenance_Part[[ID_Antenne]:[Colonne2]],6,FALSE),"")</f>
        <v/>
      </c>
    </row>
    <row r="887" spans="1:11" x14ac:dyDescent="0.3">
      <c r="A887" t="s">
        <v>1001</v>
      </c>
      <c r="B887" s="1">
        <v>45221.143055555563</v>
      </c>
      <c r="C887" s="2">
        <v>45221.143055555563</v>
      </c>
      <c r="D887" t="s">
        <v>940</v>
      </c>
      <c r="E887">
        <v>43</v>
      </c>
      <c r="F887" t="s">
        <v>734</v>
      </c>
      <c r="G887" t="str">
        <f>IFERROR(VLOOKUP(Logs_Reseau_Part5[[#This Row],[Cell_ID]],Registre_Maintenance_Part[[ID_Antenne]:[Colonne2]],2,FALSE),"")</f>
        <v/>
      </c>
      <c r="H887" t="str">
        <f>IFERROR(VLOOKUP(Logs_Reseau_Part5[[#This Row],[Cell_ID]],Registre_Maintenance_Part[[ID_Antenne]:[Colonne2]],3,FALSE),"")</f>
        <v/>
      </c>
      <c r="I887" t="str">
        <f>IFERROR(VLOOKUP(Logs_Reseau_Part5[[#This Row],[Cell_ID]],Registre_Maintenance_Part[[ID_Antenne]:[Colonne2]],4,FALSE),"")</f>
        <v/>
      </c>
      <c r="J887" t="str">
        <f>IFERROR(VLOOKUP(Logs_Reseau_Part5[[#This Row],[Cell_ID]],Registre_Maintenance_Part[[ID_Antenne]:[Colonne2]],5,FALSE),"")</f>
        <v/>
      </c>
      <c r="K887" t="str">
        <f>IFERROR(VLOOKUP(Logs_Reseau_Part5[[#This Row],[Cell_ID]],Registre_Maintenance_Part[[ID_Antenne]:[Colonne2]],6,FALSE),"")</f>
        <v/>
      </c>
    </row>
    <row r="888" spans="1:11" x14ac:dyDescent="0.3">
      <c r="A888" t="s">
        <v>1384</v>
      </c>
      <c r="B888" s="1">
        <v>45221.339583333327</v>
      </c>
      <c r="C888" s="2">
        <v>45221.339583333327</v>
      </c>
      <c r="D888" t="s">
        <v>1252</v>
      </c>
      <c r="E888">
        <v>97</v>
      </c>
      <c r="F888" t="s">
        <v>737</v>
      </c>
      <c r="G888" t="str">
        <f>IFERROR(VLOOKUP(Logs_Reseau_Part5[[#This Row],[Cell_ID]],Registre_Maintenance_Part[[ID_Antenne]:[Colonne2]],2,FALSE),"")</f>
        <v/>
      </c>
      <c r="H888" t="str">
        <f>IFERROR(VLOOKUP(Logs_Reseau_Part5[[#This Row],[Cell_ID]],Registre_Maintenance_Part[[ID_Antenne]:[Colonne2]],3,FALSE),"")</f>
        <v/>
      </c>
      <c r="I888" t="str">
        <f>IFERROR(VLOOKUP(Logs_Reseau_Part5[[#This Row],[Cell_ID]],Registre_Maintenance_Part[[ID_Antenne]:[Colonne2]],4,FALSE),"")</f>
        <v/>
      </c>
      <c r="J888" t="str">
        <f>IFERROR(VLOOKUP(Logs_Reseau_Part5[[#This Row],[Cell_ID]],Registre_Maintenance_Part[[ID_Antenne]:[Colonne2]],5,FALSE),"")</f>
        <v/>
      </c>
      <c r="K888" t="str">
        <f>IFERROR(VLOOKUP(Logs_Reseau_Part5[[#This Row],[Cell_ID]],Registre_Maintenance_Part[[ID_Antenne]:[Colonne2]],6,FALSE),"")</f>
        <v/>
      </c>
    </row>
    <row r="889" spans="1:11" x14ac:dyDescent="0.3">
      <c r="A889" t="s">
        <v>941</v>
      </c>
      <c r="B889" s="1">
        <v>45221.384722222218</v>
      </c>
      <c r="C889" s="2">
        <v>45221.384722222218</v>
      </c>
      <c r="D889" t="s">
        <v>961</v>
      </c>
      <c r="E889">
        <v>92</v>
      </c>
      <c r="F889" t="s">
        <v>737</v>
      </c>
      <c r="G889" t="str">
        <f>IFERROR(VLOOKUP(Logs_Reseau_Part5[[#This Row],[Cell_ID]],Registre_Maintenance_Part[[ID_Antenne]:[Colonne2]],2,FALSE),"")</f>
        <v/>
      </c>
      <c r="H889" t="str">
        <f>IFERROR(VLOOKUP(Logs_Reseau_Part5[[#This Row],[Cell_ID]],Registre_Maintenance_Part[[ID_Antenne]:[Colonne2]],3,FALSE),"")</f>
        <v/>
      </c>
      <c r="I889" t="str">
        <f>IFERROR(VLOOKUP(Logs_Reseau_Part5[[#This Row],[Cell_ID]],Registre_Maintenance_Part[[ID_Antenne]:[Colonne2]],4,FALSE),"")</f>
        <v/>
      </c>
      <c r="J889" t="str">
        <f>IFERROR(VLOOKUP(Logs_Reseau_Part5[[#This Row],[Cell_ID]],Registre_Maintenance_Part[[ID_Antenne]:[Colonne2]],5,FALSE),"")</f>
        <v/>
      </c>
      <c r="K889" t="str">
        <f>IFERROR(VLOOKUP(Logs_Reseau_Part5[[#This Row],[Cell_ID]],Registre_Maintenance_Part[[ID_Antenne]:[Colonne2]],6,FALSE),"")</f>
        <v/>
      </c>
    </row>
    <row r="890" spans="1:11" x14ac:dyDescent="0.3">
      <c r="A890" t="s">
        <v>980</v>
      </c>
      <c r="B890" s="1">
        <v>45221.481944444437</v>
      </c>
      <c r="C890" s="2">
        <v>45221.481944444437</v>
      </c>
      <c r="D890" t="s">
        <v>989</v>
      </c>
      <c r="E890">
        <v>80</v>
      </c>
      <c r="F890" t="s">
        <v>739</v>
      </c>
      <c r="G890" t="str">
        <f>IFERROR(VLOOKUP(Logs_Reseau_Part5[[#This Row],[Cell_ID]],Registre_Maintenance_Part[[ID_Antenne]:[Colonne2]],2,FALSE),"")</f>
        <v/>
      </c>
      <c r="H890" t="str">
        <f>IFERROR(VLOOKUP(Logs_Reseau_Part5[[#This Row],[Cell_ID]],Registre_Maintenance_Part[[ID_Antenne]:[Colonne2]],3,FALSE),"")</f>
        <v/>
      </c>
      <c r="I890" t="str">
        <f>IFERROR(VLOOKUP(Logs_Reseau_Part5[[#This Row],[Cell_ID]],Registre_Maintenance_Part[[ID_Antenne]:[Colonne2]],4,FALSE),"")</f>
        <v/>
      </c>
      <c r="J890" t="str">
        <f>IFERROR(VLOOKUP(Logs_Reseau_Part5[[#This Row],[Cell_ID]],Registre_Maintenance_Part[[ID_Antenne]:[Colonne2]],5,FALSE),"")</f>
        <v/>
      </c>
      <c r="K890" t="str">
        <f>IFERROR(VLOOKUP(Logs_Reseau_Part5[[#This Row],[Cell_ID]],Registre_Maintenance_Part[[ID_Antenne]:[Colonne2]],6,FALSE),"")</f>
        <v/>
      </c>
    </row>
    <row r="891" spans="1:11" x14ac:dyDescent="0.3">
      <c r="A891" t="s">
        <v>1384</v>
      </c>
      <c r="B891" s="1">
        <v>45221.498611111107</v>
      </c>
      <c r="C891" s="2">
        <v>45221.498611111107</v>
      </c>
      <c r="D891" t="s">
        <v>1395</v>
      </c>
      <c r="E891">
        <v>116</v>
      </c>
      <c r="F891" t="s">
        <v>737</v>
      </c>
      <c r="G891" t="str">
        <f>IFERROR(VLOOKUP(Logs_Reseau_Part5[[#This Row],[Cell_ID]],Registre_Maintenance_Part[[ID_Antenne]:[Colonne2]],2,FALSE),"")</f>
        <v/>
      </c>
      <c r="H891" t="str">
        <f>IFERROR(VLOOKUP(Logs_Reseau_Part5[[#This Row],[Cell_ID]],Registre_Maintenance_Part[[ID_Antenne]:[Colonne2]],3,FALSE),"")</f>
        <v/>
      </c>
      <c r="I891" t="str">
        <f>IFERROR(VLOOKUP(Logs_Reseau_Part5[[#This Row],[Cell_ID]],Registre_Maintenance_Part[[ID_Antenne]:[Colonne2]],4,FALSE),"")</f>
        <v/>
      </c>
      <c r="J891" t="str">
        <f>IFERROR(VLOOKUP(Logs_Reseau_Part5[[#This Row],[Cell_ID]],Registre_Maintenance_Part[[ID_Antenne]:[Colonne2]],5,FALSE),"")</f>
        <v/>
      </c>
      <c r="K891" t="str">
        <f>IFERROR(VLOOKUP(Logs_Reseau_Part5[[#This Row],[Cell_ID]],Registre_Maintenance_Part[[ID_Antenne]:[Colonne2]],6,FALSE),"")</f>
        <v/>
      </c>
    </row>
    <row r="892" spans="1:11" x14ac:dyDescent="0.3">
      <c r="A892" t="s">
        <v>1001</v>
      </c>
      <c r="B892" s="1">
        <v>45221.50277777778</v>
      </c>
      <c r="C892" s="2">
        <v>45221.50277777778</v>
      </c>
      <c r="D892" t="s">
        <v>1013</v>
      </c>
      <c r="E892">
        <v>69</v>
      </c>
      <c r="F892" t="s">
        <v>734</v>
      </c>
      <c r="G892" t="str">
        <f>IFERROR(VLOOKUP(Logs_Reseau_Part5[[#This Row],[Cell_ID]],Registre_Maintenance_Part[[ID_Antenne]:[Colonne2]],2,FALSE),"")</f>
        <v/>
      </c>
      <c r="H892" t="str">
        <f>IFERROR(VLOOKUP(Logs_Reseau_Part5[[#This Row],[Cell_ID]],Registre_Maintenance_Part[[ID_Antenne]:[Colonne2]],3,FALSE),"")</f>
        <v/>
      </c>
      <c r="I892" t="str">
        <f>IFERROR(VLOOKUP(Logs_Reseau_Part5[[#This Row],[Cell_ID]],Registre_Maintenance_Part[[ID_Antenne]:[Colonne2]],4,FALSE),"")</f>
        <v/>
      </c>
      <c r="J892" t="str">
        <f>IFERROR(VLOOKUP(Logs_Reseau_Part5[[#This Row],[Cell_ID]],Registre_Maintenance_Part[[ID_Antenne]:[Colonne2]],5,FALSE),"")</f>
        <v/>
      </c>
      <c r="K892" t="str">
        <f>IFERROR(VLOOKUP(Logs_Reseau_Part5[[#This Row],[Cell_ID]],Registre_Maintenance_Part[[ID_Antenne]:[Colonne2]],6,FALSE),"")</f>
        <v/>
      </c>
    </row>
    <row r="893" spans="1:11" x14ac:dyDescent="0.3">
      <c r="A893" t="s">
        <v>863</v>
      </c>
      <c r="B893" s="1">
        <v>45221.517361111109</v>
      </c>
      <c r="C893" s="2">
        <v>45221.517361111109</v>
      </c>
      <c r="D893" t="s">
        <v>890</v>
      </c>
      <c r="E893">
        <v>83</v>
      </c>
      <c r="F893" t="s">
        <v>739</v>
      </c>
      <c r="G893" t="str">
        <f>IFERROR(VLOOKUP(Logs_Reseau_Part5[[#This Row],[Cell_ID]],Registre_Maintenance_Part[[ID_Antenne]:[Colonne2]],2,FALSE),"")</f>
        <v/>
      </c>
      <c r="H893" t="str">
        <f>IFERROR(VLOOKUP(Logs_Reseau_Part5[[#This Row],[Cell_ID]],Registre_Maintenance_Part[[ID_Antenne]:[Colonne2]],3,FALSE),"")</f>
        <v/>
      </c>
      <c r="I893" t="str">
        <f>IFERROR(VLOOKUP(Logs_Reseau_Part5[[#This Row],[Cell_ID]],Registre_Maintenance_Part[[ID_Antenne]:[Colonne2]],4,FALSE),"")</f>
        <v/>
      </c>
      <c r="J893" t="str">
        <f>IFERROR(VLOOKUP(Logs_Reseau_Part5[[#This Row],[Cell_ID]],Registre_Maintenance_Part[[ID_Antenne]:[Colonne2]],5,FALSE),"")</f>
        <v/>
      </c>
      <c r="K893" t="str">
        <f>IFERROR(VLOOKUP(Logs_Reseau_Part5[[#This Row],[Cell_ID]],Registre_Maintenance_Part[[ID_Antenne]:[Colonne2]],6,FALSE),"")</f>
        <v/>
      </c>
    </row>
    <row r="894" spans="1:11" x14ac:dyDescent="0.3">
      <c r="A894" t="s">
        <v>1290</v>
      </c>
      <c r="B894" s="1">
        <v>45221.549305555563</v>
      </c>
      <c r="C894" s="2">
        <v>45221.549305555563</v>
      </c>
      <c r="D894" t="s">
        <v>1301</v>
      </c>
      <c r="E894">
        <v>39</v>
      </c>
      <c r="F894" t="s">
        <v>737</v>
      </c>
      <c r="G894" t="str">
        <f>IFERROR(VLOOKUP(Logs_Reseau_Part5[[#This Row],[Cell_ID]],Registre_Maintenance_Part[[ID_Antenne]:[Colonne2]],2,FALSE),"")</f>
        <v/>
      </c>
      <c r="H894" t="str">
        <f>IFERROR(VLOOKUP(Logs_Reseau_Part5[[#This Row],[Cell_ID]],Registre_Maintenance_Part[[ID_Antenne]:[Colonne2]],3,FALSE),"")</f>
        <v/>
      </c>
      <c r="I894" t="str">
        <f>IFERROR(VLOOKUP(Logs_Reseau_Part5[[#This Row],[Cell_ID]],Registre_Maintenance_Part[[ID_Antenne]:[Colonne2]],4,FALSE),"")</f>
        <v/>
      </c>
      <c r="J894" t="str">
        <f>IFERROR(VLOOKUP(Logs_Reseau_Part5[[#This Row],[Cell_ID]],Registre_Maintenance_Part[[ID_Antenne]:[Colonne2]],5,FALSE),"")</f>
        <v/>
      </c>
      <c r="K894" t="str">
        <f>IFERROR(VLOOKUP(Logs_Reseau_Part5[[#This Row],[Cell_ID]],Registre_Maintenance_Part[[ID_Antenne]:[Colonne2]],6,FALSE),"")</f>
        <v/>
      </c>
    </row>
    <row r="895" spans="1:11" x14ac:dyDescent="0.3">
      <c r="A895" t="s">
        <v>825</v>
      </c>
      <c r="B895" s="1">
        <v>45221.555555555547</v>
      </c>
      <c r="C895" s="2">
        <v>45221.555555555547</v>
      </c>
      <c r="D895" t="s">
        <v>843</v>
      </c>
      <c r="E895">
        <v>103</v>
      </c>
      <c r="F895" t="s">
        <v>737</v>
      </c>
      <c r="G895" t="str">
        <f>IFERROR(VLOOKUP(Logs_Reseau_Part5[[#This Row],[Cell_ID]],Registre_Maintenance_Part[[ID_Antenne]:[Colonne2]],2,FALSE),"")</f>
        <v/>
      </c>
      <c r="H895" t="str">
        <f>IFERROR(VLOOKUP(Logs_Reseau_Part5[[#This Row],[Cell_ID]],Registre_Maintenance_Part[[ID_Antenne]:[Colonne2]],3,FALSE),"")</f>
        <v/>
      </c>
      <c r="I895" t="str">
        <f>IFERROR(VLOOKUP(Logs_Reseau_Part5[[#This Row],[Cell_ID]],Registre_Maintenance_Part[[ID_Antenne]:[Colonne2]],4,FALSE),"")</f>
        <v/>
      </c>
      <c r="J895" t="str">
        <f>IFERROR(VLOOKUP(Logs_Reseau_Part5[[#This Row],[Cell_ID]],Registre_Maintenance_Part[[ID_Antenne]:[Colonne2]],5,FALSE),"")</f>
        <v/>
      </c>
      <c r="K895" t="str">
        <f>IFERROR(VLOOKUP(Logs_Reseau_Part5[[#This Row],[Cell_ID]],Registre_Maintenance_Part[[ID_Antenne]:[Colonne2]],6,FALSE),"")</f>
        <v/>
      </c>
    </row>
    <row r="896" spans="1:11" x14ac:dyDescent="0.3">
      <c r="A896" t="s">
        <v>1406</v>
      </c>
      <c r="B896" s="1">
        <v>45221.578472222223</v>
      </c>
      <c r="C896" s="2">
        <v>45221.578472222223</v>
      </c>
      <c r="D896" t="s">
        <v>939</v>
      </c>
      <c r="E896">
        <v>76</v>
      </c>
      <c r="F896" t="s">
        <v>739</v>
      </c>
      <c r="G896" t="str">
        <f>IFERROR(VLOOKUP(Logs_Reseau_Part5[[#This Row],[Cell_ID]],Registre_Maintenance_Part[[ID_Antenne]:[Colonne2]],2,FALSE),"")</f>
        <v/>
      </c>
      <c r="H896" t="str">
        <f>IFERROR(VLOOKUP(Logs_Reseau_Part5[[#This Row],[Cell_ID]],Registre_Maintenance_Part[[ID_Antenne]:[Colonne2]],3,FALSE),"")</f>
        <v/>
      </c>
      <c r="I896" t="str">
        <f>IFERROR(VLOOKUP(Logs_Reseau_Part5[[#This Row],[Cell_ID]],Registre_Maintenance_Part[[ID_Antenne]:[Colonne2]],4,FALSE),"")</f>
        <v/>
      </c>
      <c r="J896" t="str">
        <f>IFERROR(VLOOKUP(Logs_Reseau_Part5[[#This Row],[Cell_ID]],Registre_Maintenance_Part[[ID_Antenne]:[Colonne2]],5,FALSE),"")</f>
        <v/>
      </c>
      <c r="K896" t="str">
        <f>IFERROR(VLOOKUP(Logs_Reseau_Part5[[#This Row],[Cell_ID]],Registre_Maintenance_Part[[ID_Antenne]:[Colonne2]],6,FALSE),"")</f>
        <v/>
      </c>
    </row>
    <row r="897" spans="1:11" x14ac:dyDescent="0.3">
      <c r="A897" t="s">
        <v>1243</v>
      </c>
      <c r="B897" s="1">
        <v>45221.583333333343</v>
      </c>
      <c r="C897" s="2">
        <v>45221.583333333343</v>
      </c>
      <c r="D897" t="s">
        <v>1258</v>
      </c>
      <c r="E897">
        <v>106</v>
      </c>
      <c r="F897" t="s">
        <v>739</v>
      </c>
      <c r="G897" t="str">
        <f>IFERROR(VLOOKUP(Logs_Reseau_Part5[[#This Row],[Cell_ID]],Registre_Maintenance_Part[[ID_Antenne]:[Colonne2]],2,FALSE),"")</f>
        <v/>
      </c>
      <c r="H897" t="str">
        <f>IFERROR(VLOOKUP(Logs_Reseau_Part5[[#This Row],[Cell_ID]],Registre_Maintenance_Part[[ID_Antenne]:[Colonne2]],3,FALSE),"")</f>
        <v/>
      </c>
      <c r="I897" t="str">
        <f>IFERROR(VLOOKUP(Logs_Reseau_Part5[[#This Row],[Cell_ID]],Registre_Maintenance_Part[[ID_Antenne]:[Colonne2]],4,FALSE),"")</f>
        <v/>
      </c>
      <c r="J897" t="str">
        <f>IFERROR(VLOOKUP(Logs_Reseau_Part5[[#This Row],[Cell_ID]],Registre_Maintenance_Part[[ID_Antenne]:[Colonne2]],5,FALSE),"")</f>
        <v/>
      </c>
      <c r="K897" t="str">
        <f>IFERROR(VLOOKUP(Logs_Reseau_Part5[[#This Row],[Cell_ID]],Registre_Maintenance_Part[[ID_Antenne]:[Colonne2]],6,FALSE),"")</f>
        <v/>
      </c>
    </row>
    <row r="898" spans="1:11" x14ac:dyDescent="0.3">
      <c r="A898" t="s">
        <v>941</v>
      </c>
      <c r="B898" s="1">
        <v>45221.839583333327</v>
      </c>
      <c r="C898" s="2">
        <v>45221.839583333327</v>
      </c>
      <c r="D898" t="s">
        <v>947</v>
      </c>
      <c r="E898">
        <v>18</v>
      </c>
      <c r="F898" t="s">
        <v>734</v>
      </c>
      <c r="G898" t="str">
        <f>IFERROR(VLOOKUP(Logs_Reseau_Part5[[#This Row],[Cell_ID]],Registre_Maintenance_Part[[ID_Antenne]:[Colonne2]],2,FALSE),"")</f>
        <v/>
      </c>
      <c r="H898" t="str">
        <f>IFERROR(VLOOKUP(Logs_Reseau_Part5[[#This Row],[Cell_ID]],Registre_Maintenance_Part[[ID_Antenne]:[Colonne2]],3,FALSE),"")</f>
        <v/>
      </c>
      <c r="I898" t="str">
        <f>IFERROR(VLOOKUP(Logs_Reseau_Part5[[#This Row],[Cell_ID]],Registre_Maintenance_Part[[ID_Antenne]:[Colonne2]],4,FALSE),"")</f>
        <v/>
      </c>
      <c r="J898" t="str">
        <f>IFERROR(VLOOKUP(Logs_Reseau_Part5[[#This Row],[Cell_ID]],Registre_Maintenance_Part[[ID_Antenne]:[Colonne2]],5,FALSE),"")</f>
        <v/>
      </c>
      <c r="K898" t="str">
        <f>IFERROR(VLOOKUP(Logs_Reseau_Part5[[#This Row],[Cell_ID]],Registre_Maintenance_Part[[ID_Antenne]:[Colonne2]],6,FALSE),"")</f>
        <v/>
      </c>
    </row>
    <row r="899" spans="1:11" x14ac:dyDescent="0.3">
      <c r="A899" t="s">
        <v>1001</v>
      </c>
      <c r="B899" s="1">
        <v>45221.857638888891</v>
      </c>
      <c r="C899" s="2">
        <v>45221.857638888891</v>
      </c>
      <c r="D899" t="s">
        <v>1008</v>
      </c>
      <c r="E899">
        <v>60</v>
      </c>
      <c r="F899" t="s">
        <v>739</v>
      </c>
      <c r="G899" t="str">
        <f>IFERROR(VLOOKUP(Logs_Reseau_Part5[[#This Row],[Cell_ID]],Registre_Maintenance_Part[[ID_Antenne]:[Colonne2]],2,FALSE),"")</f>
        <v/>
      </c>
      <c r="H899" t="str">
        <f>IFERROR(VLOOKUP(Logs_Reseau_Part5[[#This Row],[Cell_ID]],Registre_Maintenance_Part[[ID_Antenne]:[Colonne2]],3,FALSE),"")</f>
        <v/>
      </c>
      <c r="I899" t="str">
        <f>IFERROR(VLOOKUP(Logs_Reseau_Part5[[#This Row],[Cell_ID]],Registre_Maintenance_Part[[ID_Antenne]:[Colonne2]],4,FALSE),"")</f>
        <v/>
      </c>
      <c r="J899" t="str">
        <f>IFERROR(VLOOKUP(Logs_Reseau_Part5[[#This Row],[Cell_ID]],Registre_Maintenance_Part[[ID_Antenne]:[Colonne2]],5,FALSE),"")</f>
        <v/>
      </c>
      <c r="K899" t="str">
        <f>IFERROR(VLOOKUP(Logs_Reseau_Part5[[#This Row],[Cell_ID]],Registre_Maintenance_Part[[ID_Antenne]:[Colonne2]],6,FALSE),"")</f>
        <v/>
      </c>
    </row>
    <row r="900" spans="1:11" x14ac:dyDescent="0.3">
      <c r="A900" t="s">
        <v>1001</v>
      </c>
      <c r="B900" s="1">
        <v>45221.928472222222</v>
      </c>
      <c r="C900" s="2">
        <v>45221.928472222222</v>
      </c>
      <c r="D900" t="s">
        <v>774</v>
      </c>
      <c r="E900">
        <v>21</v>
      </c>
      <c r="F900" t="s">
        <v>734</v>
      </c>
      <c r="G900" t="str">
        <f>IFERROR(VLOOKUP(Logs_Reseau_Part5[[#This Row],[Cell_ID]],Registre_Maintenance_Part[[ID_Antenne]:[Colonne2]],2,FALSE),"")</f>
        <v/>
      </c>
      <c r="H900" t="str">
        <f>IFERROR(VLOOKUP(Logs_Reseau_Part5[[#This Row],[Cell_ID]],Registre_Maintenance_Part[[ID_Antenne]:[Colonne2]],3,FALSE),"")</f>
        <v/>
      </c>
      <c r="I900" t="str">
        <f>IFERROR(VLOOKUP(Logs_Reseau_Part5[[#This Row],[Cell_ID]],Registre_Maintenance_Part[[ID_Antenne]:[Colonne2]],4,FALSE),"")</f>
        <v/>
      </c>
      <c r="J900" t="str">
        <f>IFERROR(VLOOKUP(Logs_Reseau_Part5[[#This Row],[Cell_ID]],Registre_Maintenance_Part[[ID_Antenne]:[Colonne2]],5,FALSE),"")</f>
        <v/>
      </c>
      <c r="K900" t="str">
        <f>IFERROR(VLOOKUP(Logs_Reseau_Part5[[#This Row],[Cell_ID]],Registre_Maintenance_Part[[ID_Antenne]:[Colonne2]],6,FALSE),"")</f>
        <v/>
      </c>
    </row>
    <row r="901" spans="1:11" x14ac:dyDescent="0.3">
      <c r="A901" t="s">
        <v>1243</v>
      </c>
      <c r="B901" s="1">
        <v>45221.931944444441</v>
      </c>
      <c r="C901" s="2">
        <v>45221.931944444441</v>
      </c>
      <c r="D901" t="s">
        <v>1245</v>
      </c>
      <c r="E901">
        <v>26</v>
      </c>
      <c r="F901" t="s">
        <v>734</v>
      </c>
      <c r="G901" t="str">
        <f>IFERROR(VLOOKUP(Logs_Reseau_Part5[[#This Row],[Cell_ID]],Registre_Maintenance_Part[[ID_Antenne]:[Colonne2]],2,FALSE),"")</f>
        <v/>
      </c>
      <c r="H901" t="str">
        <f>IFERROR(VLOOKUP(Logs_Reseau_Part5[[#This Row],[Cell_ID]],Registre_Maintenance_Part[[ID_Antenne]:[Colonne2]],3,FALSE),"")</f>
        <v/>
      </c>
      <c r="I901" t="str">
        <f>IFERROR(VLOOKUP(Logs_Reseau_Part5[[#This Row],[Cell_ID]],Registre_Maintenance_Part[[ID_Antenne]:[Colonne2]],4,FALSE),"")</f>
        <v/>
      </c>
      <c r="J901" t="str">
        <f>IFERROR(VLOOKUP(Logs_Reseau_Part5[[#This Row],[Cell_ID]],Registre_Maintenance_Part[[ID_Antenne]:[Colonne2]],5,FALSE),"")</f>
        <v/>
      </c>
      <c r="K901" t="str">
        <f>IFERROR(VLOOKUP(Logs_Reseau_Part5[[#This Row],[Cell_ID]],Registre_Maintenance_Part[[ID_Antenne]:[Colonne2]],6,FALSE),"")</f>
        <v/>
      </c>
    </row>
    <row r="902" spans="1:11" x14ac:dyDescent="0.3">
      <c r="A902" t="s">
        <v>1263</v>
      </c>
      <c r="B902" s="1">
        <v>45221.96597222222</v>
      </c>
      <c r="C902" s="2">
        <v>45221.96597222222</v>
      </c>
      <c r="D902" t="s">
        <v>1267</v>
      </c>
      <c r="E902">
        <v>84</v>
      </c>
      <c r="F902" t="s">
        <v>739</v>
      </c>
      <c r="G902" t="str">
        <f>IFERROR(VLOOKUP(Logs_Reseau_Part5[[#This Row],[Cell_ID]],Registre_Maintenance_Part[[ID_Antenne]:[Colonne2]],2,FALSE),"")</f>
        <v/>
      </c>
      <c r="H902" t="str">
        <f>IFERROR(VLOOKUP(Logs_Reseau_Part5[[#This Row],[Cell_ID]],Registre_Maintenance_Part[[ID_Antenne]:[Colonne2]],3,FALSE),"")</f>
        <v/>
      </c>
      <c r="I902" t="str">
        <f>IFERROR(VLOOKUP(Logs_Reseau_Part5[[#This Row],[Cell_ID]],Registre_Maintenance_Part[[ID_Antenne]:[Colonne2]],4,FALSE),"")</f>
        <v/>
      </c>
      <c r="J902" t="str">
        <f>IFERROR(VLOOKUP(Logs_Reseau_Part5[[#This Row],[Cell_ID]],Registre_Maintenance_Part[[ID_Antenne]:[Colonne2]],5,FALSE),"")</f>
        <v/>
      </c>
      <c r="K902" t="str">
        <f>IFERROR(VLOOKUP(Logs_Reseau_Part5[[#This Row],[Cell_ID]],Registre_Maintenance_Part[[ID_Antenne]:[Colonne2]],6,FALSE),"")</f>
        <v/>
      </c>
    </row>
    <row r="903" spans="1:11" x14ac:dyDescent="0.3">
      <c r="A903" t="s">
        <v>980</v>
      </c>
      <c r="B903" s="1">
        <v>45221.988888888889</v>
      </c>
      <c r="C903" s="2">
        <v>45221.988888888889</v>
      </c>
      <c r="D903" t="s">
        <v>982</v>
      </c>
      <c r="E903">
        <v>72</v>
      </c>
      <c r="F903" t="s">
        <v>737</v>
      </c>
      <c r="G903" t="str">
        <f>IFERROR(VLOOKUP(Logs_Reseau_Part5[[#This Row],[Cell_ID]],Registre_Maintenance_Part[[ID_Antenne]:[Colonne2]],2,FALSE),"")</f>
        <v/>
      </c>
      <c r="H903" t="str">
        <f>IFERROR(VLOOKUP(Logs_Reseau_Part5[[#This Row],[Cell_ID]],Registre_Maintenance_Part[[ID_Antenne]:[Colonne2]],3,FALSE),"")</f>
        <v/>
      </c>
      <c r="I903" t="str">
        <f>IFERROR(VLOOKUP(Logs_Reseau_Part5[[#This Row],[Cell_ID]],Registre_Maintenance_Part[[ID_Antenne]:[Colonne2]],4,FALSE),"")</f>
        <v/>
      </c>
      <c r="J903" t="str">
        <f>IFERROR(VLOOKUP(Logs_Reseau_Part5[[#This Row],[Cell_ID]],Registre_Maintenance_Part[[ID_Antenne]:[Colonne2]],5,FALSE),"")</f>
        <v/>
      </c>
      <c r="K903" t="str">
        <f>IFERROR(VLOOKUP(Logs_Reseau_Part5[[#This Row],[Cell_ID]],Registre_Maintenance_Part[[ID_Antenne]:[Colonne2]],6,FALSE),"")</f>
        <v/>
      </c>
    </row>
    <row r="904" spans="1:11" x14ac:dyDescent="0.3">
      <c r="A904" t="s">
        <v>732</v>
      </c>
      <c r="B904" s="1">
        <v>45221.997916666667</v>
      </c>
      <c r="C904" s="2">
        <v>45221.997916666667</v>
      </c>
      <c r="D904" t="s">
        <v>738</v>
      </c>
      <c r="E904">
        <v>79</v>
      </c>
      <c r="F904" t="s">
        <v>739</v>
      </c>
      <c r="G904" t="str">
        <f>IFERROR(VLOOKUP(Logs_Reseau_Part5[[#This Row],[Cell_ID]],Registre_Maintenance_Part[[ID_Antenne]:[Colonne2]],2,FALSE),"")</f>
        <v/>
      </c>
      <c r="H904" t="str">
        <f>IFERROR(VLOOKUP(Logs_Reseau_Part5[[#This Row],[Cell_ID]],Registre_Maintenance_Part[[ID_Antenne]:[Colonne2]],3,FALSE),"")</f>
        <v/>
      </c>
      <c r="I904" t="str">
        <f>IFERROR(VLOOKUP(Logs_Reseau_Part5[[#This Row],[Cell_ID]],Registre_Maintenance_Part[[ID_Antenne]:[Colonne2]],4,FALSE),"")</f>
        <v/>
      </c>
      <c r="J904" t="str">
        <f>IFERROR(VLOOKUP(Logs_Reseau_Part5[[#This Row],[Cell_ID]],Registre_Maintenance_Part[[ID_Antenne]:[Colonne2]],5,FALSE),"")</f>
        <v/>
      </c>
      <c r="K904" t="str">
        <f>IFERROR(VLOOKUP(Logs_Reseau_Part5[[#This Row],[Cell_ID]],Registre_Maintenance_Part[[ID_Antenne]:[Colonne2]],6,FALSE),"")</f>
        <v/>
      </c>
    </row>
    <row r="905" spans="1:11" x14ac:dyDescent="0.3">
      <c r="A905" t="s">
        <v>825</v>
      </c>
      <c r="B905" s="1">
        <v>45221.997916666667</v>
      </c>
      <c r="C905" s="2">
        <v>45221.997916666667</v>
      </c>
      <c r="D905" t="s">
        <v>847</v>
      </c>
      <c r="E905">
        <v>59</v>
      </c>
      <c r="F905" t="s">
        <v>734</v>
      </c>
      <c r="G905" t="str">
        <f>IFERROR(VLOOKUP(Logs_Reseau_Part5[[#This Row],[Cell_ID]],Registre_Maintenance_Part[[ID_Antenne]:[Colonne2]],2,FALSE),"")</f>
        <v/>
      </c>
      <c r="H905" t="str">
        <f>IFERROR(VLOOKUP(Logs_Reseau_Part5[[#This Row],[Cell_ID]],Registre_Maintenance_Part[[ID_Antenne]:[Colonne2]],3,FALSE),"")</f>
        <v/>
      </c>
      <c r="I905" t="str">
        <f>IFERROR(VLOOKUP(Logs_Reseau_Part5[[#This Row],[Cell_ID]],Registre_Maintenance_Part[[ID_Antenne]:[Colonne2]],4,FALSE),"")</f>
        <v/>
      </c>
      <c r="J905" t="str">
        <f>IFERROR(VLOOKUP(Logs_Reseau_Part5[[#This Row],[Cell_ID]],Registre_Maintenance_Part[[ID_Antenne]:[Colonne2]],5,FALSE),"")</f>
        <v/>
      </c>
      <c r="K905" t="str">
        <f>IFERROR(VLOOKUP(Logs_Reseau_Part5[[#This Row],[Cell_ID]],Registre_Maintenance_Part[[ID_Antenne]:[Colonne2]],6,FALSE),"")</f>
        <v/>
      </c>
    </row>
    <row r="906" spans="1:11" x14ac:dyDescent="0.3">
      <c r="A906" t="s">
        <v>1088</v>
      </c>
      <c r="B906" s="1">
        <v>45222.107638888891</v>
      </c>
      <c r="C906" s="2">
        <v>45222.107638888891</v>
      </c>
      <c r="D906" t="s">
        <v>847</v>
      </c>
      <c r="E906">
        <v>85</v>
      </c>
      <c r="F906" t="s">
        <v>734</v>
      </c>
      <c r="G906" t="str">
        <f>IFERROR(VLOOKUP(Logs_Reseau_Part5[[#This Row],[Cell_ID]],Registre_Maintenance_Part[[ID_Antenne]:[Colonne2]],2,FALSE),"")</f>
        <v/>
      </c>
      <c r="H906" t="str">
        <f>IFERROR(VLOOKUP(Logs_Reseau_Part5[[#This Row],[Cell_ID]],Registre_Maintenance_Part[[ID_Antenne]:[Colonne2]],3,FALSE),"")</f>
        <v/>
      </c>
      <c r="I906" t="str">
        <f>IFERROR(VLOOKUP(Logs_Reseau_Part5[[#This Row],[Cell_ID]],Registre_Maintenance_Part[[ID_Antenne]:[Colonne2]],4,FALSE),"")</f>
        <v/>
      </c>
      <c r="J906" t="str">
        <f>IFERROR(VLOOKUP(Logs_Reseau_Part5[[#This Row],[Cell_ID]],Registre_Maintenance_Part[[ID_Antenne]:[Colonne2]],5,FALSE),"")</f>
        <v/>
      </c>
      <c r="K906" t="str">
        <f>IFERROR(VLOOKUP(Logs_Reseau_Part5[[#This Row],[Cell_ID]],Registre_Maintenance_Part[[ID_Antenne]:[Colonne2]],6,FALSE),"")</f>
        <v/>
      </c>
    </row>
    <row r="907" spans="1:11" x14ac:dyDescent="0.3">
      <c r="A907" t="s">
        <v>1221</v>
      </c>
      <c r="B907" s="1">
        <v>45222.10833333333</v>
      </c>
      <c r="C907" s="2">
        <v>45222.10833333333</v>
      </c>
      <c r="D907" t="s">
        <v>1235</v>
      </c>
      <c r="E907">
        <v>88</v>
      </c>
      <c r="F907" t="s">
        <v>739</v>
      </c>
      <c r="G907" t="str">
        <f>IFERROR(VLOOKUP(Logs_Reseau_Part5[[#This Row],[Cell_ID]],Registre_Maintenance_Part[[ID_Antenne]:[Colonne2]],2,FALSE),"")</f>
        <v/>
      </c>
      <c r="H907" t="str">
        <f>IFERROR(VLOOKUP(Logs_Reseau_Part5[[#This Row],[Cell_ID]],Registre_Maintenance_Part[[ID_Antenne]:[Colonne2]],3,FALSE),"")</f>
        <v/>
      </c>
      <c r="I907" t="str">
        <f>IFERROR(VLOOKUP(Logs_Reseau_Part5[[#This Row],[Cell_ID]],Registre_Maintenance_Part[[ID_Antenne]:[Colonne2]],4,FALSE),"")</f>
        <v/>
      </c>
      <c r="J907" t="str">
        <f>IFERROR(VLOOKUP(Logs_Reseau_Part5[[#This Row],[Cell_ID]],Registre_Maintenance_Part[[ID_Antenne]:[Colonne2]],5,FALSE),"")</f>
        <v/>
      </c>
      <c r="K907" t="str">
        <f>IFERROR(VLOOKUP(Logs_Reseau_Part5[[#This Row],[Cell_ID]],Registre_Maintenance_Part[[ID_Antenne]:[Colonne2]],6,FALSE),"")</f>
        <v/>
      </c>
    </row>
    <row r="908" spans="1:11" x14ac:dyDescent="0.3">
      <c r="A908" t="s">
        <v>863</v>
      </c>
      <c r="B908" s="1">
        <v>45222.367361111108</v>
      </c>
      <c r="C908" s="2">
        <v>45222.367361111108</v>
      </c>
      <c r="D908" t="s">
        <v>884</v>
      </c>
      <c r="E908">
        <v>117</v>
      </c>
      <c r="F908" t="s">
        <v>737</v>
      </c>
      <c r="G908" t="str">
        <f>IFERROR(VLOOKUP(Logs_Reseau_Part5[[#This Row],[Cell_ID]],Registre_Maintenance_Part[[ID_Antenne]:[Colonne2]],2,FALSE),"")</f>
        <v/>
      </c>
      <c r="H908" t="str">
        <f>IFERROR(VLOOKUP(Logs_Reseau_Part5[[#This Row],[Cell_ID]],Registre_Maintenance_Part[[ID_Antenne]:[Colonne2]],3,FALSE),"")</f>
        <v/>
      </c>
      <c r="I908" t="str">
        <f>IFERROR(VLOOKUP(Logs_Reseau_Part5[[#This Row],[Cell_ID]],Registre_Maintenance_Part[[ID_Antenne]:[Colonne2]],4,FALSE),"")</f>
        <v/>
      </c>
      <c r="J908" t="str">
        <f>IFERROR(VLOOKUP(Logs_Reseau_Part5[[#This Row],[Cell_ID]],Registre_Maintenance_Part[[ID_Antenne]:[Colonne2]],5,FALSE),"")</f>
        <v/>
      </c>
      <c r="K908" t="str">
        <f>IFERROR(VLOOKUP(Logs_Reseau_Part5[[#This Row],[Cell_ID]],Registre_Maintenance_Part[[ID_Antenne]:[Colonne2]],6,FALSE),"")</f>
        <v/>
      </c>
    </row>
    <row r="909" spans="1:11" x14ac:dyDescent="0.3">
      <c r="A909" t="s">
        <v>732</v>
      </c>
      <c r="B909" s="1">
        <v>45222.425694444442</v>
      </c>
      <c r="C909" s="2">
        <v>45222.425694444442</v>
      </c>
      <c r="D909" t="s">
        <v>777</v>
      </c>
      <c r="E909">
        <v>48</v>
      </c>
      <c r="F909" t="s">
        <v>734</v>
      </c>
      <c r="G909" t="str">
        <f>IFERROR(VLOOKUP(Logs_Reseau_Part5[[#This Row],[Cell_ID]],Registre_Maintenance_Part[[ID_Antenne]:[Colonne2]],2,FALSE),"")</f>
        <v/>
      </c>
      <c r="H909" t="str">
        <f>IFERROR(VLOOKUP(Logs_Reseau_Part5[[#This Row],[Cell_ID]],Registre_Maintenance_Part[[ID_Antenne]:[Colonne2]],3,FALSE),"")</f>
        <v/>
      </c>
      <c r="I909" t="str">
        <f>IFERROR(VLOOKUP(Logs_Reseau_Part5[[#This Row],[Cell_ID]],Registre_Maintenance_Part[[ID_Antenne]:[Colonne2]],4,FALSE),"")</f>
        <v/>
      </c>
      <c r="J909" t="str">
        <f>IFERROR(VLOOKUP(Logs_Reseau_Part5[[#This Row],[Cell_ID]],Registre_Maintenance_Part[[ID_Antenne]:[Colonne2]],5,FALSE),"")</f>
        <v/>
      </c>
      <c r="K909" t="str">
        <f>IFERROR(VLOOKUP(Logs_Reseau_Part5[[#This Row],[Cell_ID]],Registre_Maintenance_Part[[ID_Antenne]:[Colonne2]],6,FALSE),"")</f>
        <v/>
      </c>
    </row>
    <row r="910" spans="1:11" x14ac:dyDescent="0.3">
      <c r="A910" t="s">
        <v>980</v>
      </c>
      <c r="B910" s="1">
        <v>45222.467361111107</v>
      </c>
      <c r="C910" s="2">
        <v>45222.467361111107</v>
      </c>
      <c r="D910" t="s">
        <v>987</v>
      </c>
      <c r="E910">
        <v>104</v>
      </c>
      <c r="F910" t="s">
        <v>739</v>
      </c>
      <c r="G910" t="str">
        <f>IFERROR(VLOOKUP(Logs_Reseau_Part5[[#This Row],[Cell_ID]],Registre_Maintenance_Part[[ID_Antenne]:[Colonne2]],2,FALSE),"")</f>
        <v/>
      </c>
      <c r="H910" t="str">
        <f>IFERROR(VLOOKUP(Logs_Reseau_Part5[[#This Row],[Cell_ID]],Registre_Maintenance_Part[[ID_Antenne]:[Colonne2]],3,FALSE),"")</f>
        <v/>
      </c>
      <c r="I910" t="str">
        <f>IFERROR(VLOOKUP(Logs_Reseau_Part5[[#This Row],[Cell_ID]],Registre_Maintenance_Part[[ID_Antenne]:[Colonne2]],4,FALSE),"")</f>
        <v/>
      </c>
      <c r="J910" t="str">
        <f>IFERROR(VLOOKUP(Logs_Reseau_Part5[[#This Row],[Cell_ID]],Registre_Maintenance_Part[[ID_Antenne]:[Colonne2]],5,FALSE),"")</f>
        <v/>
      </c>
      <c r="K910" t="str">
        <f>IFERROR(VLOOKUP(Logs_Reseau_Part5[[#This Row],[Cell_ID]],Registre_Maintenance_Part[[ID_Antenne]:[Colonne2]],6,FALSE),"")</f>
        <v/>
      </c>
    </row>
    <row r="911" spans="1:11" x14ac:dyDescent="0.3">
      <c r="A911" t="s">
        <v>1243</v>
      </c>
      <c r="B911" s="1">
        <v>45222.478472222218</v>
      </c>
      <c r="C911" s="2">
        <v>45222.478472222218</v>
      </c>
      <c r="D911" t="s">
        <v>761</v>
      </c>
      <c r="E911">
        <v>72</v>
      </c>
      <c r="F911" t="s">
        <v>737</v>
      </c>
      <c r="G911" t="str">
        <f>IFERROR(VLOOKUP(Logs_Reseau_Part5[[#This Row],[Cell_ID]],Registre_Maintenance_Part[[ID_Antenne]:[Colonne2]],2,FALSE),"")</f>
        <v/>
      </c>
      <c r="H911" t="str">
        <f>IFERROR(VLOOKUP(Logs_Reseau_Part5[[#This Row],[Cell_ID]],Registre_Maintenance_Part[[ID_Antenne]:[Colonne2]],3,FALSE),"")</f>
        <v/>
      </c>
      <c r="I911" t="str">
        <f>IFERROR(VLOOKUP(Logs_Reseau_Part5[[#This Row],[Cell_ID]],Registre_Maintenance_Part[[ID_Antenne]:[Colonne2]],4,FALSE),"")</f>
        <v/>
      </c>
      <c r="J911" t="str">
        <f>IFERROR(VLOOKUP(Logs_Reseau_Part5[[#This Row],[Cell_ID]],Registre_Maintenance_Part[[ID_Antenne]:[Colonne2]],5,FALSE),"")</f>
        <v/>
      </c>
      <c r="K911" t="str">
        <f>IFERROR(VLOOKUP(Logs_Reseau_Part5[[#This Row],[Cell_ID]],Registre_Maintenance_Part[[ID_Antenne]:[Colonne2]],6,FALSE),"")</f>
        <v/>
      </c>
    </row>
    <row r="912" spans="1:11" x14ac:dyDescent="0.3">
      <c r="A912" t="s">
        <v>1332</v>
      </c>
      <c r="B912" s="1">
        <v>45222.501388888893</v>
      </c>
      <c r="C912" s="2">
        <v>45222.501388888893</v>
      </c>
      <c r="D912" t="s">
        <v>1335</v>
      </c>
      <c r="E912">
        <v>39</v>
      </c>
      <c r="F912" t="s">
        <v>734</v>
      </c>
      <c r="G912" t="str">
        <f>IFERROR(VLOOKUP(Logs_Reseau_Part5[[#This Row],[Cell_ID]],Registre_Maintenance_Part[[ID_Antenne]:[Colonne2]],2,FALSE),"")</f>
        <v/>
      </c>
      <c r="H912" t="str">
        <f>IFERROR(VLOOKUP(Logs_Reseau_Part5[[#This Row],[Cell_ID]],Registre_Maintenance_Part[[ID_Antenne]:[Colonne2]],3,FALSE),"")</f>
        <v/>
      </c>
      <c r="I912" t="str">
        <f>IFERROR(VLOOKUP(Logs_Reseau_Part5[[#This Row],[Cell_ID]],Registre_Maintenance_Part[[ID_Antenne]:[Colonne2]],4,FALSE),"")</f>
        <v/>
      </c>
      <c r="J912" t="str">
        <f>IFERROR(VLOOKUP(Logs_Reseau_Part5[[#This Row],[Cell_ID]],Registre_Maintenance_Part[[ID_Antenne]:[Colonne2]],5,FALSE),"")</f>
        <v/>
      </c>
      <c r="K912" t="str">
        <f>IFERROR(VLOOKUP(Logs_Reseau_Part5[[#This Row],[Cell_ID]],Registre_Maintenance_Part[[ID_Antenne]:[Colonne2]],6,FALSE),"")</f>
        <v/>
      </c>
    </row>
    <row r="913" spans="1:11" x14ac:dyDescent="0.3">
      <c r="A913" t="s">
        <v>904</v>
      </c>
      <c r="B913" s="1">
        <v>45222.511805555558</v>
      </c>
      <c r="C913" s="2">
        <v>45222.511805555558</v>
      </c>
      <c r="D913" t="s">
        <v>936</v>
      </c>
      <c r="E913">
        <v>56</v>
      </c>
      <c r="F913" t="s">
        <v>734</v>
      </c>
      <c r="G913" t="str">
        <f>IFERROR(VLOOKUP(Logs_Reseau_Part5[[#This Row],[Cell_ID]],Registre_Maintenance_Part[[ID_Antenne]:[Colonne2]],2,FALSE),"")</f>
        <v/>
      </c>
      <c r="H913" t="str">
        <f>IFERROR(VLOOKUP(Logs_Reseau_Part5[[#This Row],[Cell_ID]],Registre_Maintenance_Part[[ID_Antenne]:[Colonne2]],3,FALSE),"")</f>
        <v/>
      </c>
      <c r="I913" t="str">
        <f>IFERROR(VLOOKUP(Logs_Reseau_Part5[[#This Row],[Cell_ID]],Registre_Maintenance_Part[[ID_Antenne]:[Colonne2]],4,FALSE),"")</f>
        <v/>
      </c>
      <c r="J913" t="str">
        <f>IFERROR(VLOOKUP(Logs_Reseau_Part5[[#This Row],[Cell_ID]],Registre_Maintenance_Part[[ID_Antenne]:[Colonne2]],5,FALSE),"")</f>
        <v/>
      </c>
      <c r="K913" t="str">
        <f>IFERROR(VLOOKUP(Logs_Reseau_Part5[[#This Row],[Cell_ID]],Registre_Maintenance_Part[[ID_Antenne]:[Colonne2]],6,FALSE),"")</f>
        <v/>
      </c>
    </row>
    <row r="914" spans="1:11" x14ac:dyDescent="0.3">
      <c r="A914" t="s">
        <v>941</v>
      </c>
      <c r="B914" s="1">
        <v>45222.51666666667</v>
      </c>
      <c r="C914" s="2">
        <v>45222.51666666667</v>
      </c>
      <c r="D914" t="s">
        <v>946</v>
      </c>
      <c r="E914">
        <v>66</v>
      </c>
      <c r="F914" t="s">
        <v>734</v>
      </c>
      <c r="G914" t="str">
        <f>IFERROR(VLOOKUP(Logs_Reseau_Part5[[#This Row],[Cell_ID]],Registre_Maintenance_Part[[ID_Antenne]:[Colonne2]],2,FALSE),"")</f>
        <v/>
      </c>
      <c r="H914" t="str">
        <f>IFERROR(VLOOKUP(Logs_Reseau_Part5[[#This Row],[Cell_ID]],Registre_Maintenance_Part[[ID_Antenne]:[Colonne2]],3,FALSE),"")</f>
        <v/>
      </c>
      <c r="I914" t="str">
        <f>IFERROR(VLOOKUP(Logs_Reseau_Part5[[#This Row],[Cell_ID]],Registre_Maintenance_Part[[ID_Antenne]:[Colonne2]],4,FALSE),"")</f>
        <v/>
      </c>
      <c r="J914" t="str">
        <f>IFERROR(VLOOKUP(Logs_Reseau_Part5[[#This Row],[Cell_ID]],Registre_Maintenance_Part[[ID_Antenne]:[Colonne2]],5,FALSE),"")</f>
        <v/>
      </c>
      <c r="K914" t="str">
        <f>IFERROR(VLOOKUP(Logs_Reseau_Part5[[#This Row],[Cell_ID]],Registre_Maintenance_Part[[ID_Antenne]:[Colonne2]],6,FALSE),"")</f>
        <v/>
      </c>
    </row>
    <row r="915" spans="1:11" x14ac:dyDescent="0.3">
      <c r="A915" t="s">
        <v>941</v>
      </c>
      <c r="B915" s="1">
        <v>45222.52847222222</v>
      </c>
      <c r="C915" s="2">
        <v>45222.52847222222</v>
      </c>
      <c r="D915" t="s">
        <v>955</v>
      </c>
      <c r="E915">
        <v>111</v>
      </c>
      <c r="F915" t="s">
        <v>734</v>
      </c>
      <c r="G915" t="str">
        <f>IFERROR(VLOOKUP(Logs_Reseau_Part5[[#This Row],[Cell_ID]],Registre_Maintenance_Part[[ID_Antenne]:[Colonne2]],2,FALSE),"")</f>
        <v/>
      </c>
      <c r="H915" t="str">
        <f>IFERROR(VLOOKUP(Logs_Reseau_Part5[[#This Row],[Cell_ID]],Registre_Maintenance_Part[[ID_Antenne]:[Colonne2]],3,FALSE),"")</f>
        <v/>
      </c>
      <c r="I915" t="str">
        <f>IFERROR(VLOOKUP(Logs_Reseau_Part5[[#This Row],[Cell_ID]],Registre_Maintenance_Part[[ID_Antenne]:[Colonne2]],4,FALSE),"")</f>
        <v/>
      </c>
      <c r="J915" t="str">
        <f>IFERROR(VLOOKUP(Logs_Reseau_Part5[[#This Row],[Cell_ID]],Registre_Maintenance_Part[[ID_Antenne]:[Colonne2]],5,FALSE),"")</f>
        <v/>
      </c>
      <c r="K915" t="str">
        <f>IFERROR(VLOOKUP(Logs_Reseau_Part5[[#This Row],[Cell_ID]],Registre_Maintenance_Part[[ID_Antenne]:[Colonne2]],6,FALSE),"")</f>
        <v/>
      </c>
    </row>
    <row r="916" spans="1:11" x14ac:dyDescent="0.3">
      <c r="A916" t="s">
        <v>1167</v>
      </c>
      <c r="B916" s="1">
        <v>45222.55972222222</v>
      </c>
      <c r="C916" s="2">
        <v>45222.55972222222</v>
      </c>
      <c r="D916" t="s">
        <v>1170</v>
      </c>
      <c r="E916">
        <v>26</v>
      </c>
      <c r="F916" t="s">
        <v>739</v>
      </c>
      <c r="G916" t="str">
        <f>IFERROR(VLOOKUP(Logs_Reseau_Part5[[#This Row],[Cell_ID]],Registre_Maintenance_Part[[ID_Antenne]:[Colonne2]],2,FALSE),"")</f>
        <v/>
      </c>
      <c r="H916" t="str">
        <f>IFERROR(VLOOKUP(Logs_Reseau_Part5[[#This Row],[Cell_ID]],Registre_Maintenance_Part[[ID_Antenne]:[Colonne2]],3,FALSE),"")</f>
        <v/>
      </c>
      <c r="I916" t="str">
        <f>IFERROR(VLOOKUP(Logs_Reseau_Part5[[#This Row],[Cell_ID]],Registre_Maintenance_Part[[ID_Antenne]:[Colonne2]],4,FALSE),"")</f>
        <v/>
      </c>
      <c r="J916" t="str">
        <f>IFERROR(VLOOKUP(Logs_Reseau_Part5[[#This Row],[Cell_ID]],Registre_Maintenance_Part[[ID_Antenne]:[Colonne2]],5,FALSE),"")</f>
        <v/>
      </c>
      <c r="K916" t="str">
        <f>IFERROR(VLOOKUP(Logs_Reseau_Part5[[#This Row],[Cell_ID]],Registre_Maintenance_Part[[ID_Antenne]:[Colonne2]],6,FALSE),"")</f>
        <v/>
      </c>
    </row>
    <row r="917" spans="1:11" x14ac:dyDescent="0.3">
      <c r="A917" t="s">
        <v>1026</v>
      </c>
      <c r="B917" s="1">
        <v>45222.602777777778</v>
      </c>
      <c r="C917" s="2">
        <v>45222.602777777778</v>
      </c>
      <c r="D917" t="s">
        <v>1038</v>
      </c>
      <c r="E917">
        <v>53</v>
      </c>
      <c r="F917" t="s">
        <v>737</v>
      </c>
      <c r="G917" t="str">
        <f>IFERROR(VLOOKUP(Logs_Reseau_Part5[[#This Row],[Cell_ID]],Registre_Maintenance_Part[[ID_Antenne]:[Colonne2]],2,FALSE),"")</f>
        <v/>
      </c>
      <c r="H917" t="str">
        <f>IFERROR(VLOOKUP(Logs_Reseau_Part5[[#This Row],[Cell_ID]],Registre_Maintenance_Part[[ID_Antenne]:[Colonne2]],3,FALSE),"")</f>
        <v/>
      </c>
      <c r="I917" t="str">
        <f>IFERROR(VLOOKUP(Logs_Reseau_Part5[[#This Row],[Cell_ID]],Registre_Maintenance_Part[[ID_Antenne]:[Colonne2]],4,FALSE),"")</f>
        <v/>
      </c>
      <c r="J917" t="str">
        <f>IFERROR(VLOOKUP(Logs_Reseau_Part5[[#This Row],[Cell_ID]],Registre_Maintenance_Part[[ID_Antenne]:[Colonne2]],5,FALSE),"")</f>
        <v/>
      </c>
      <c r="K917" t="str">
        <f>IFERROR(VLOOKUP(Logs_Reseau_Part5[[#This Row],[Cell_ID]],Registre_Maintenance_Part[[ID_Antenne]:[Colonne2]],6,FALSE),"")</f>
        <v/>
      </c>
    </row>
    <row r="918" spans="1:11" x14ac:dyDescent="0.3">
      <c r="A918" t="s">
        <v>781</v>
      </c>
      <c r="B918" s="1">
        <v>45222.631249999999</v>
      </c>
      <c r="C918" s="2">
        <v>45222.631249999999</v>
      </c>
      <c r="D918" t="s">
        <v>803</v>
      </c>
      <c r="E918">
        <v>90</v>
      </c>
      <c r="F918" t="s">
        <v>734</v>
      </c>
      <c r="G918" t="str">
        <f>IFERROR(VLOOKUP(Logs_Reseau_Part5[[#This Row],[Cell_ID]],Registre_Maintenance_Part[[ID_Antenne]:[Colonne2]],2,FALSE),"")</f>
        <v/>
      </c>
      <c r="H918" t="str">
        <f>IFERROR(VLOOKUP(Logs_Reseau_Part5[[#This Row],[Cell_ID]],Registre_Maintenance_Part[[ID_Antenne]:[Colonne2]],3,FALSE),"")</f>
        <v/>
      </c>
      <c r="I918" t="str">
        <f>IFERROR(VLOOKUP(Logs_Reseau_Part5[[#This Row],[Cell_ID]],Registre_Maintenance_Part[[ID_Antenne]:[Colonne2]],4,FALSE),"")</f>
        <v/>
      </c>
      <c r="J918" t="str">
        <f>IFERROR(VLOOKUP(Logs_Reseau_Part5[[#This Row],[Cell_ID]],Registre_Maintenance_Part[[ID_Antenne]:[Colonne2]],5,FALSE),"")</f>
        <v/>
      </c>
      <c r="K918" t="str">
        <f>IFERROR(VLOOKUP(Logs_Reseau_Part5[[#This Row],[Cell_ID]],Registre_Maintenance_Part[[ID_Antenne]:[Colonne2]],6,FALSE),"")</f>
        <v/>
      </c>
    </row>
    <row r="919" spans="1:11" x14ac:dyDescent="0.3">
      <c r="A919" t="s">
        <v>1140</v>
      </c>
      <c r="B919" s="1">
        <v>45222.771527777782</v>
      </c>
      <c r="C919" s="2">
        <v>45222.771527777782</v>
      </c>
      <c r="D919" t="s">
        <v>740</v>
      </c>
      <c r="E919">
        <v>53</v>
      </c>
      <c r="F919" t="s">
        <v>739</v>
      </c>
      <c r="G919" t="str">
        <f>IFERROR(VLOOKUP(Logs_Reseau_Part5[[#This Row],[Cell_ID]],Registre_Maintenance_Part[[ID_Antenne]:[Colonne2]],2,FALSE),"")</f>
        <v/>
      </c>
      <c r="H919" t="str">
        <f>IFERROR(VLOOKUP(Logs_Reseau_Part5[[#This Row],[Cell_ID]],Registre_Maintenance_Part[[ID_Antenne]:[Colonne2]],3,FALSE),"")</f>
        <v/>
      </c>
      <c r="I919" t="str">
        <f>IFERROR(VLOOKUP(Logs_Reseau_Part5[[#This Row],[Cell_ID]],Registre_Maintenance_Part[[ID_Antenne]:[Colonne2]],4,FALSE),"")</f>
        <v/>
      </c>
      <c r="J919" t="str">
        <f>IFERROR(VLOOKUP(Logs_Reseau_Part5[[#This Row],[Cell_ID]],Registre_Maintenance_Part[[ID_Antenne]:[Colonne2]],5,FALSE),"")</f>
        <v/>
      </c>
      <c r="K919" t="str">
        <f>IFERROR(VLOOKUP(Logs_Reseau_Part5[[#This Row],[Cell_ID]],Registre_Maintenance_Part[[ID_Antenne]:[Colonne2]],6,FALSE),"")</f>
        <v/>
      </c>
    </row>
    <row r="920" spans="1:11" x14ac:dyDescent="0.3">
      <c r="A920" t="s">
        <v>1332</v>
      </c>
      <c r="B920" s="1">
        <v>45222.879166666673</v>
      </c>
      <c r="C920" s="2">
        <v>45222.879166666673</v>
      </c>
      <c r="D920" t="s">
        <v>806</v>
      </c>
      <c r="E920">
        <v>103</v>
      </c>
      <c r="F920" t="s">
        <v>739</v>
      </c>
      <c r="G920" t="str">
        <f>IFERROR(VLOOKUP(Logs_Reseau_Part5[[#This Row],[Cell_ID]],Registre_Maintenance_Part[[ID_Antenne]:[Colonne2]],2,FALSE),"")</f>
        <v/>
      </c>
      <c r="H920" t="str">
        <f>IFERROR(VLOOKUP(Logs_Reseau_Part5[[#This Row],[Cell_ID]],Registre_Maintenance_Part[[ID_Antenne]:[Colonne2]],3,FALSE),"")</f>
        <v/>
      </c>
      <c r="I920" t="str">
        <f>IFERROR(VLOOKUP(Logs_Reseau_Part5[[#This Row],[Cell_ID]],Registre_Maintenance_Part[[ID_Antenne]:[Colonne2]],4,FALSE),"")</f>
        <v/>
      </c>
      <c r="J920" t="str">
        <f>IFERROR(VLOOKUP(Logs_Reseau_Part5[[#This Row],[Cell_ID]],Registre_Maintenance_Part[[ID_Antenne]:[Colonne2]],5,FALSE),"")</f>
        <v/>
      </c>
      <c r="K920" t="str">
        <f>IFERROR(VLOOKUP(Logs_Reseau_Part5[[#This Row],[Cell_ID]],Registre_Maintenance_Part[[ID_Antenne]:[Colonne2]],6,FALSE),"")</f>
        <v/>
      </c>
    </row>
    <row r="921" spans="1:11" x14ac:dyDescent="0.3">
      <c r="A921" t="s">
        <v>1116</v>
      </c>
      <c r="B921" s="1">
        <v>45222.938194444447</v>
      </c>
      <c r="C921" s="2">
        <v>45222.938194444447</v>
      </c>
      <c r="D921" t="s">
        <v>1139</v>
      </c>
      <c r="E921">
        <v>36</v>
      </c>
      <c r="F921" t="s">
        <v>734</v>
      </c>
      <c r="G921" t="str">
        <f>IFERROR(VLOOKUP(Logs_Reseau_Part5[[#This Row],[Cell_ID]],Registre_Maintenance_Part[[ID_Antenne]:[Colonne2]],2,FALSE),"")</f>
        <v/>
      </c>
      <c r="H921" t="str">
        <f>IFERROR(VLOOKUP(Logs_Reseau_Part5[[#This Row],[Cell_ID]],Registre_Maintenance_Part[[ID_Antenne]:[Colonne2]],3,FALSE),"")</f>
        <v/>
      </c>
      <c r="I921" t="str">
        <f>IFERROR(VLOOKUP(Logs_Reseau_Part5[[#This Row],[Cell_ID]],Registre_Maintenance_Part[[ID_Antenne]:[Colonne2]],4,FALSE),"")</f>
        <v/>
      </c>
      <c r="J921" t="str">
        <f>IFERROR(VLOOKUP(Logs_Reseau_Part5[[#This Row],[Cell_ID]],Registre_Maintenance_Part[[ID_Antenne]:[Colonne2]],5,FALSE),"")</f>
        <v/>
      </c>
      <c r="K921" t="str">
        <f>IFERROR(VLOOKUP(Logs_Reseau_Part5[[#This Row],[Cell_ID]],Registre_Maintenance_Part[[ID_Antenne]:[Colonne2]],6,FALSE),"")</f>
        <v/>
      </c>
    </row>
    <row r="922" spans="1:11" x14ac:dyDescent="0.3">
      <c r="A922" t="s">
        <v>1088</v>
      </c>
      <c r="B922" s="1">
        <v>45222.944444444453</v>
      </c>
      <c r="C922" s="2">
        <v>45222.944444444453</v>
      </c>
      <c r="D922" t="s">
        <v>948</v>
      </c>
      <c r="E922">
        <v>87</v>
      </c>
      <c r="F922" t="s">
        <v>737</v>
      </c>
      <c r="G922" t="str">
        <f>IFERROR(VLOOKUP(Logs_Reseau_Part5[[#This Row],[Cell_ID]],Registre_Maintenance_Part[[ID_Antenne]:[Colonne2]],2,FALSE),"")</f>
        <v/>
      </c>
      <c r="H922" t="str">
        <f>IFERROR(VLOOKUP(Logs_Reseau_Part5[[#This Row],[Cell_ID]],Registre_Maintenance_Part[[ID_Antenne]:[Colonne2]],3,FALSE),"")</f>
        <v/>
      </c>
      <c r="I922" t="str">
        <f>IFERROR(VLOOKUP(Logs_Reseau_Part5[[#This Row],[Cell_ID]],Registre_Maintenance_Part[[ID_Antenne]:[Colonne2]],4,FALSE),"")</f>
        <v/>
      </c>
      <c r="J922" t="str">
        <f>IFERROR(VLOOKUP(Logs_Reseau_Part5[[#This Row],[Cell_ID]],Registre_Maintenance_Part[[ID_Antenne]:[Colonne2]],5,FALSE),"")</f>
        <v/>
      </c>
      <c r="K922" t="str">
        <f>IFERROR(VLOOKUP(Logs_Reseau_Part5[[#This Row],[Cell_ID]],Registre_Maintenance_Part[[ID_Antenne]:[Colonne2]],6,FALSE),"")</f>
        <v/>
      </c>
    </row>
    <row r="923" spans="1:11" x14ac:dyDescent="0.3">
      <c r="A923" t="s">
        <v>1310</v>
      </c>
      <c r="B923" s="1">
        <v>45223.030555555553</v>
      </c>
      <c r="C923" s="2">
        <v>45223.030555555553</v>
      </c>
      <c r="D923" t="s">
        <v>1312</v>
      </c>
      <c r="E923">
        <v>59</v>
      </c>
      <c r="F923" t="s">
        <v>734</v>
      </c>
      <c r="G923" t="str">
        <f>IFERROR(VLOOKUP(Logs_Reseau_Part5[[#This Row],[Cell_ID]],Registre_Maintenance_Part[[ID_Antenne]:[Colonne2]],2,FALSE),"")</f>
        <v/>
      </c>
      <c r="H923" t="str">
        <f>IFERROR(VLOOKUP(Logs_Reseau_Part5[[#This Row],[Cell_ID]],Registre_Maintenance_Part[[ID_Antenne]:[Colonne2]],3,FALSE),"")</f>
        <v/>
      </c>
      <c r="I923" t="str">
        <f>IFERROR(VLOOKUP(Logs_Reseau_Part5[[#This Row],[Cell_ID]],Registre_Maintenance_Part[[ID_Antenne]:[Colonne2]],4,FALSE),"")</f>
        <v/>
      </c>
      <c r="J923" t="str">
        <f>IFERROR(VLOOKUP(Logs_Reseau_Part5[[#This Row],[Cell_ID]],Registre_Maintenance_Part[[ID_Antenne]:[Colonne2]],5,FALSE),"")</f>
        <v/>
      </c>
      <c r="K923" t="str">
        <f>IFERROR(VLOOKUP(Logs_Reseau_Part5[[#This Row],[Cell_ID]],Registre_Maintenance_Part[[ID_Antenne]:[Colonne2]],6,FALSE),"")</f>
        <v/>
      </c>
    </row>
    <row r="924" spans="1:11" x14ac:dyDescent="0.3">
      <c r="A924" t="s">
        <v>941</v>
      </c>
      <c r="B924" s="1">
        <v>45223.102083333331</v>
      </c>
      <c r="C924" s="2">
        <v>45223.102083333331</v>
      </c>
      <c r="D924" t="s">
        <v>962</v>
      </c>
      <c r="E924">
        <v>104</v>
      </c>
      <c r="F924" t="s">
        <v>737</v>
      </c>
      <c r="G924" t="str">
        <f>IFERROR(VLOOKUP(Logs_Reseau_Part5[[#This Row],[Cell_ID]],Registre_Maintenance_Part[[ID_Antenne]:[Colonne2]],2,FALSE),"")</f>
        <v/>
      </c>
      <c r="H924" t="str">
        <f>IFERROR(VLOOKUP(Logs_Reseau_Part5[[#This Row],[Cell_ID]],Registre_Maintenance_Part[[ID_Antenne]:[Colonne2]],3,FALSE),"")</f>
        <v/>
      </c>
      <c r="I924" t="str">
        <f>IFERROR(VLOOKUP(Logs_Reseau_Part5[[#This Row],[Cell_ID]],Registre_Maintenance_Part[[ID_Antenne]:[Colonne2]],4,FALSE),"")</f>
        <v/>
      </c>
      <c r="J924" t="str">
        <f>IFERROR(VLOOKUP(Logs_Reseau_Part5[[#This Row],[Cell_ID]],Registre_Maintenance_Part[[ID_Antenne]:[Colonne2]],5,FALSE),"")</f>
        <v/>
      </c>
      <c r="K924" t="str">
        <f>IFERROR(VLOOKUP(Logs_Reseau_Part5[[#This Row],[Cell_ID]],Registre_Maintenance_Part[[ID_Antenne]:[Colonne2]],6,FALSE),"")</f>
        <v/>
      </c>
    </row>
    <row r="925" spans="1:11" x14ac:dyDescent="0.3">
      <c r="A925" t="s">
        <v>941</v>
      </c>
      <c r="B925" s="1">
        <v>45223.18472222222</v>
      </c>
      <c r="C925" s="2">
        <v>45223.18472222222</v>
      </c>
      <c r="D925" t="s">
        <v>951</v>
      </c>
      <c r="E925">
        <v>42</v>
      </c>
      <c r="F925" t="s">
        <v>737</v>
      </c>
      <c r="G925" t="str">
        <f>IFERROR(VLOOKUP(Logs_Reseau_Part5[[#This Row],[Cell_ID]],Registre_Maintenance_Part[[ID_Antenne]:[Colonne2]],2,FALSE),"")</f>
        <v/>
      </c>
      <c r="H925" t="str">
        <f>IFERROR(VLOOKUP(Logs_Reseau_Part5[[#This Row],[Cell_ID]],Registre_Maintenance_Part[[ID_Antenne]:[Colonne2]],3,FALSE),"")</f>
        <v/>
      </c>
      <c r="I925" t="str">
        <f>IFERROR(VLOOKUP(Logs_Reseau_Part5[[#This Row],[Cell_ID]],Registre_Maintenance_Part[[ID_Antenne]:[Colonne2]],4,FALSE),"")</f>
        <v/>
      </c>
      <c r="J925" t="str">
        <f>IFERROR(VLOOKUP(Logs_Reseau_Part5[[#This Row],[Cell_ID]],Registre_Maintenance_Part[[ID_Antenne]:[Colonne2]],5,FALSE),"")</f>
        <v/>
      </c>
      <c r="K925" t="str">
        <f>IFERROR(VLOOKUP(Logs_Reseau_Part5[[#This Row],[Cell_ID]],Registre_Maintenance_Part[[ID_Antenne]:[Colonne2]],6,FALSE),"")</f>
        <v/>
      </c>
    </row>
    <row r="926" spans="1:11" x14ac:dyDescent="0.3">
      <c r="A926" t="s">
        <v>1363</v>
      </c>
      <c r="B926" s="1">
        <v>45223.3125</v>
      </c>
      <c r="C926" s="2">
        <v>45223.3125</v>
      </c>
      <c r="D926" t="s">
        <v>1382</v>
      </c>
      <c r="E926">
        <v>62</v>
      </c>
      <c r="F926" t="s">
        <v>734</v>
      </c>
      <c r="G926" t="str">
        <f>IFERROR(VLOOKUP(Logs_Reseau_Part5[[#This Row],[Cell_ID]],Registre_Maintenance_Part[[ID_Antenne]:[Colonne2]],2,FALSE),"")</f>
        <v/>
      </c>
      <c r="H926" t="str">
        <f>IFERROR(VLOOKUP(Logs_Reseau_Part5[[#This Row],[Cell_ID]],Registre_Maintenance_Part[[ID_Antenne]:[Colonne2]],3,FALSE),"")</f>
        <v/>
      </c>
      <c r="I926" t="str">
        <f>IFERROR(VLOOKUP(Logs_Reseau_Part5[[#This Row],[Cell_ID]],Registre_Maintenance_Part[[ID_Antenne]:[Colonne2]],4,FALSE),"")</f>
        <v/>
      </c>
      <c r="J926" t="str">
        <f>IFERROR(VLOOKUP(Logs_Reseau_Part5[[#This Row],[Cell_ID]],Registre_Maintenance_Part[[ID_Antenne]:[Colonne2]],5,FALSE),"")</f>
        <v/>
      </c>
      <c r="K926" t="str">
        <f>IFERROR(VLOOKUP(Logs_Reseau_Part5[[#This Row],[Cell_ID]],Registre_Maintenance_Part[[ID_Antenne]:[Colonne2]],6,FALSE),"")</f>
        <v/>
      </c>
    </row>
    <row r="927" spans="1:11" x14ac:dyDescent="0.3">
      <c r="A927" t="s">
        <v>1263</v>
      </c>
      <c r="B927" s="1">
        <v>45223.365277777782</v>
      </c>
      <c r="C927" s="2">
        <v>45223.365277777782</v>
      </c>
      <c r="D927" t="s">
        <v>1270</v>
      </c>
      <c r="E927">
        <v>104</v>
      </c>
      <c r="F927" t="s">
        <v>737</v>
      </c>
      <c r="G927" t="str">
        <f>IFERROR(VLOOKUP(Logs_Reseau_Part5[[#This Row],[Cell_ID]],Registre_Maintenance_Part[[ID_Antenne]:[Colonne2]],2,FALSE),"")</f>
        <v/>
      </c>
      <c r="H927" t="str">
        <f>IFERROR(VLOOKUP(Logs_Reseau_Part5[[#This Row],[Cell_ID]],Registre_Maintenance_Part[[ID_Antenne]:[Colonne2]],3,FALSE),"")</f>
        <v/>
      </c>
      <c r="I927" t="str">
        <f>IFERROR(VLOOKUP(Logs_Reseau_Part5[[#This Row],[Cell_ID]],Registre_Maintenance_Part[[ID_Antenne]:[Colonne2]],4,FALSE),"")</f>
        <v/>
      </c>
      <c r="J927" t="str">
        <f>IFERROR(VLOOKUP(Logs_Reseau_Part5[[#This Row],[Cell_ID]],Registre_Maintenance_Part[[ID_Antenne]:[Colonne2]],5,FALSE),"")</f>
        <v/>
      </c>
      <c r="K927" t="str">
        <f>IFERROR(VLOOKUP(Logs_Reseau_Part5[[#This Row],[Cell_ID]],Registre_Maintenance_Part[[ID_Antenne]:[Colonne2]],6,FALSE),"")</f>
        <v/>
      </c>
    </row>
    <row r="928" spans="1:11" x14ac:dyDescent="0.3">
      <c r="A928" t="s">
        <v>781</v>
      </c>
      <c r="B928" s="1">
        <v>45223.45208333333</v>
      </c>
      <c r="C928" s="2">
        <v>45223.45208333333</v>
      </c>
      <c r="D928" t="s">
        <v>789</v>
      </c>
      <c r="E928">
        <v>117</v>
      </c>
      <c r="F928" t="s">
        <v>739</v>
      </c>
      <c r="G928" t="str">
        <f>IFERROR(VLOOKUP(Logs_Reseau_Part5[[#This Row],[Cell_ID]],Registre_Maintenance_Part[[ID_Antenne]:[Colonne2]],2,FALSE),"")</f>
        <v/>
      </c>
      <c r="H928" t="str">
        <f>IFERROR(VLOOKUP(Logs_Reseau_Part5[[#This Row],[Cell_ID]],Registre_Maintenance_Part[[ID_Antenne]:[Colonne2]],3,FALSE),"")</f>
        <v/>
      </c>
      <c r="I928" t="str">
        <f>IFERROR(VLOOKUP(Logs_Reseau_Part5[[#This Row],[Cell_ID]],Registre_Maintenance_Part[[ID_Antenne]:[Colonne2]],4,FALSE),"")</f>
        <v/>
      </c>
      <c r="J928" t="str">
        <f>IFERROR(VLOOKUP(Logs_Reseau_Part5[[#This Row],[Cell_ID]],Registre_Maintenance_Part[[ID_Antenne]:[Colonne2]],5,FALSE),"")</f>
        <v/>
      </c>
      <c r="K928" t="str">
        <f>IFERROR(VLOOKUP(Logs_Reseau_Part5[[#This Row],[Cell_ID]],Registre_Maintenance_Part[[ID_Antenne]:[Colonne2]],6,FALSE),"")</f>
        <v/>
      </c>
    </row>
    <row r="929" spans="1:11" x14ac:dyDescent="0.3">
      <c r="A929" t="s">
        <v>1195</v>
      </c>
      <c r="B929" s="1">
        <v>45223.513888888891</v>
      </c>
      <c r="C929" s="2">
        <v>45223.513888888891</v>
      </c>
      <c r="D929" t="s">
        <v>1079</v>
      </c>
      <c r="E929">
        <v>109</v>
      </c>
      <c r="F929" t="s">
        <v>737</v>
      </c>
      <c r="G929" t="str">
        <f>IFERROR(VLOOKUP(Logs_Reseau_Part5[[#This Row],[Cell_ID]],Registre_Maintenance_Part[[ID_Antenne]:[Colonne2]],2,FALSE),"")</f>
        <v/>
      </c>
      <c r="H929" t="str">
        <f>IFERROR(VLOOKUP(Logs_Reseau_Part5[[#This Row],[Cell_ID]],Registre_Maintenance_Part[[ID_Antenne]:[Colonne2]],3,FALSE),"")</f>
        <v/>
      </c>
      <c r="I929" t="str">
        <f>IFERROR(VLOOKUP(Logs_Reseau_Part5[[#This Row],[Cell_ID]],Registre_Maintenance_Part[[ID_Antenne]:[Colonne2]],4,FALSE),"")</f>
        <v/>
      </c>
      <c r="J929" t="str">
        <f>IFERROR(VLOOKUP(Logs_Reseau_Part5[[#This Row],[Cell_ID]],Registre_Maintenance_Part[[ID_Antenne]:[Colonne2]],5,FALSE),"")</f>
        <v/>
      </c>
      <c r="K929" t="str">
        <f>IFERROR(VLOOKUP(Logs_Reseau_Part5[[#This Row],[Cell_ID]],Registre_Maintenance_Part[[ID_Antenne]:[Colonne2]],6,FALSE),"")</f>
        <v/>
      </c>
    </row>
    <row r="930" spans="1:11" x14ac:dyDescent="0.3">
      <c r="A930" t="s">
        <v>1310</v>
      </c>
      <c r="B930" s="1">
        <v>45223.548611111109</v>
      </c>
      <c r="C930" s="2">
        <v>45223.548611111109</v>
      </c>
      <c r="D930" t="s">
        <v>1261</v>
      </c>
      <c r="E930">
        <v>19</v>
      </c>
      <c r="F930" t="s">
        <v>737</v>
      </c>
      <c r="G930" t="str">
        <f>IFERROR(VLOOKUP(Logs_Reseau_Part5[[#This Row],[Cell_ID]],Registre_Maintenance_Part[[ID_Antenne]:[Colonne2]],2,FALSE),"")</f>
        <v/>
      </c>
      <c r="H930" t="str">
        <f>IFERROR(VLOOKUP(Logs_Reseau_Part5[[#This Row],[Cell_ID]],Registre_Maintenance_Part[[ID_Antenne]:[Colonne2]],3,FALSE),"")</f>
        <v/>
      </c>
      <c r="I930" t="str">
        <f>IFERROR(VLOOKUP(Logs_Reseau_Part5[[#This Row],[Cell_ID]],Registre_Maintenance_Part[[ID_Antenne]:[Colonne2]],4,FALSE),"")</f>
        <v/>
      </c>
      <c r="J930" t="str">
        <f>IFERROR(VLOOKUP(Logs_Reseau_Part5[[#This Row],[Cell_ID]],Registre_Maintenance_Part[[ID_Antenne]:[Colonne2]],5,FALSE),"")</f>
        <v/>
      </c>
      <c r="K930" t="str">
        <f>IFERROR(VLOOKUP(Logs_Reseau_Part5[[#This Row],[Cell_ID]],Registre_Maintenance_Part[[ID_Antenne]:[Colonne2]],6,FALSE),"")</f>
        <v/>
      </c>
    </row>
    <row r="931" spans="1:11" x14ac:dyDescent="0.3">
      <c r="A931" t="s">
        <v>1332</v>
      </c>
      <c r="B931" s="1">
        <v>45223.568055555559</v>
      </c>
      <c r="C931" s="2">
        <v>45223.568055555559</v>
      </c>
      <c r="D931" t="s">
        <v>1340</v>
      </c>
      <c r="E931">
        <v>21</v>
      </c>
      <c r="F931" t="s">
        <v>734</v>
      </c>
      <c r="G931" t="str">
        <f>IFERROR(VLOOKUP(Logs_Reseau_Part5[[#This Row],[Cell_ID]],Registre_Maintenance_Part[[ID_Antenne]:[Colonne2]],2,FALSE),"")</f>
        <v/>
      </c>
      <c r="H931" t="str">
        <f>IFERROR(VLOOKUP(Logs_Reseau_Part5[[#This Row],[Cell_ID]],Registre_Maintenance_Part[[ID_Antenne]:[Colonne2]],3,FALSE),"")</f>
        <v/>
      </c>
      <c r="I931" t="str">
        <f>IFERROR(VLOOKUP(Logs_Reseau_Part5[[#This Row],[Cell_ID]],Registre_Maintenance_Part[[ID_Antenne]:[Colonne2]],4,FALSE),"")</f>
        <v/>
      </c>
      <c r="J931" t="str">
        <f>IFERROR(VLOOKUP(Logs_Reseau_Part5[[#This Row],[Cell_ID]],Registre_Maintenance_Part[[ID_Antenne]:[Colonne2]],5,FALSE),"")</f>
        <v/>
      </c>
      <c r="K931" t="str">
        <f>IFERROR(VLOOKUP(Logs_Reseau_Part5[[#This Row],[Cell_ID]],Registre_Maintenance_Part[[ID_Antenne]:[Colonne2]],6,FALSE),"")</f>
        <v/>
      </c>
    </row>
    <row r="932" spans="1:11" x14ac:dyDescent="0.3">
      <c r="A932" t="s">
        <v>1088</v>
      </c>
      <c r="B932" s="1">
        <v>45223.647916666669</v>
      </c>
      <c r="C932" s="2">
        <v>45223.647916666669</v>
      </c>
      <c r="D932" t="s">
        <v>1099</v>
      </c>
      <c r="E932">
        <v>14</v>
      </c>
      <c r="F932" t="s">
        <v>739</v>
      </c>
      <c r="G932" t="str">
        <f>IFERROR(VLOOKUP(Logs_Reseau_Part5[[#This Row],[Cell_ID]],Registre_Maintenance_Part[[ID_Antenne]:[Colonne2]],2,FALSE),"")</f>
        <v/>
      </c>
      <c r="H932" t="str">
        <f>IFERROR(VLOOKUP(Logs_Reseau_Part5[[#This Row],[Cell_ID]],Registre_Maintenance_Part[[ID_Antenne]:[Colonne2]],3,FALSE),"")</f>
        <v/>
      </c>
      <c r="I932" t="str">
        <f>IFERROR(VLOOKUP(Logs_Reseau_Part5[[#This Row],[Cell_ID]],Registre_Maintenance_Part[[ID_Antenne]:[Colonne2]],4,FALSE),"")</f>
        <v/>
      </c>
      <c r="J932" t="str">
        <f>IFERROR(VLOOKUP(Logs_Reseau_Part5[[#This Row],[Cell_ID]],Registre_Maintenance_Part[[ID_Antenne]:[Colonne2]],5,FALSE),"")</f>
        <v/>
      </c>
      <c r="K932" t="str">
        <f>IFERROR(VLOOKUP(Logs_Reseau_Part5[[#This Row],[Cell_ID]],Registre_Maintenance_Part[[ID_Antenne]:[Colonne2]],6,FALSE),"")</f>
        <v/>
      </c>
    </row>
    <row r="933" spans="1:11" x14ac:dyDescent="0.3">
      <c r="A933" t="s">
        <v>1347</v>
      </c>
      <c r="B933" s="1">
        <v>45223.693055555559</v>
      </c>
      <c r="C933" s="2">
        <v>45223.693055555559</v>
      </c>
      <c r="D933" t="s">
        <v>1340</v>
      </c>
      <c r="E933">
        <v>18</v>
      </c>
      <c r="F933" t="s">
        <v>737</v>
      </c>
      <c r="G933" t="str">
        <f>IFERROR(VLOOKUP(Logs_Reseau_Part5[[#This Row],[Cell_ID]],Registre_Maintenance_Part[[ID_Antenne]:[Colonne2]],2,FALSE),"")</f>
        <v/>
      </c>
      <c r="H933" t="str">
        <f>IFERROR(VLOOKUP(Logs_Reseau_Part5[[#This Row],[Cell_ID]],Registre_Maintenance_Part[[ID_Antenne]:[Colonne2]],3,FALSE),"")</f>
        <v/>
      </c>
      <c r="I933" t="str">
        <f>IFERROR(VLOOKUP(Logs_Reseau_Part5[[#This Row],[Cell_ID]],Registre_Maintenance_Part[[ID_Antenne]:[Colonne2]],4,FALSE),"")</f>
        <v/>
      </c>
      <c r="J933" t="str">
        <f>IFERROR(VLOOKUP(Logs_Reseau_Part5[[#This Row],[Cell_ID]],Registre_Maintenance_Part[[ID_Antenne]:[Colonne2]],5,FALSE),"")</f>
        <v/>
      </c>
      <c r="K933" t="str">
        <f>IFERROR(VLOOKUP(Logs_Reseau_Part5[[#This Row],[Cell_ID]],Registre_Maintenance_Part[[ID_Antenne]:[Colonne2]],6,FALSE),"")</f>
        <v/>
      </c>
    </row>
    <row r="934" spans="1:11" x14ac:dyDescent="0.3">
      <c r="A934" t="s">
        <v>781</v>
      </c>
      <c r="B934" s="1">
        <v>45223.710416666669</v>
      </c>
      <c r="C934" s="2">
        <v>45223.710416666669</v>
      </c>
      <c r="D934" t="s">
        <v>806</v>
      </c>
      <c r="E934">
        <v>43</v>
      </c>
      <c r="F934" t="s">
        <v>737</v>
      </c>
      <c r="G934" t="str">
        <f>IFERROR(VLOOKUP(Logs_Reseau_Part5[[#This Row],[Cell_ID]],Registre_Maintenance_Part[[ID_Antenne]:[Colonne2]],2,FALSE),"")</f>
        <v/>
      </c>
      <c r="H934" t="str">
        <f>IFERROR(VLOOKUP(Logs_Reseau_Part5[[#This Row],[Cell_ID]],Registre_Maintenance_Part[[ID_Antenne]:[Colonne2]],3,FALSE),"")</f>
        <v/>
      </c>
      <c r="I934" t="str">
        <f>IFERROR(VLOOKUP(Logs_Reseau_Part5[[#This Row],[Cell_ID]],Registre_Maintenance_Part[[ID_Antenne]:[Colonne2]],4,FALSE),"")</f>
        <v/>
      </c>
      <c r="J934" t="str">
        <f>IFERROR(VLOOKUP(Logs_Reseau_Part5[[#This Row],[Cell_ID]],Registre_Maintenance_Part[[ID_Antenne]:[Colonne2]],5,FALSE),"")</f>
        <v/>
      </c>
      <c r="K934" t="str">
        <f>IFERROR(VLOOKUP(Logs_Reseau_Part5[[#This Row],[Cell_ID]],Registre_Maintenance_Part[[ID_Antenne]:[Colonne2]],6,FALSE),"")</f>
        <v/>
      </c>
    </row>
    <row r="935" spans="1:11" x14ac:dyDescent="0.3">
      <c r="A935" t="s">
        <v>1310</v>
      </c>
      <c r="B935" s="1">
        <v>45223.719444444447</v>
      </c>
      <c r="C935" s="2">
        <v>45223.719444444447</v>
      </c>
      <c r="D935" t="s">
        <v>1035</v>
      </c>
      <c r="E935">
        <v>61</v>
      </c>
      <c r="F935" t="s">
        <v>737</v>
      </c>
      <c r="G935" t="str">
        <f>IFERROR(VLOOKUP(Logs_Reseau_Part5[[#This Row],[Cell_ID]],Registre_Maintenance_Part[[ID_Antenne]:[Colonne2]],2,FALSE),"")</f>
        <v/>
      </c>
      <c r="H935" t="str">
        <f>IFERROR(VLOOKUP(Logs_Reseau_Part5[[#This Row],[Cell_ID]],Registre_Maintenance_Part[[ID_Antenne]:[Colonne2]],3,FALSE),"")</f>
        <v/>
      </c>
      <c r="I935" t="str">
        <f>IFERROR(VLOOKUP(Logs_Reseau_Part5[[#This Row],[Cell_ID]],Registre_Maintenance_Part[[ID_Antenne]:[Colonne2]],4,FALSE),"")</f>
        <v/>
      </c>
      <c r="J935" t="str">
        <f>IFERROR(VLOOKUP(Logs_Reseau_Part5[[#This Row],[Cell_ID]],Registre_Maintenance_Part[[ID_Antenne]:[Colonne2]],5,FALSE),"")</f>
        <v/>
      </c>
      <c r="K935" t="str">
        <f>IFERROR(VLOOKUP(Logs_Reseau_Part5[[#This Row],[Cell_ID]],Registre_Maintenance_Part[[ID_Antenne]:[Colonne2]],6,FALSE),"")</f>
        <v/>
      </c>
    </row>
    <row r="936" spans="1:11" x14ac:dyDescent="0.3">
      <c r="A936" t="s">
        <v>781</v>
      </c>
      <c r="B936" s="1">
        <v>45224.083333333343</v>
      </c>
      <c r="C936" s="2">
        <v>45224.083333333343</v>
      </c>
      <c r="D936" t="s">
        <v>823</v>
      </c>
      <c r="E936">
        <v>31</v>
      </c>
      <c r="F936" t="s">
        <v>734</v>
      </c>
      <c r="G936" t="str">
        <f>IFERROR(VLOOKUP(Logs_Reseau_Part5[[#This Row],[Cell_ID]],Registre_Maintenance_Part[[ID_Antenne]:[Colonne2]],2,FALSE),"")</f>
        <v/>
      </c>
      <c r="H936" t="str">
        <f>IFERROR(VLOOKUP(Logs_Reseau_Part5[[#This Row],[Cell_ID]],Registre_Maintenance_Part[[ID_Antenne]:[Colonne2]],3,FALSE),"")</f>
        <v/>
      </c>
      <c r="I936" t="str">
        <f>IFERROR(VLOOKUP(Logs_Reseau_Part5[[#This Row],[Cell_ID]],Registre_Maintenance_Part[[ID_Antenne]:[Colonne2]],4,FALSE),"")</f>
        <v/>
      </c>
      <c r="J936" t="str">
        <f>IFERROR(VLOOKUP(Logs_Reseau_Part5[[#This Row],[Cell_ID]],Registre_Maintenance_Part[[ID_Antenne]:[Colonne2]],5,FALSE),"")</f>
        <v/>
      </c>
      <c r="K936" t="str">
        <f>IFERROR(VLOOKUP(Logs_Reseau_Part5[[#This Row],[Cell_ID]],Registre_Maintenance_Part[[ID_Antenne]:[Colonne2]],6,FALSE),"")</f>
        <v/>
      </c>
    </row>
    <row r="937" spans="1:11" x14ac:dyDescent="0.3">
      <c r="A937" t="s">
        <v>1263</v>
      </c>
      <c r="B937" s="1">
        <v>45224.164583333331</v>
      </c>
      <c r="C937" s="2">
        <v>45224.164583333331</v>
      </c>
      <c r="D937" t="s">
        <v>1278</v>
      </c>
      <c r="E937">
        <v>57</v>
      </c>
      <c r="F937" t="s">
        <v>737</v>
      </c>
      <c r="G937" t="str">
        <f>IFERROR(VLOOKUP(Logs_Reseau_Part5[[#This Row],[Cell_ID]],Registre_Maintenance_Part[[ID_Antenne]:[Colonne2]],2,FALSE),"")</f>
        <v/>
      </c>
      <c r="H937" t="str">
        <f>IFERROR(VLOOKUP(Logs_Reseau_Part5[[#This Row],[Cell_ID]],Registre_Maintenance_Part[[ID_Antenne]:[Colonne2]],3,FALSE),"")</f>
        <v/>
      </c>
      <c r="I937" t="str">
        <f>IFERROR(VLOOKUP(Logs_Reseau_Part5[[#This Row],[Cell_ID]],Registre_Maintenance_Part[[ID_Antenne]:[Colonne2]],4,FALSE),"")</f>
        <v/>
      </c>
      <c r="J937" t="str">
        <f>IFERROR(VLOOKUP(Logs_Reseau_Part5[[#This Row],[Cell_ID]],Registre_Maintenance_Part[[ID_Antenne]:[Colonne2]],5,FALSE),"")</f>
        <v/>
      </c>
      <c r="K937" t="str">
        <f>IFERROR(VLOOKUP(Logs_Reseau_Part5[[#This Row],[Cell_ID]],Registre_Maintenance_Part[[ID_Antenne]:[Colonne2]],6,FALSE),"")</f>
        <v/>
      </c>
    </row>
    <row r="938" spans="1:11" x14ac:dyDescent="0.3">
      <c r="A938" t="s">
        <v>1406</v>
      </c>
      <c r="B938" s="1">
        <v>45224.288194444453</v>
      </c>
      <c r="C938" s="2">
        <v>45224.288194444453</v>
      </c>
      <c r="D938" t="s">
        <v>1072</v>
      </c>
      <c r="E938">
        <v>116</v>
      </c>
      <c r="F938" t="s">
        <v>739</v>
      </c>
      <c r="G938" t="str">
        <f>IFERROR(VLOOKUP(Logs_Reseau_Part5[[#This Row],[Cell_ID]],Registre_Maintenance_Part[[ID_Antenne]:[Colonne2]],2,FALSE),"")</f>
        <v/>
      </c>
      <c r="H938" t="str">
        <f>IFERROR(VLOOKUP(Logs_Reseau_Part5[[#This Row],[Cell_ID]],Registre_Maintenance_Part[[ID_Antenne]:[Colonne2]],3,FALSE),"")</f>
        <v/>
      </c>
      <c r="I938" t="str">
        <f>IFERROR(VLOOKUP(Logs_Reseau_Part5[[#This Row],[Cell_ID]],Registre_Maintenance_Part[[ID_Antenne]:[Colonne2]],4,FALSE),"")</f>
        <v/>
      </c>
      <c r="J938" t="str">
        <f>IFERROR(VLOOKUP(Logs_Reseau_Part5[[#This Row],[Cell_ID]],Registre_Maintenance_Part[[ID_Antenne]:[Colonne2]],5,FALSE),"")</f>
        <v/>
      </c>
      <c r="K938" t="str">
        <f>IFERROR(VLOOKUP(Logs_Reseau_Part5[[#This Row],[Cell_ID]],Registre_Maintenance_Part[[ID_Antenne]:[Colonne2]],6,FALSE),"")</f>
        <v/>
      </c>
    </row>
    <row r="939" spans="1:11" x14ac:dyDescent="0.3">
      <c r="A939" t="s">
        <v>1290</v>
      </c>
      <c r="B939" s="1">
        <v>45224.297222222223</v>
      </c>
      <c r="C939" s="2">
        <v>45224.297222222223</v>
      </c>
      <c r="D939" t="s">
        <v>1294</v>
      </c>
      <c r="E939">
        <v>12</v>
      </c>
      <c r="F939" t="s">
        <v>739</v>
      </c>
      <c r="G939" t="str">
        <f>IFERROR(VLOOKUP(Logs_Reseau_Part5[[#This Row],[Cell_ID]],Registre_Maintenance_Part[[ID_Antenne]:[Colonne2]],2,FALSE),"")</f>
        <v/>
      </c>
      <c r="H939" t="str">
        <f>IFERROR(VLOOKUP(Logs_Reseau_Part5[[#This Row],[Cell_ID]],Registre_Maintenance_Part[[ID_Antenne]:[Colonne2]],3,FALSE),"")</f>
        <v/>
      </c>
      <c r="I939" t="str">
        <f>IFERROR(VLOOKUP(Logs_Reseau_Part5[[#This Row],[Cell_ID]],Registre_Maintenance_Part[[ID_Antenne]:[Colonne2]],4,FALSE),"")</f>
        <v/>
      </c>
      <c r="J939" t="str">
        <f>IFERROR(VLOOKUP(Logs_Reseau_Part5[[#This Row],[Cell_ID]],Registre_Maintenance_Part[[ID_Antenne]:[Colonne2]],5,FALSE),"")</f>
        <v/>
      </c>
      <c r="K939" t="str">
        <f>IFERROR(VLOOKUP(Logs_Reseau_Part5[[#This Row],[Cell_ID]],Registre_Maintenance_Part[[ID_Antenne]:[Colonne2]],6,FALSE),"")</f>
        <v/>
      </c>
    </row>
    <row r="940" spans="1:11" x14ac:dyDescent="0.3">
      <c r="A940" t="s">
        <v>1243</v>
      </c>
      <c r="B940" s="1">
        <v>45224.310416666667</v>
      </c>
      <c r="C940" s="2">
        <v>45224.310416666667</v>
      </c>
      <c r="D940" t="s">
        <v>1163</v>
      </c>
      <c r="E940">
        <v>98</v>
      </c>
      <c r="F940" t="s">
        <v>737</v>
      </c>
      <c r="G940" t="str">
        <f>IFERROR(VLOOKUP(Logs_Reseau_Part5[[#This Row],[Cell_ID]],Registre_Maintenance_Part[[ID_Antenne]:[Colonne2]],2,FALSE),"")</f>
        <v/>
      </c>
      <c r="H940" t="str">
        <f>IFERROR(VLOOKUP(Logs_Reseau_Part5[[#This Row],[Cell_ID]],Registre_Maintenance_Part[[ID_Antenne]:[Colonne2]],3,FALSE),"")</f>
        <v/>
      </c>
      <c r="I940" t="str">
        <f>IFERROR(VLOOKUP(Logs_Reseau_Part5[[#This Row],[Cell_ID]],Registre_Maintenance_Part[[ID_Antenne]:[Colonne2]],4,FALSE),"")</f>
        <v/>
      </c>
      <c r="J940" t="str">
        <f>IFERROR(VLOOKUP(Logs_Reseau_Part5[[#This Row],[Cell_ID]],Registre_Maintenance_Part[[ID_Antenne]:[Colonne2]],5,FALSE),"")</f>
        <v/>
      </c>
      <c r="K940" t="str">
        <f>IFERROR(VLOOKUP(Logs_Reseau_Part5[[#This Row],[Cell_ID]],Registre_Maintenance_Part[[ID_Antenne]:[Colonne2]],6,FALSE),"")</f>
        <v/>
      </c>
    </row>
    <row r="941" spans="1:11" x14ac:dyDescent="0.3">
      <c r="A941" t="s">
        <v>732</v>
      </c>
      <c r="B941" s="1">
        <v>45224.378472222219</v>
      </c>
      <c r="C941" s="2">
        <v>45224.378472222219</v>
      </c>
      <c r="D941" t="s">
        <v>736</v>
      </c>
      <c r="E941">
        <v>53</v>
      </c>
      <c r="F941" t="s">
        <v>739</v>
      </c>
      <c r="G941" t="str">
        <f>IFERROR(VLOOKUP(Logs_Reseau_Part5[[#This Row],[Cell_ID]],Registre_Maintenance_Part[[ID_Antenne]:[Colonne2]],2,FALSE),"")</f>
        <v/>
      </c>
      <c r="H941" t="str">
        <f>IFERROR(VLOOKUP(Logs_Reseau_Part5[[#This Row],[Cell_ID]],Registre_Maintenance_Part[[ID_Antenne]:[Colonne2]],3,FALSE),"")</f>
        <v/>
      </c>
      <c r="I941" t="str">
        <f>IFERROR(VLOOKUP(Logs_Reseau_Part5[[#This Row],[Cell_ID]],Registre_Maintenance_Part[[ID_Antenne]:[Colonne2]],4,FALSE),"")</f>
        <v/>
      </c>
      <c r="J941" t="str">
        <f>IFERROR(VLOOKUP(Logs_Reseau_Part5[[#This Row],[Cell_ID]],Registre_Maintenance_Part[[ID_Antenne]:[Colonne2]],5,FALSE),"")</f>
        <v/>
      </c>
      <c r="K941" t="str">
        <f>IFERROR(VLOOKUP(Logs_Reseau_Part5[[#This Row],[Cell_ID]],Registre_Maintenance_Part[[ID_Antenne]:[Colonne2]],6,FALSE),"")</f>
        <v/>
      </c>
    </row>
    <row r="942" spans="1:11" x14ac:dyDescent="0.3">
      <c r="A942" t="s">
        <v>1167</v>
      </c>
      <c r="B942" s="1">
        <v>45224.456944444442</v>
      </c>
      <c r="C942" s="2">
        <v>45224.456944444442</v>
      </c>
      <c r="D942" t="s">
        <v>758</v>
      </c>
      <c r="E942">
        <v>32</v>
      </c>
      <c r="F942" t="s">
        <v>734</v>
      </c>
      <c r="G942" t="str">
        <f>IFERROR(VLOOKUP(Logs_Reseau_Part5[[#This Row],[Cell_ID]],Registre_Maintenance_Part[[ID_Antenne]:[Colonne2]],2,FALSE),"")</f>
        <v/>
      </c>
      <c r="H942" t="str">
        <f>IFERROR(VLOOKUP(Logs_Reseau_Part5[[#This Row],[Cell_ID]],Registre_Maintenance_Part[[ID_Antenne]:[Colonne2]],3,FALSE),"")</f>
        <v/>
      </c>
      <c r="I942" t="str">
        <f>IFERROR(VLOOKUP(Logs_Reseau_Part5[[#This Row],[Cell_ID]],Registre_Maintenance_Part[[ID_Antenne]:[Colonne2]],4,FALSE),"")</f>
        <v/>
      </c>
      <c r="J942" t="str">
        <f>IFERROR(VLOOKUP(Logs_Reseau_Part5[[#This Row],[Cell_ID]],Registre_Maintenance_Part[[ID_Antenne]:[Colonne2]],5,FALSE),"")</f>
        <v/>
      </c>
      <c r="K942" t="str">
        <f>IFERROR(VLOOKUP(Logs_Reseau_Part5[[#This Row],[Cell_ID]],Registre_Maintenance_Part[[ID_Antenne]:[Colonne2]],6,FALSE),"")</f>
        <v/>
      </c>
    </row>
    <row r="943" spans="1:11" x14ac:dyDescent="0.3">
      <c r="A943" t="s">
        <v>863</v>
      </c>
      <c r="B943" s="1">
        <v>45224.552777777782</v>
      </c>
      <c r="C943" s="2">
        <v>45224.552777777782</v>
      </c>
      <c r="D943" t="s">
        <v>876</v>
      </c>
      <c r="E943">
        <v>60</v>
      </c>
      <c r="F943" t="s">
        <v>737</v>
      </c>
      <c r="G943" t="str">
        <f>IFERROR(VLOOKUP(Logs_Reseau_Part5[[#This Row],[Cell_ID]],Registre_Maintenance_Part[[ID_Antenne]:[Colonne2]],2,FALSE),"")</f>
        <v/>
      </c>
      <c r="H943" t="str">
        <f>IFERROR(VLOOKUP(Logs_Reseau_Part5[[#This Row],[Cell_ID]],Registre_Maintenance_Part[[ID_Antenne]:[Colonne2]],3,FALSE),"")</f>
        <v/>
      </c>
      <c r="I943" t="str">
        <f>IFERROR(VLOOKUP(Logs_Reseau_Part5[[#This Row],[Cell_ID]],Registre_Maintenance_Part[[ID_Antenne]:[Colonne2]],4,FALSE),"")</f>
        <v/>
      </c>
      <c r="J943" t="str">
        <f>IFERROR(VLOOKUP(Logs_Reseau_Part5[[#This Row],[Cell_ID]],Registre_Maintenance_Part[[ID_Antenne]:[Colonne2]],5,FALSE),"")</f>
        <v/>
      </c>
      <c r="K943" t="str">
        <f>IFERROR(VLOOKUP(Logs_Reseau_Part5[[#This Row],[Cell_ID]],Registre_Maintenance_Part[[ID_Antenne]:[Colonne2]],6,FALSE),"")</f>
        <v/>
      </c>
    </row>
    <row r="944" spans="1:11" x14ac:dyDescent="0.3">
      <c r="A944" t="s">
        <v>1406</v>
      </c>
      <c r="B944" s="1">
        <v>45224.6</v>
      </c>
      <c r="C944" s="2">
        <v>45224.6</v>
      </c>
      <c r="D944" t="s">
        <v>1414</v>
      </c>
      <c r="E944">
        <v>70</v>
      </c>
      <c r="F944" t="s">
        <v>739</v>
      </c>
      <c r="G944" t="str">
        <f>IFERROR(VLOOKUP(Logs_Reseau_Part5[[#This Row],[Cell_ID]],Registre_Maintenance_Part[[ID_Antenne]:[Colonne2]],2,FALSE),"")</f>
        <v/>
      </c>
      <c r="H944" t="str">
        <f>IFERROR(VLOOKUP(Logs_Reseau_Part5[[#This Row],[Cell_ID]],Registre_Maintenance_Part[[ID_Antenne]:[Colonne2]],3,FALSE),"")</f>
        <v/>
      </c>
      <c r="I944" t="str">
        <f>IFERROR(VLOOKUP(Logs_Reseau_Part5[[#This Row],[Cell_ID]],Registre_Maintenance_Part[[ID_Antenne]:[Colonne2]],4,FALSE),"")</f>
        <v/>
      </c>
      <c r="J944" t="str">
        <f>IFERROR(VLOOKUP(Logs_Reseau_Part5[[#This Row],[Cell_ID]],Registre_Maintenance_Part[[ID_Antenne]:[Colonne2]],5,FALSE),"")</f>
        <v/>
      </c>
      <c r="K944" t="str">
        <f>IFERROR(VLOOKUP(Logs_Reseau_Part5[[#This Row],[Cell_ID]],Registre_Maintenance_Part[[ID_Antenne]:[Colonne2]],6,FALSE),"")</f>
        <v/>
      </c>
    </row>
    <row r="945" spans="1:11" x14ac:dyDescent="0.3">
      <c r="A945" t="s">
        <v>1001</v>
      </c>
      <c r="B945" s="1">
        <v>45224.671527777777</v>
      </c>
      <c r="C945" s="2">
        <v>45224.671527777777</v>
      </c>
      <c r="D945" t="s">
        <v>889</v>
      </c>
      <c r="E945">
        <v>14</v>
      </c>
      <c r="F945" t="s">
        <v>739</v>
      </c>
      <c r="G945" t="str">
        <f>IFERROR(VLOOKUP(Logs_Reseau_Part5[[#This Row],[Cell_ID]],Registre_Maintenance_Part[[ID_Antenne]:[Colonne2]],2,FALSE),"")</f>
        <v/>
      </c>
      <c r="H945" t="str">
        <f>IFERROR(VLOOKUP(Logs_Reseau_Part5[[#This Row],[Cell_ID]],Registre_Maintenance_Part[[ID_Antenne]:[Colonne2]],3,FALSE),"")</f>
        <v/>
      </c>
      <c r="I945" t="str">
        <f>IFERROR(VLOOKUP(Logs_Reseau_Part5[[#This Row],[Cell_ID]],Registre_Maintenance_Part[[ID_Antenne]:[Colonne2]],4,FALSE),"")</f>
        <v/>
      </c>
      <c r="J945" t="str">
        <f>IFERROR(VLOOKUP(Logs_Reseau_Part5[[#This Row],[Cell_ID]],Registre_Maintenance_Part[[ID_Antenne]:[Colonne2]],5,FALSE),"")</f>
        <v/>
      </c>
      <c r="K945" t="str">
        <f>IFERROR(VLOOKUP(Logs_Reseau_Part5[[#This Row],[Cell_ID]],Registre_Maintenance_Part[[ID_Antenne]:[Colonne2]],6,FALSE),"")</f>
        <v/>
      </c>
    </row>
    <row r="946" spans="1:11" x14ac:dyDescent="0.3">
      <c r="A946" t="s">
        <v>904</v>
      </c>
      <c r="B946" s="1">
        <v>45224.683333333327</v>
      </c>
      <c r="C946" s="2">
        <v>45224.683333333327</v>
      </c>
      <c r="D946" t="s">
        <v>915</v>
      </c>
      <c r="E946">
        <v>71</v>
      </c>
      <c r="F946" t="s">
        <v>734</v>
      </c>
      <c r="G946" t="str">
        <f>IFERROR(VLOOKUP(Logs_Reseau_Part5[[#This Row],[Cell_ID]],Registre_Maintenance_Part[[ID_Antenne]:[Colonne2]],2,FALSE),"")</f>
        <v/>
      </c>
      <c r="H946" t="str">
        <f>IFERROR(VLOOKUP(Logs_Reseau_Part5[[#This Row],[Cell_ID]],Registre_Maintenance_Part[[ID_Antenne]:[Colonne2]],3,FALSE),"")</f>
        <v/>
      </c>
      <c r="I946" t="str">
        <f>IFERROR(VLOOKUP(Logs_Reseau_Part5[[#This Row],[Cell_ID]],Registre_Maintenance_Part[[ID_Antenne]:[Colonne2]],4,FALSE),"")</f>
        <v/>
      </c>
      <c r="J946" t="str">
        <f>IFERROR(VLOOKUP(Logs_Reseau_Part5[[#This Row],[Cell_ID]],Registre_Maintenance_Part[[ID_Antenne]:[Colonne2]],5,FALSE),"")</f>
        <v/>
      </c>
      <c r="K946" t="str">
        <f>IFERROR(VLOOKUP(Logs_Reseau_Part5[[#This Row],[Cell_ID]],Registre_Maintenance_Part[[ID_Antenne]:[Colonne2]],6,FALSE),"")</f>
        <v/>
      </c>
    </row>
    <row r="947" spans="1:11" x14ac:dyDescent="0.3">
      <c r="A947" t="s">
        <v>1384</v>
      </c>
      <c r="B947" s="1">
        <v>45224.709722222222</v>
      </c>
      <c r="C947" s="2">
        <v>45224.709722222222</v>
      </c>
      <c r="D947" t="s">
        <v>1401</v>
      </c>
      <c r="E947">
        <v>62</v>
      </c>
      <c r="F947" t="s">
        <v>737</v>
      </c>
      <c r="G947" t="str">
        <f>IFERROR(VLOOKUP(Logs_Reseau_Part5[[#This Row],[Cell_ID]],Registre_Maintenance_Part[[ID_Antenne]:[Colonne2]],2,FALSE),"")</f>
        <v/>
      </c>
      <c r="H947" t="str">
        <f>IFERROR(VLOOKUP(Logs_Reseau_Part5[[#This Row],[Cell_ID]],Registre_Maintenance_Part[[ID_Antenne]:[Colonne2]],3,FALSE),"")</f>
        <v/>
      </c>
      <c r="I947" t="str">
        <f>IFERROR(VLOOKUP(Logs_Reseau_Part5[[#This Row],[Cell_ID]],Registre_Maintenance_Part[[ID_Antenne]:[Colonne2]],4,FALSE),"")</f>
        <v/>
      </c>
      <c r="J947" t="str">
        <f>IFERROR(VLOOKUP(Logs_Reseau_Part5[[#This Row],[Cell_ID]],Registre_Maintenance_Part[[ID_Antenne]:[Colonne2]],5,FALSE),"")</f>
        <v/>
      </c>
      <c r="K947" t="str">
        <f>IFERROR(VLOOKUP(Logs_Reseau_Part5[[#This Row],[Cell_ID]],Registre_Maintenance_Part[[ID_Antenne]:[Colonne2]],6,FALSE),"")</f>
        <v/>
      </c>
    </row>
    <row r="948" spans="1:11" x14ac:dyDescent="0.3">
      <c r="A948" t="s">
        <v>1195</v>
      </c>
      <c r="B948" s="1">
        <v>45224.818055555559</v>
      </c>
      <c r="C948" s="2">
        <v>45224.818055555559</v>
      </c>
      <c r="D948" t="s">
        <v>956</v>
      </c>
      <c r="E948">
        <v>5</v>
      </c>
      <c r="F948" t="s">
        <v>739</v>
      </c>
      <c r="G948" t="str">
        <f>IFERROR(VLOOKUP(Logs_Reseau_Part5[[#This Row],[Cell_ID]],Registre_Maintenance_Part[[ID_Antenne]:[Colonne2]],2,FALSE),"")</f>
        <v/>
      </c>
      <c r="H948" t="str">
        <f>IFERROR(VLOOKUP(Logs_Reseau_Part5[[#This Row],[Cell_ID]],Registre_Maintenance_Part[[ID_Antenne]:[Colonne2]],3,FALSE),"")</f>
        <v/>
      </c>
      <c r="I948" t="str">
        <f>IFERROR(VLOOKUP(Logs_Reseau_Part5[[#This Row],[Cell_ID]],Registre_Maintenance_Part[[ID_Antenne]:[Colonne2]],4,FALSE),"")</f>
        <v/>
      </c>
      <c r="J948" t="str">
        <f>IFERROR(VLOOKUP(Logs_Reseau_Part5[[#This Row],[Cell_ID]],Registre_Maintenance_Part[[ID_Antenne]:[Colonne2]],5,FALSE),"")</f>
        <v/>
      </c>
      <c r="K948" t="str">
        <f>IFERROR(VLOOKUP(Logs_Reseau_Part5[[#This Row],[Cell_ID]],Registre_Maintenance_Part[[ID_Antenne]:[Colonne2]],6,FALSE),"")</f>
        <v/>
      </c>
    </row>
    <row r="949" spans="1:11" x14ac:dyDescent="0.3">
      <c r="A949" t="s">
        <v>1116</v>
      </c>
      <c r="B949" s="1">
        <v>45224.831944444442</v>
      </c>
      <c r="C949" s="2">
        <v>45224.831944444442</v>
      </c>
      <c r="D949" t="s">
        <v>1131</v>
      </c>
      <c r="E949">
        <v>100</v>
      </c>
      <c r="F949" t="s">
        <v>734</v>
      </c>
      <c r="G949" t="str">
        <f>IFERROR(VLOOKUP(Logs_Reseau_Part5[[#This Row],[Cell_ID]],Registre_Maintenance_Part[[ID_Antenne]:[Colonne2]],2,FALSE),"")</f>
        <v/>
      </c>
      <c r="H949" t="str">
        <f>IFERROR(VLOOKUP(Logs_Reseau_Part5[[#This Row],[Cell_ID]],Registre_Maintenance_Part[[ID_Antenne]:[Colonne2]],3,FALSE),"")</f>
        <v/>
      </c>
      <c r="I949" t="str">
        <f>IFERROR(VLOOKUP(Logs_Reseau_Part5[[#This Row],[Cell_ID]],Registre_Maintenance_Part[[ID_Antenne]:[Colonne2]],4,FALSE),"")</f>
        <v/>
      </c>
      <c r="J949" t="str">
        <f>IFERROR(VLOOKUP(Logs_Reseau_Part5[[#This Row],[Cell_ID]],Registre_Maintenance_Part[[ID_Antenne]:[Colonne2]],5,FALSE),"")</f>
        <v/>
      </c>
      <c r="K949" t="str">
        <f>IFERROR(VLOOKUP(Logs_Reseau_Part5[[#This Row],[Cell_ID]],Registre_Maintenance_Part[[ID_Antenne]:[Colonne2]],6,FALSE),"")</f>
        <v/>
      </c>
    </row>
    <row r="950" spans="1:11" x14ac:dyDescent="0.3">
      <c r="A950" t="s">
        <v>1310</v>
      </c>
      <c r="B950" s="1">
        <v>45224.884722222218</v>
      </c>
      <c r="C950" s="2">
        <v>45224.884722222218</v>
      </c>
      <c r="D950" t="s">
        <v>1321</v>
      </c>
      <c r="E950">
        <v>119</v>
      </c>
      <c r="F950" t="s">
        <v>737</v>
      </c>
      <c r="G950" t="str">
        <f>IFERROR(VLOOKUP(Logs_Reseau_Part5[[#This Row],[Cell_ID]],Registre_Maintenance_Part[[ID_Antenne]:[Colonne2]],2,FALSE),"")</f>
        <v/>
      </c>
      <c r="H950" t="str">
        <f>IFERROR(VLOOKUP(Logs_Reseau_Part5[[#This Row],[Cell_ID]],Registre_Maintenance_Part[[ID_Antenne]:[Colonne2]],3,FALSE),"")</f>
        <v/>
      </c>
      <c r="I950" t="str">
        <f>IFERROR(VLOOKUP(Logs_Reseau_Part5[[#This Row],[Cell_ID]],Registre_Maintenance_Part[[ID_Antenne]:[Colonne2]],4,FALSE),"")</f>
        <v/>
      </c>
      <c r="J950" t="str">
        <f>IFERROR(VLOOKUP(Logs_Reseau_Part5[[#This Row],[Cell_ID]],Registre_Maintenance_Part[[ID_Antenne]:[Colonne2]],5,FALSE),"")</f>
        <v/>
      </c>
      <c r="K950" t="str">
        <f>IFERROR(VLOOKUP(Logs_Reseau_Part5[[#This Row],[Cell_ID]],Registre_Maintenance_Part[[ID_Antenne]:[Colonne2]],6,FALSE),"")</f>
        <v/>
      </c>
    </row>
    <row r="951" spans="1:11" x14ac:dyDescent="0.3">
      <c r="A951" t="s">
        <v>1243</v>
      </c>
      <c r="B951" s="1">
        <v>45224.961805555547</v>
      </c>
      <c r="C951" s="2">
        <v>45224.961805555547</v>
      </c>
      <c r="D951" t="s">
        <v>1207</v>
      </c>
      <c r="E951">
        <v>83</v>
      </c>
      <c r="F951" t="s">
        <v>739</v>
      </c>
      <c r="G951" t="str">
        <f>IFERROR(VLOOKUP(Logs_Reseau_Part5[[#This Row],[Cell_ID]],Registre_Maintenance_Part[[ID_Antenne]:[Colonne2]],2,FALSE),"")</f>
        <v/>
      </c>
      <c r="H951" t="str">
        <f>IFERROR(VLOOKUP(Logs_Reseau_Part5[[#This Row],[Cell_ID]],Registre_Maintenance_Part[[ID_Antenne]:[Colonne2]],3,FALSE),"")</f>
        <v/>
      </c>
      <c r="I951" t="str">
        <f>IFERROR(VLOOKUP(Logs_Reseau_Part5[[#This Row],[Cell_ID]],Registre_Maintenance_Part[[ID_Antenne]:[Colonne2]],4,FALSE),"")</f>
        <v/>
      </c>
      <c r="J951" t="str">
        <f>IFERROR(VLOOKUP(Logs_Reseau_Part5[[#This Row],[Cell_ID]],Registre_Maintenance_Part[[ID_Antenne]:[Colonne2]],5,FALSE),"")</f>
        <v/>
      </c>
      <c r="K951" t="str">
        <f>IFERROR(VLOOKUP(Logs_Reseau_Part5[[#This Row],[Cell_ID]],Registre_Maintenance_Part[[ID_Antenne]:[Colonne2]],6,FALSE),"")</f>
        <v/>
      </c>
    </row>
    <row r="952" spans="1:11" x14ac:dyDescent="0.3">
      <c r="A952" t="s">
        <v>1195</v>
      </c>
      <c r="B952" s="1">
        <v>45224.963888888888</v>
      </c>
      <c r="C952" s="2">
        <v>45224.963888888888</v>
      </c>
      <c r="D952" t="s">
        <v>1196</v>
      </c>
      <c r="E952">
        <v>83</v>
      </c>
      <c r="F952" t="s">
        <v>737</v>
      </c>
      <c r="G952" t="str">
        <f>IFERROR(VLOOKUP(Logs_Reseau_Part5[[#This Row],[Cell_ID]],Registre_Maintenance_Part[[ID_Antenne]:[Colonne2]],2,FALSE),"")</f>
        <v/>
      </c>
      <c r="H952" t="str">
        <f>IFERROR(VLOOKUP(Logs_Reseau_Part5[[#This Row],[Cell_ID]],Registre_Maintenance_Part[[ID_Antenne]:[Colonne2]],3,FALSE),"")</f>
        <v/>
      </c>
      <c r="I952" t="str">
        <f>IFERROR(VLOOKUP(Logs_Reseau_Part5[[#This Row],[Cell_ID]],Registre_Maintenance_Part[[ID_Antenne]:[Colonne2]],4,FALSE),"")</f>
        <v/>
      </c>
      <c r="J952" t="str">
        <f>IFERROR(VLOOKUP(Logs_Reseau_Part5[[#This Row],[Cell_ID]],Registre_Maintenance_Part[[ID_Antenne]:[Colonne2]],5,FALSE),"")</f>
        <v/>
      </c>
      <c r="K952" t="str">
        <f>IFERROR(VLOOKUP(Logs_Reseau_Part5[[#This Row],[Cell_ID]],Registre_Maintenance_Part[[ID_Antenne]:[Colonne2]],6,FALSE),"")</f>
        <v/>
      </c>
    </row>
    <row r="953" spans="1:11" x14ac:dyDescent="0.3">
      <c r="A953" t="s">
        <v>1406</v>
      </c>
      <c r="B953" s="1">
        <v>45224.984027777777</v>
      </c>
      <c r="C953" s="2">
        <v>45224.984027777777</v>
      </c>
      <c r="D953" t="s">
        <v>1410</v>
      </c>
      <c r="E953">
        <v>49</v>
      </c>
      <c r="F953" t="s">
        <v>734</v>
      </c>
      <c r="G953" t="str">
        <f>IFERROR(VLOOKUP(Logs_Reseau_Part5[[#This Row],[Cell_ID]],Registre_Maintenance_Part[[ID_Antenne]:[Colonne2]],2,FALSE),"")</f>
        <v/>
      </c>
      <c r="H953" t="str">
        <f>IFERROR(VLOOKUP(Logs_Reseau_Part5[[#This Row],[Cell_ID]],Registre_Maintenance_Part[[ID_Antenne]:[Colonne2]],3,FALSE),"")</f>
        <v/>
      </c>
      <c r="I953" t="str">
        <f>IFERROR(VLOOKUP(Logs_Reseau_Part5[[#This Row],[Cell_ID]],Registre_Maintenance_Part[[ID_Antenne]:[Colonne2]],4,FALSE),"")</f>
        <v/>
      </c>
      <c r="J953" t="str">
        <f>IFERROR(VLOOKUP(Logs_Reseau_Part5[[#This Row],[Cell_ID]],Registre_Maintenance_Part[[ID_Antenne]:[Colonne2]],5,FALSE),"")</f>
        <v/>
      </c>
      <c r="K953" t="str">
        <f>IFERROR(VLOOKUP(Logs_Reseau_Part5[[#This Row],[Cell_ID]],Registre_Maintenance_Part[[ID_Antenne]:[Colonne2]],6,FALSE),"")</f>
        <v/>
      </c>
    </row>
    <row r="954" spans="1:11" x14ac:dyDescent="0.3">
      <c r="A954" t="s">
        <v>1116</v>
      </c>
      <c r="B954" s="1">
        <v>45224.988194444442</v>
      </c>
      <c r="C954" s="2">
        <v>45224.988194444442</v>
      </c>
      <c r="D954" t="s">
        <v>788</v>
      </c>
      <c r="E954">
        <v>39</v>
      </c>
      <c r="F954" t="s">
        <v>734</v>
      </c>
      <c r="G954" t="str">
        <f>IFERROR(VLOOKUP(Logs_Reseau_Part5[[#This Row],[Cell_ID]],Registre_Maintenance_Part[[ID_Antenne]:[Colonne2]],2,FALSE),"")</f>
        <v/>
      </c>
      <c r="H954" t="str">
        <f>IFERROR(VLOOKUP(Logs_Reseau_Part5[[#This Row],[Cell_ID]],Registre_Maintenance_Part[[ID_Antenne]:[Colonne2]],3,FALSE),"")</f>
        <v/>
      </c>
      <c r="I954" t="str">
        <f>IFERROR(VLOOKUP(Logs_Reseau_Part5[[#This Row],[Cell_ID]],Registre_Maintenance_Part[[ID_Antenne]:[Colonne2]],4,FALSE),"")</f>
        <v/>
      </c>
      <c r="J954" t="str">
        <f>IFERROR(VLOOKUP(Logs_Reseau_Part5[[#This Row],[Cell_ID]],Registre_Maintenance_Part[[ID_Antenne]:[Colonne2]],5,FALSE),"")</f>
        <v/>
      </c>
      <c r="K954" t="str">
        <f>IFERROR(VLOOKUP(Logs_Reseau_Part5[[#This Row],[Cell_ID]],Registre_Maintenance_Part[[ID_Antenne]:[Colonne2]],6,FALSE),"")</f>
        <v/>
      </c>
    </row>
    <row r="955" spans="1:11" x14ac:dyDescent="0.3">
      <c r="A955" t="s">
        <v>1310</v>
      </c>
      <c r="B955" s="1">
        <v>45225.054166666669</v>
      </c>
      <c r="C955" s="2">
        <v>45225.054166666669</v>
      </c>
      <c r="D955" t="s">
        <v>1323</v>
      </c>
      <c r="E955">
        <v>38</v>
      </c>
      <c r="F955" t="s">
        <v>739</v>
      </c>
      <c r="G955" t="str">
        <f>IFERROR(VLOOKUP(Logs_Reseau_Part5[[#This Row],[Cell_ID]],Registre_Maintenance_Part[[ID_Antenne]:[Colonne2]],2,FALSE),"")</f>
        <v/>
      </c>
      <c r="H955" t="str">
        <f>IFERROR(VLOOKUP(Logs_Reseau_Part5[[#This Row],[Cell_ID]],Registre_Maintenance_Part[[ID_Antenne]:[Colonne2]],3,FALSE),"")</f>
        <v/>
      </c>
      <c r="I955" t="str">
        <f>IFERROR(VLOOKUP(Logs_Reseau_Part5[[#This Row],[Cell_ID]],Registre_Maintenance_Part[[ID_Antenne]:[Colonne2]],4,FALSE),"")</f>
        <v/>
      </c>
      <c r="J955" t="str">
        <f>IFERROR(VLOOKUP(Logs_Reseau_Part5[[#This Row],[Cell_ID]],Registre_Maintenance_Part[[ID_Antenne]:[Colonne2]],5,FALSE),"")</f>
        <v/>
      </c>
      <c r="K955" t="str">
        <f>IFERROR(VLOOKUP(Logs_Reseau_Part5[[#This Row],[Cell_ID]],Registre_Maintenance_Part[[ID_Antenne]:[Colonne2]],6,FALSE),"")</f>
        <v/>
      </c>
    </row>
    <row r="956" spans="1:11" x14ac:dyDescent="0.3">
      <c r="A956" t="s">
        <v>1140</v>
      </c>
      <c r="B956" s="1">
        <v>45225.061805555553</v>
      </c>
      <c r="C956" s="2">
        <v>45225.061805555553</v>
      </c>
      <c r="D956" t="s">
        <v>1162</v>
      </c>
      <c r="E956">
        <v>15</v>
      </c>
      <c r="F956" t="s">
        <v>739</v>
      </c>
      <c r="G956" t="str">
        <f>IFERROR(VLOOKUP(Logs_Reseau_Part5[[#This Row],[Cell_ID]],Registre_Maintenance_Part[[ID_Antenne]:[Colonne2]],2,FALSE),"")</f>
        <v/>
      </c>
      <c r="H956" t="str">
        <f>IFERROR(VLOOKUP(Logs_Reseau_Part5[[#This Row],[Cell_ID]],Registre_Maintenance_Part[[ID_Antenne]:[Colonne2]],3,FALSE),"")</f>
        <v/>
      </c>
      <c r="I956" t="str">
        <f>IFERROR(VLOOKUP(Logs_Reseau_Part5[[#This Row],[Cell_ID]],Registre_Maintenance_Part[[ID_Antenne]:[Colonne2]],4,FALSE),"")</f>
        <v/>
      </c>
      <c r="J956" t="str">
        <f>IFERROR(VLOOKUP(Logs_Reseau_Part5[[#This Row],[Cell_ID]],Registre_Maintenance_Part[[ID_Antenne]:[Colonne2]],5,FALSE),"")</f>
        <v/>
      </c>
      <c r="K956" t="str">
        <f>IFERROR(VLOOKUP(Logs_Reseau_Part5[[#This Row],[Cell_ID]],Registre_Maintenance_Part[[ID_Antenne]:[Colonne2]],6,FALSE),"")</f>
        <v/>
      </c>
    </row>
    <row r="957" spans="1:11" x14ac:dyDescent="0.3">
      <c r="A957" t="s">
        <v>1347</v>
      </c>
      <c r="B957" s="1">
        <v>45225.088888888888</v>
      </c>
      <c r="C957" s="2">
        <v>45225.088888888888</v>
      </c>
      <c r="D957" t="s">
        <v>1358</v>
      </c>
      <c r="E957">
        <v>51</v>
      </c>
      <c r="F957" t="s">
        <v>734</v>
      </c>
      <c r="G957" t="str">
        <f>IFERROR(VLOOKUP(Logs_Reseau_Part5[[#This Row],[Cell_ID]],Registre_Maintenance_Part[[ID_Antenne]:[Colonne2]],2,FALSE),"")</f>
        <v/>
      </c>
      <c r="H957" t="str">
        <f>IFERROR(VLOOKUP(Logs_Reseau_Part5[[#This Row],[Cell_ID]],Registre_Maintenance_Part[[ID_Antenne]:[Colonne2]],3,FALSE),"")</f>
        <v/>
      </c>
      <c r="I957" t="str">
        <f>IFERROR(VLOOKUP(Logs_Reseau_Part5[[#This Row],[Cell_ID]],Registre_Maintenance_Part[[ID_Antenne]:[Colonne2]],4,FALSE),"")</f>
        <v/>
      </c>
      <c r="J957" t="str">
        <f>IFERROR(VLOOKUP(Logs_Reseau_Part5[[#This Row],[Cell_ID]],Registre_Maintenance_Part[[ID_Antenne]:[Colonne2]],5,FALSE),"")</f>
        <v/>
      </c>
      <c r="K957" t="str">
        <f>IFERROR(VLOOKUP(Logs_Reseau_Part5[[#This Row],[Cell_ID]],Registre_Maintenance_Part[[ID_Antenne]:[Colonne2]],6,FALSE),"")</f>
        <v/>
      </c>
    </row>
    <row r="958" spans="1:11" x14ac:dyDescent="0.3">
      <c r="A958" t="s">
        <v>1243</v>
      </c>
      <c r="B958" s="1">
        <v>45225.129166666673</v>
      </c>
      <c r="C958" s="2">
        <v>45225.129166666673</v>
      </c>
      <c r="D958" t="s">
        <v>828</v>
      </c>
      <c r="E958">
        <v>36</v>
      </c>
      <c r="F958" t="s">
        <v>739</v>
      </c>
      <c r="G958" t="str">
        <f>IFERROR(VLOOKUP(Logs_Reseau_Part5[[#This Row],[Cell_ID]],Registre_Maintenance_Part[[ID_Antenne]:[Colonne2]],2,FALSE),"")</f>
        <v/>
      </c>
      <c r="H958" t="str">
        <f>IFERROR(VLOOKUP(Logs_Reseau_Part5[[#This Row],[Cell_ID]],Registre_Maintenance_Part[[ID_Antenne]:[Colonne2]],3,FALSE),"")</f>
        <v/>
      </c>
      <c r="I958" t="str">
        <f>IFERROR(VLOOKUP(Logs_Reseau_Part5[[#This Row],[Cell_ID]],Registre_Maintenance_Part[[ID_Antenne]:[Colonne2]],4,FALSE),"")</f>
        <v/>
      </c>
      <c r="J958" t="str">
        <f>IFERROR(VLOOKUP(Logs_Reseau_Part5[[#This Row],[Cell_ID]],Registre_Maintenance_Part[[ID_Antenne]:[Colonne2]],5,FALSE),"")</f>
        <v/>
      </c>
      <c r="K958" t="str">
        <f>IFERROR(VLOOKUP(Logs_Reseau_Part5[[#This Row],[Cell_ID]],Registre_Maintenance_Part[[ID_Antenne]:[Colonne2]],6,FALSE),"")</f>
        <v/>
      </c>
    </row>
    <row r="959" spans="1:11" x14ac:dyDescent="0.3">
      <c r="A959" t="s">
        <v>863</v>
      </c>
      <c r="B959" s="1">
        <v>45225.159722222219</v>
      </c>
      <c r="C959" s="2">
        <v>45225.159722222219</v>
      </c>
      <c r="D959" t="s">
        <v>896</v>
      </c>
      <c r="E959">
        <v>113</v>
      </c>
      <c r="F959" t="s">
        <v>734</v>
      </c>
      <c r="G959" t="str">
        <f>IFERROR(VLOOKUP(Logs_Reseau_Part5[[#This Row],[Cell_ID]],Registre_Maintenance_Part[[ID_Antenne]:[Colonne2]],2,FALSE),"")</f>
        <v/>
      </c>
      <c r="H959" t="str">
        <f>IFERROR(VLOOKUP(Logs_Reseau_Part5[[#This Row],[Cell_ID]],Registre_Maintenance_Part[[ID_Antenne]:[Colonne2]],3,FALSE),"")</f>
        <v/>
      </c>
      <c r="I959" t="str">
        <f>IFERROR(VLOOKUP(Logs_Reseau_Part5[[#This Row],[Cell_ID]],Registre_Maintenance_Part[[ID_Antenne]:[Colonne2]],4,FALSE),"")</f>
        <v/>
      </c>
      <c r="J959" t="str">
        <f>IFERROR(VLOOKUP(Logs_Reseau_Part5[[#This Row],[Cell_ID]],Registre_Maintenance_Part[[ID_Antenne]:[Colonne2]],5,FALSE),"")</f>
        <v/>
      </c>
      <c r="K959" t="str">
        <f>IFERROR(VLOOKUP(Logs_Reseau_Part5[[#This Row],[Cell_ID]],Registre_Maintenance_Part[[ID_Antenne]:[Colonne2]],6,FALSE),"")</f>
        <v/>
      </c>
    </row>
    <row r="960" spans="1:11" x14ac:dyDescent="0.3">
      <c r="A960" t="s">
        <v>1088</v>
      </c>
      <c r="B960" s="1">
        <v>45225.177083333343</v>
      </c>
      <c r="C960" s="2">
        <v>45225.177083333343</v>
      </c>
      <c r="D960" t="s">
        <v>1093</v>
      </c>
      <c r="E960">
        <v>36</v>
      </c>
      <c r="F960" t="s">
        <v>739</v>
      </c>
      <c r="G960" t="str">
        <f>IFERROR(VLOOKUP(Logs_Reseau_Part5[[#This Row],[Cell_ID]],Registre_Maintenance_Part[[ID_Antenne]:[Colonne2]],2,FALSE),"")</f>
        <v/>
      </c>
      <c r="H960" t="str">
        <f>IFERROR(VLOOKUP(Logs_Reseau_Part5[[#This Row],[Cell_ID]],Registre_Maintenance_Part[[ID_Antenne]:[Colonne2]],3,FALSE),"")</f>
        <v/>
      </c>
      <c r="I960" t="str">
        <f>IFERROR(VLOOKUP(Logs_Reseau_Part5[[#This Row],[Cell_ID]],Registre_Maintenance_Part[[ID_Antenne]:[Colonne2]],4,FALSE),"")</f>
        <v/>
      </c>
      <c r="J960" t="str">
        <f>IFERROR(VLOOKUP(Logs_Reseau_Part5[[#This Row],[Cell_ID]],Registre_Maintenance_Part[[ID_Antenne]:[Colonne2]],5,FALSE),"")</f>
        <v/>
      </c>
      <c r="K960" t="str">
        <f>IFERROR(VLOOKUP(Logs_Reseau_Part5[[#This Row],[Cell_ID]],Registre_Maintenance_Part[[ID_Antenne]:[Colonne2]],6,FALSE),"")</f>
        <v/>
      </c>
    </row>
    <row r="961" spans="1:11" x14ac:dyDescent="0.3">
      <c r="A961" t="s">
        <v>1332</v>
      </c>
      <c r="B961" s="1">
        <v>45225.211111111108</v>
      </c>
      <c r="C961" s="2">
        <v>45225.211111111108</v>
      </c>
      <c r="D961" t="s">
        <v>1342</v>
      </c>
      <c r="E961">
        <v>33</v>
      </c>
      <c r="F961" t="s">
        <v>737</v>
      </c>
      <c r="G961" t="str">
        <f>IFERROR(VLOOKUP(Logs_Reseau_Part5[[#This Row],[Cell_ID]],Registre_Maintenance_Part[[ID_Antenne]:[Colonne2]],2,FALSE),"")</f>
        <v/>
      </c>
      <c r="H961" t="str">
        <f>IFERROR(VLOOKUP(Logs_Reseau_Part5[[#This Row],[Cell_ID]],Registre_Maintenance_Part[[ID_Antenne]:[Colonne2]],3,FALSE),"")</f>
        <v/>
      </c>
      <c r="I961" t="str">
        <f>IFERROR(VLOOKUP(Logs_Reseau_Part5[[#This Row],[Cell_ID]],Registre_Maintenance_Part[[ID_Antenne]:[Colonne2]],4,FALSE),"")</f>
        <v/>
      </c>
      <c r="J961" t="str">
        <f>IFERROR(VLOOKUP(Logs_Reseau_Part5[[#This Row],[Cell_ID]],Registre_Maintenance_Part[[ID_Antenne]:[Colonne2]],5,FALSE),"")</f>
        <v/>
      </c>
      <c r="K961" t="str">
        <f>IFERROR(VLOOKUP(Logs_Reseau_Part5[[#This Row],[Cell_ID]],Registre_Maintenance_Part[[ID_Antenne]:[Colonne2]],6,FALSE),"")</f>
        <v/>
      </c>
    </row>
    <row r="962" spans="1:11" x14ac:dyDescent="0.3">
      <c r="A962" t="s">
        <v>1363</v>
      </c>
      <c r="B962" s="1">
        <v>45225.213194444441</v>
      </c>
      <c r="C962" s="2">
        <v>45225.213194444441</v>
      </c>
      <c r="D962" t="s">
        <v>1369</v>
      </c>
      <c r="E962">
        <v>35</v>
      </c>
      <c r="F962" t="s">
        <v>739</v>
      </c>
      <c r="G962" t="str">
        <f>IFERROR(VLOOKUP(Logs_Reseau_Part5[[#This Row],[Cell_ID]],Registre_Maintenance_Part[[ID_Antenne]:[Colonne2]],2,FALSE),"")</f>
        <v/>
      </c>
      <c r="H962" t="str">
        <f>IFERROR(VLOOKUP(Logs_Reseau_Part5[[#This Row],[Cell_ID]],Registre_Maintenance_Part[[ID_Antenne]:[Colonne2]],3,FALSE),"")</f>
        <v/>
      </c>
      <c r="I962" t="str">
        <f>IFERROR(VLOOKUP(Logs_Reseau_Part5[[#This Row],[Cell_ID]],Registre_Maintenance_Part[[ID_Antenne]:[Colonne2]],4,FALSE),"")</f>
        <v/>
      </c>
      <c r="J962" t="str">
        <f>IFERROR(VLOOKUP(Logs_Reseau_Part5[[#This Row],[Cell_ID]],Registre_Maintenance_Part[[ID_Antenne]:[Colonne2]],5,FALSE),"")</f>
        <v/>
      </c>
      <c r="K962" t="str">
        <f>IFERROR(VLOOKUP(Logs_Reseau_Part5[[#This Row],[Cell_ID]],Registre_Maintenance_Part[[ID_Antenne]:[Colonne2]],6,FALSE),"")</f>
        <v/>
      </c>
    </row>
    <row r="963" spans="1:11" x14ac:dyDescent="0.3">
      <c r="A963" t="s">
        <v>732</v>
      </c>
      <c r="B963" s="1">
        <v>45225.238888888889</v>
      </c>
      <c r="C963" s="2">
        <v>45225.238888888889</v>
      </c>
      <c r="D963" t="s">
        <v>749</v>
      </c>
      <c r="E963">
        <v>16</v>
      </c>
      <c r="F963" t="s">
        <v>737</v>
      </c>
      <c r="G963" t="str">
        <f>IFERROR(VLOOKUP(Logs_Reseau_Part5[[#This Row],[Cell_ID]],Registre_Maintenance_Part[[ID_Antenne]:[Colonne2]],2,FALSE),"")</f>
        <v/>
      </c>
      <c r="H963" t="str">
        <f>IFERROR(VLOOKUP(Logs_Reseau_Part5[[#This Row],[Cell_ID]],Registre_Maintenance_Part[[ID_Antenne]:[Colonne2]],3,FALSE),"")</f>
        <v/>
      </c>
      <c r="I963" t="str">
        <f>IFERROR(VLOOKUP(Logs_Reseau_Part5[[#This Row],[Cell_ID]],Registre_Maintenance_Part[[ID_Antenne]:[Colonne2]],4,FALSE),"")</f>
        <v/>
      </c>
      <c r="J963" t="str">
        <f>IFERROR(VLOOKUP(Logs_Reseau_Part5[[#This Row],[Cell_ID]],Registre_Maintenance_Part[[ID_Antenne]:[Colonne2]],5,FALSE),"")</f>
        <v/>
      </c>
      <c r="K963" t="str">
        <f>IFERROR(VLOOKUP(Logs_Reseau_Part5[[#This Row],[Cell_ID]],Registre_Maintenance_Part[[ID_Antenne]:[Colonne2]],6,FALSE),"")</f>
        <v/>
      </c>
    </row>
    <row r="964" spans="1:11" x14ac:dyDescent="0.3">
      <c r="A964" t="s">
        <v>1195</v>
      </c>
      <c r="B964" s="1">
        <v>45225.322916666657</v>
      </c>
      <c r="C964" s="2">
        <v>45225.322916666657</v>
      </c>
      <c r="D964" t="s">
        <v>1205</v>
      </c>
      <c r="E964">
        <v>47</v>
      </c>
      <c r="F964" t="s">
        <v>739</v>
      </c>
      <c r="G964" t="str">
        <f>IFERROR(VLOOKUP(Logs_Reseau_Part5[[#This Row],[Cell_ID]],Registre_Maintenance_Part[[ID_Antenne]:[Colonne2]],2,FALSE),"")</f>
        <v/>
      </c>
      <c r="H964" t="str">
        <f>IFERROR(VLOOKUP(Logs_Reseau_Part5[[#This Row],[Cell_ID]],Registre_Maintenance_Part[[ID_Antenne]:[Colonne2]],3,FALSE),"")</f>
        <v/>
      </c>
      <c r="I964" t="str">
        <f>IFERROR(VLOOKUP(Logs_Reseau_Part5[[#This Row],[Cell_ID]],Registre_Maintenance_Part[[ID_Antenne]:[Colonne2]],4,FALSE),"")</f>
        <v/>
      </c>
      <c r="J964" t="str">
        <f>IFERROR(VLOOKUP(Logs_Reseau_Part5[[#This Row],[Cell_ID]],Registre_Maintenance_Part[[ID_Antenne]:[Colonne2]],5,FALSE),"")</f>
        <v/>
      </c>
      <c r="K964" t="str">
        <f>IFERROR(VLOOKUP(Logs_Reseau_Part5[[#This Row],[Cell_ID]],Registre_Maintenance_Part[[ID_Antenne]:[Colonne2]],6,FALSE),"")</f>
        <v/>
      </c>
    </row>
    <row r="965" spans="1:11" x14ac:dyDescent="0.3">
      <c r="A965" t="s">
        <v>1384</v>
      </c>
      <c r="B965" s="1">
        <v>45225.384027777778</v>
      </c>
      <c r="C965" s="2">
        <v>45225.384027777778</v>
      </c>
      <c r="D965" t="s">
        <v>1291</v>
      </c>
      <c r="E965">
        <v>42</v>
      </c>
      <c r="F965" t="s">
        <v>734</v>
      </c>
      <c r="G965" t="str">
        <f>IFERROR(VLOOKUP(Logs_Reseau_Part5[[#This Row],[Cell_ID]],Registre_Maintenance_Part[[ID_Antenne]:[Colonne2]],2,FALSE),"")</f>
        <v/>
      </c>
      <c r="H965" t="str">
        <f>IFERROR(VLOOKUP(Logs_Reseau_Part5[[#This Row],[Cell_ID]],Registre_Maintenance_Part[[ID_Antenne]:[Colonne2]],3,FALSE),"")</f>
        <v/>
      </c>
      <c r="I965" t="str">
        <f>IFERROR(VLOOKUP(Logs_Reseau_Part5[[#This Row],[Cell_ID]],Registre_Maintenance_Part[[ID_Antenne]:[Colonne2]],4,FALSE),"")</f>
        <v/>
      </c>
      <c r="J965" t="str">
        <f>IFERROR(VLOOKUP(Logs_Reseau_Part5[[#This Row],[Cell_ID]],Registre_Maintenance_Part[[ID_Antenne]:[Colonne2]],5,FALSE),"")</f>
        <v/>
      </c>
      <c r="K965" t="str">
        <f>IFERROR(VLOOKUP(Logs_Reseau_Part5[[#This Row],[Cell_ID]],Registre_Maintenance_Part[[ID_Antenne]:[Colonne2]],6,FALSE),"")</f>
        <v/>
      </c>
    </row>
    <row r="966" spans="1:11" x14ac:dyDescent="0.3">
      <c r="A966" t="s">
        <v>1221</v>
      </c>
      <c r="B966" s="1">
        <v>45225.415277777778</v>
      </c>
      <c r="C966" s="2">
        <v>45225.415277777778</v>
      </c>
      <c r="D966" t="s">
        <v>1240</v>
      </c>
      <c r="E966">
        <v>15</v>
      </c>
      <c r="F966" t="s">
        <v>734</v>
      </c>
      <c r="G966" t="str">
        <f>IFERROR(VLOOKUP(Logs_Reseau_Part5[[#This Row],[Cell_ID]],Registre_Maintenance_Part[[ID_Antenne]:[Colonne2]],2,FALSE),"")</f>
        <v/>
      </c>
      <c r="H966" t="str">
        <f>IFERROR(VLOOKUP(Logs_Reseau_Part5[[#This Row],[Cell_ID]],Registre_Maintenance_Part[[ID_Antenne]:[Colonne2]],3,FALSE),"")</f>
        <v/>
      </c>
      <c r="I966" t="str">
        <f>IFERROR(VLOOKUP(Logs_Reseau_Part5[[#This Row],[Cell_ID]],Registre_Maintenance_Part[[ID_Antenne]:[Colonne2]],4,FALSE),"")</f>
        <v/>
      </c>
      <c r="J966" t="str">
        <f>IFERROR(VLOOKUP(Logs_Reseau_Part5[[#This Row],[Cell_ID]],Registre_Maintenance_Part[[ID_Antenne]:[Colonne2]],5,FALSE),"")</f>
        <v/>
      </c>
      <c r="K966" t="str">
        <f>IFERROR(VLOOKUP(Logs_Reseau_Part5[[#This Row],[Cell_ID]],Registre_Maintenance_Part[[ID_Antenne]:[Colonne2]],6,FALSE),"")</f>
        <v/>
      </c>
    </row>
    <row r="967" spans="1:11" x14ac:dyDescent="0.3">
      <c r="A967" t="s">
        <v>1347</v>
      </c>
      <c r="B967" s="1">
        <v>45225.432638888888</v>
      </c>
      <c r="C967" s="2">
        <v>45225.432638888888</v>
      </c>
      <c r="D967" t="s">
        <v>906</v>
      </c>
      <c r="E967">
        <v>50</v>
      </c>
      <c r="F967" t="s">
        <v>737</v>
      </c>
      <c r="G967" t="str">
        <f>IFERROR(VLOOKUP(Logs_Reseau_Part5[[#This Row],[Cell_ID]],Registre_Maintenance_Part[[ID_Antenne]:[Colonne2]],2,FALSE),"")</f>
        <v/>
      </c>
      <c r="H967" t="str">
        <f>IFERROR(VLOOKUP(Logs_Reseau_Part5[[#This Row],[Cell_ID]],Registre_Maintenance_Part[[ID_Antenne]:[Colonne2]],3,FALSE),"")</f>
        <v/>
      </c>
      <c r="I967" t="str">
        <f>IFERROR(VLOOKUP(Logs_Reseau_Part5[[#This Row],[Cell_ID]],Registre_Maintenance_Part[[ID_Antenne]:[Colonne2]],4,FALSE),"")</f>
        <v/>
      </c>
      <c r="J967" t="str">
        <f>IFERROR(VLOOKUP(Logs_Reseau_Part5[[#This Row],[Cell_ID]],Registre_Maintenance_Part[[ID_Antenne]:[Colonne2]],5,FALSE),"")</f>
        <v/>
      </c>
      <c r="K967" t="str">
        <f>IFERROR(VLOOKUP(Logs_Reseau_Part5[[#This Row],[Cell_ID]],Registre_Maintenance_Part[[ID_Antenne]:[Colonne2]],6,FALSE),"")</f>
        <v/>
      </c>
    </row>
    <row r="968" spans="1:11" x14ac:dyDescent="0.3">
      <c r="A968" t="s">
        <v>1221</v>
      </c>
      <c r="B968" s="1">
        <v>45225.527777777781</v>
      </c>
      <c r="C968" s="2">
        <v>45225.527777777781</v>
      </c>
      <c r="D968" t="s">
        <v>1233</v>
      </c>
      <c r="E968">
        <v>6</v>
      </c>
      <c r="F968" t="s">
        <v>737</v>
      </c>
      <c r="G968" t="str">
        <f>IFERROR(VLOOKUP(Logs_Reseau_Part5[[#This Row],[Cell_ID]],Registre_Maintenance_Part[[ID_Antenne]:[Colonne2]],2,FALSE),"")</f>
        <v/>
      </c>
      <c r="H968" t="str">
        <f>IFERROR(VLOOKUP(Logs_Reseau_Part5[[#This Row],[Cell_ID]],Registre_Maintenance_Part[[ID_Antenne]:[Colonne2]],3,FALSE),"")</f>
        <v/>
      </c>
      <c r="I968" t="str">
        <f>IFERROR(VLOOKUP(Logs_Reseau_Part5[[#This Row],[Cell_ID]],Registre_Maintenance_Part[[ID_Antenne]:[Colonne2]],4,FALSE),"")</f>
        <v/>
      </c>
      <c r="J968" t="str">
        <f>IFERROR(VLOOKUP(Logs_Reseau_Part5[[#This Row],[Cell_ID]],Registre_Maintenance_Part[[ID_Antenne]:[Colonne2]],5,FALSE),"")</f>
        <v/>
      </c>
      <c r="K968" t="str">
        <f>IFERROR(VLOOKUP(Logs_Reseau_Part5[[#This Row],[Cell_ID]],Registre_Maintenance_Part[[ID_Antenne]:[Colonne2]],6,FALSE),"")</f>
        <v/>
      </c>
    </row>
    <row r="969" spans="1:11" x14ac:dyDescent="0.3">
      <c r="A969" t="s">
        <v>1263</v>
      </c>
      <c r="B969" s="1">
        <v>45225.553472222222</v>
      </c>
      <c r="C969" s="2">
        <v>45225.553472222222</v>
      </c>
      <c r="D969" t="s">
        <v>1271</v>
      </c>
      <c r="E969">
        <v>120</v>
      </c>
      <c r="F969" t="s">
        <v>734</v>
      </c>
      <c r="G969" t="str">
        <f>IFERROR(VLOOKUP(Logs_Reseau_Part5[[#This Row],[Cell_ID]],Registre_Maintenance_Part[[ID_Antenne]:[Colonne2]],2,FALSE),"")</f>
        <v/>
      </c>
      <c r="H969" t="str">
        <f>IFERROR(VLOOKUP(Logs_Reseau_Part5[[#This Row],[Cell_ID]],Registre_Maintenance_Part[[ID_Antenne]:[Colonne2]],3,FALSE),"")</f>
        <v/>
      </c>
      <c r="I969" t="str">
        <f>IFERROR(VLOOKUP(Logs_Reseau_Part5[[#This Row],[Cell_ID]],Registre_Maintenance_Part[[ID_Antenne]:[Colonne2]],4,FALSE),"")</f>
        <v/>
      </c>
      <c r="J969" t="str">
        <f>IFERROR(VLOOKUP(Logs_Reseau_Part5[[#This Row],[Cell_ID]],Registre_Maintenance_Part[[ID_Antenne]:[Colonne2]],5,FALSE),"")</f>
        <v/>
      </c>
      <c r="K969" t="str">
        <f>IFERROR(VLOOKUP(Logs_Reseau_Part5[[#This Row],[Cell_ID]],Registre_Maintenance_Part[[ID_Antenne]:[Colonne2]],6,FALSE),"")</f>
        <v/>
      </c>
    </row>
    <row r="970" spans="1:11" x14ac:dyDescent="0.3">
      <c r="A970" t="s">
        <v>1116</v>
      </c>
      <c r="B970" s="1">
        <v>45225.647916666669</v>
      </c>
      <c r="C970" s="2">
        <v>45225.647916666669</v>
      </c>
      <c r="D970" t="s">
        <v>1118</v>
      </c>
      <c r="E970">
        <v>49</v>
      </c>
      <c r="F970" t="s">
        <v>734</v>
      </c>
      <c r="G970" t="str">
        <f>IFERROR(VLOOKUP(Logs_Reseau_Part5[[#This Row],[Cell_ID]],Registre_Maintenance_Part[[ID_Antenne]:[Colonne2]],2,FALSE),"")</f>
        <v/>
      </c>
      <c r="H970" t="str">
        <f>IFERROR(VLOOKUP(Logs_Reseau_Part5[[#This Row],[Cell_ID]],Registre_Maintenance_Part[[ID_Antenne]:[Colonne2]],3,FALSE),"")</f>
        <v/>
      </c>
      <c r="I970" t="str">
        <f>IFERROR(VLOOKUP(Logs_Reseau_Part5[[#This Row],[Cell_ID]],Registre_Maintenance_Part[[ID_Antenne]:[Colonne2]],4,FALSE),"")</f>
        <v/>
      </c>
      <c r="J970" t="str">
        <f>IFERROR(VLOOKUP(Logs_Reseau_Part5[[#This Row],[Cell_ID]],Registre_Maintenance_Part[[ID_Antenne]:[Colonne2]],5,FALSE),"")</f>
        <v/>
      </c>
      <c r="K970" t="str">
        <f>IFERROR(VLOOKUP(Logs_Reseau_Part5[[#This Row],[Cell_ID]],Registre_Maintenance_Part[[ID_Antenne]:[Colonne2]],6,FALSE),"")</f>
        <v/>
      </c>
    </row>
    <row r="971" spans="1:11" x14ac:dyDescent="0.3">
      <c r="A971" t="s">
        <v>781</v>
      </c>
      <c r="B971" s="1">
        <v>45225.660416666673</v>
      </c>
      <c r="C971" s="2">
        <v>45225.660416666673</v>
      </c>
      <c r="D971" t="s">
        <v>783</v>
      </c>
      <c r="E971">
        <v>14</v>
      </c>
      <c r="F971" t="s">
        <v>734</v>
      </c>
      <c r="G971" t="str">
        <f>IFERROR(VLOOKUP(Logs_Reseau_Part5[[#This Row],[Cell_ID]],Registre_Maintenance_Part[[ID_Antenne]:[Colonne2]],2,FALSE),"")</f>
        <v/>
      </c>
      <c r="H971" t="str">
        <f>IFERROR(VLOOKUP(Logs_Reseau_Part5[[#This Row],[Cell_ID]],Registre_Maintenance_Part[[ID_Antenne]:[Colonne2]],3,FALSE),"")</f>
        <v/>
      </c>
      <c r="I971" t="str">
        <f>IFERROR(VLOOKUP(Logs_Reseau_Part5[[#This Row],[Cell_ID]],Registre_Maintenance_Part[[ID_Antenne]:[Colonne2]],4,FALSE),"")</f>
        <v/>
      </c>
      <c r="J971" t="str">
        <f>IFERROR(VLOOKUP(Logs_Reseau_Part5[[#This Row],[Cell_ID]],Registre_Maintenance_Part[[ID_Antenne]:[Colonne2]],5,FALSE),"")</f>
        <v/>
      </c>
      <c r="K971" t="str">
        <f>IFERROR(VLOOKUP(Logs_Reseau_Part5[[#This Row],[Cell_ID]],Registre_Maintenance_Part[[ID_Antenne]:[Colonne2]],6,FALSE),"")</f>
        <v/>
      </c>
    </row>
    <row r="972" spans="1:11" x14ac:dyDescent="0.3">
      <c r="A972" t="s">
        <v>781</v>
      </c>
      <c r="B972" s="1">
        <v>45225.737500000003</v>
      </c>
      <c r="C972" s="2">
        <v>45225.737500000003</v>
      </c>
      <c r="D972" t="s">
        <v>802</v>
      </c>
      <c r="E972">
        <v>6</v>
      </c>
      <c r="F972" t="s">
        <v>737</v>
      </c>
      <c r="G972" t="str">
        <f>IFERROR(VLOOKUP(Logs_Reseau_Part5[[#This Row],[Cell_ID]],Registre_Maintenance_Part[[ID_Antenne]:[Colonne2]],2,FALSE),"")</f>
        <v/>
      </c>
      <c r="H972" t="str">
        <f>IFERROR(VLOOKUP(Logs_Reseau_Part5[[#This Row],[Cell_ID]],Registre_Maintenance_Part[[ID_Antenne]:[Colonne2]],3,FALSE),"")</f>
        <v/>
      </c>
      <c r="I972" t="str">
        <f>IFERROR(VLOOKUP(Logs_Reseau_Part5[[#This Row],[Cell_ID]],Registre_Maintenance_Part[[ID_Antenne]:[Colonne2]],4,FALSE),"")</f>
        <v/>
      </c>
      <c r="J972" t="str">
        <f>IFERROR(VLOOKUP(Logs_Reseau_Part5[[#This Row],[Cell_ID]],Registre_Maintenance_Part[[ID_Antenne]:[Colonne2]],5,FALSE),"")</f>
        <v/>
      </c>
      <c r="K972" t="str">
        <f>IFERROR(VLOOKUP(Logs_Reseau_Part5[[#This Row],[Cell_ID]],Registre_Maintenance_Part[[ID_Antenne]:[Colonne2]],6,FALSE),"")</f>
        <v/>
      </c>
    </row>
    <row r="973" spans="1:11" x14ac:dyDescent="0.3">
      <c r="A973" t="s">
        <v>1026</v>
      </c>
      <c r="B973" s="1">
        <v>45225.77847222222</v>
      </c>
      <c r="C973" s="2">
        <v>45225.77847222222</v>
      </c>
      <c r="D973" t="s">
        <v>1033</v>
      </c>
      <c r="E973">
        <v>89</v>
      </c>
      <c r="F973" t="s">
        <v>734</v>
      </c>
      <c r="G973" t="str">
        <f>IFERROR(VLOOKUP(Logs_Reseau_Part5[[#This Row],[Cell_ID]],Registre_Maintenance_Part[[ID_Antenne]:[Colonne2]],2,FALSE),"")</f>
        <v/>
      </c>
      <c r="H973" t="str">
        <f>IFERROR(VLOOKUP(Logs_Reseau_Part5[[#This Row],[Cell_ID]],Registre_Maintenance_Part[[ID_Antenne]:[Colonne2]],3,FALSE),"")</f>
        <v/>
      </c>
      <c r="I973" t="str">
        <f>IFERROR(VLOOKUP(Logs_Reseau_Part5[[#This Row],[Cell_ID]],Registre_Maintenance_Part[[ID_Antenne]:[Colonne2]],4,FALSE),"")</f>
        <v/>
      </c>
      <c r="J973" t="str">
        <f>IFERROR(VLOOKUP(Logs_Reseau_Part5[[#This Row],[Cell_ID]],Registre_Maintenance_Part[[ID_Antenne]:[Colonne2]],5,FALSE),"")</f>
        <v/>
      </c>
      <c r="K973" t="str">
        <f>IFERROR(VLOOKUP(Logs_Reseau_Part5[[#This Row],[Cell_ID]],Registre_Maintenance_Part[[ID_Antenne]:[Colonne2]],6,FALSE),"")</f>
        <v/>
      </c>
    </row>
    <row r="974" spans="1:11" x14ac:dyDescent="0.3">
      <c r="A974" t="s">
        <v>1363</v>
      </c>
      <c r="B974" s="1">
        <v>45225.779861111107</v>
      </c>
      <c r="C974" s="2">
        <v>45225.779861111107</v>
      </c>
      <c r="D974" t="s">
        <v>1372</v>
      </c>
      <c r="E974">
        <v>69</v>
      </c>
      <c r="F974" t="s">
        <v>737</v>
      </c>
      <c r="G974" t="str">
        <f>IFERROR(VLOOKUP(Logs_Reseau_Part5[[#This Row],[Cell_ID]],Registre_Maintenance_Part[[ID_Antenne]:[Colonne2]],2,FALSE),"")</f>
        <v/>
      </c>
      <c r="H974" t="str">
        <f>IFERROR(VLOOKUP(Logs_Reseau_Part5[[#This Row],[Cell_ID]],Registre_Maintenance_Part[[ID_Antenne]:[Colonne2]],3,FALSE),"")</f>
        <v/>
      </c>
      <c r="I974" t="str">
        <f>IFERROR(VLOOKUP(Logs_Reseau_Part5[[#This Row],[Cell_ID]],Registre_Maintenance_Part[[ID_Antenne]:[Colonne2]],4,FALSE),"")</f>
        <v/>
      </c>
      <c r="J974" t="str">
        <f>IFERROR(VLOOKUP(Logs_Reseau_Part5[[#This Row],[Cell_ID]],Registre_Maintenance_Part[[ID_Antenne]:[Colonne2]],5,FALSE),"")</f>
        <v/>
      </c>
      <c r="K974" t="str">
        <f>IFERROR(VLOOKUP(Logs_Reseau_Part5[[#This Row],[Cell_ID]],Registre_Maintenance_Part[[ID_Antenne]:[Colonne2]],6,FALSE),"")</f>
        <v/>
      </c>
    </row>
    <row r="975" spans="1:11" x14ac:dyDescent="0.3">
      <c r="A975" t="s">
        <v>1195</v>
      </c>
      <c r="B975" s="1">
        <v>45225.839583333327</v>
      </c>
      <c r="C975" s="2">
        <v>45225.839583333327</v>
      </c>
      <c r="D975" t="s">
        <v>1207</v>
      </c>
      <c r="E975">
        <v>60</v>
      </c>
      <c r="F975" t="s">
        <v>739</v>
      </c>
      <c r="G975" t="str">
        <f>IFERROR(VLOOKUP(Logs_Reseau_Part5[[#This Row],[Cell_ID]],Registre_Maintenance_Part[[ID_Antenne]:[Colonne2]],2,FALSE),"")</f>
        <v/>
      </c>
      <c r="H975" t="str">
        <f>IFERROR(VLOOKUP(Logs_Reseau_Part5[[#This Row],[Cell_ID]],Registre_Maintenance_Part[[ID_Antenne]:[Colonne2]],3,FALSE),"")</f>
        <v/>
      </c>
      <c r="I975" t="str">
        <f>IFERROR(VLOOKUP(Logs_Reseau_Part5[[#This Row],[Cell_ID]],Registre_Maintenance_Part[[ID_Antenne]:[Colonne2]],4,FALSE),"")</f>
        <v/>
      </c>
      <c r="J975" t="str">
        <f>IFERROR(VLOOKUP(Logs_Reseau_Part5[[#This Row],[Cell_ID]],Registre_Maintenance_Part[[ID_Antenne]:[Colonne2]],5,FALSE),"")</f>
        <v/>
      </c>
      <c r="K975" t="str">
        <f>IFERROR(VLOOKUP(Logs_Reseau_Part5[[#This Row],[Cell_ID]],Registre_Maintenance_Part[[ID_Antenne]:[Colonne2]],6,FALSE),"")</f>
        <v/>
      </c>
    </row>
    <row r="976" spans="1:11" x14ac:dyDescent="0.3">
      <c r="A976" t="s">
        <v>904</v>
      </c>
      <c r="B976" s="1">
        <v>45225.859027777777</v>
      </c>
      <c r="C976" s="2">
        <v>45225.859027777777</v>
      </c>
      <c r="D976" t="s">
        <v>928</v>
      </c>
      <c r="E976">
        <v>90</v>
      </c>
      <c r="F976" t="s">
        <v>737</v>
      </c>
      <c r="G976" t="str">
        <f>IFERROR(VLOOKUP(Logs_Reseau_Part5[[#This Row],[Cell_ID]],Registre_Maintenance_Part[[ID_Antenne]:[Colonne2]],2,FALSE),"")</f>
        <v/>
      </c>
      <c r="H976" t="str">
        <f>IFERROR(VLOOKUP(Logs_Reseau_Part5[[#This Row],[Cell_ID]],Registre_Maintenance_Part[[ID_Antenne]:[Colonne2]],3,FALSE),"")</f>
        <v/>
      </c>
      <c r="I976" t="str">
        <f>IFERROR(VLOOKUP(Logs_Reseau_Part5[[#This Row],[Cell_ID]],Registre_Maintenance_Part[[ID_Antenne]:[Colonne2]],4,FALSE),"")</f>
        <v/>
      </c>
      <c r="J976" t="str">
        <f>IFERROR(VLOOKUP(Logs_Reseau_Part5[[#This Row],[Cell_ID]],Registre_Maintenance_Part[[ID_Antenne]:[Colonne2]],5,FALSE),"")</f>
        <v/>
      </c>
      <c r="K976" t="str">
        <f>IFERROR(VLOOKUP(Logs_Reseau_Part5[[#This Row],[Cell_ID]],Registre_Maintenance_Part[[ID_Antenne]:[Colonne2]],6,FALSE),"")</f>
        <v/>
      </c>
    </row>
    <row r="977" spans="1:11" x14ac:dyDescent="0.3">
      <c r="A977" t="s">
        <v>1221</v>
      </c>
      <c r="B977" s="1">
        <v>45225.921527777777</v>
      </c>
      <c r="C977" s="2">
        <v>45225.921527777777</v>
      </c>
      <c r="D977" t="s">
        <v>1163</v>
      </c>
      <c r="E977">
        <v>45</v>
      </c>
      <c r="F977" t="s">
        <v>734</v>
      </c>
      <c r="G977" t="str">
        <f>IFERROR(VLOOKUP(Logs_Reseau_Part5[[#This Row],[Cell_ID]],Registre_Maintenance_Part[[ID_Antenne]:[Colonne2]],2,FALSE),"")</f>
        <v/>
      </c>
      <c r="H977" t="str">
        <f>IFERROR(VLOOKUP(Logs_Reseau_Part5[[#This Row],[Cell_ID]],Registre_Maintenance_Part[[ID_Antenne]:[Colonne2]],3,FALSE),"")</f>
        <v/>
      </c>
      <c r="I977" t="str">
        <f>IFERROR(VLOOKUP(Logs_Reseau_Part5[[#This Row],[Cell_ID]],Registre_Maintenance_Part[[ID_Antenne]:[Colonne2]],4,FALSE),"")</f>
        <v/>
      </c>
      <c r="J977" t="str">
        <f>IFERROR(VLOOKUP(Logs_Reseau_Part5[[#This Row],[Cell_ID]],Registre_Maintenance_Part[[ID_Antenne]:[Colonne2]],5,FALSE),"")</f>
        <v/>
      </c>
      <c r="K977" t="str">
        <f>IFERROR(VLOOKUP(Logs_Reseau_Part5[[#This Row],[Cell_ID]],Registre_Maintenance_Part[[ID_Antenne]:[Colonne2]],6,FALSE),"")</f>
        <v/>
      </c>
    </row>
    <row r="978" spans="1:11" x14ac:dyDescent="0.3">
      <c r="A978" t="s">
        <v>1263</v>
      </c>
      <c r="B978" s="1">
        <v>45225.949305555558</v>
      </c>
      <c r="C978" s="2">
        <v>45225.949305555558</v>
      </c>
      <c r="D978" t="s">
        <v>1283</v>
      </c>
      <c r="E978">
        <v>117</v>
      </c>
      <c r="F978" t="s">
        <v>734</v>
      </c>
      <c r="G978" t="str">
        <f>IFERROR(VLOOKUP(Logs_Reseau_Part5[[#This Row],[Cell_ID]],Registre_Maintenance_Part[[ID_Antenne]:[Colonne2]],2,FALSE),"")</f>
        <v/>
      </c>
      <c r="H978" t="str">
        <f>IFERROR(VLOOKUP(Logs_Reseau_Part5[[#This Row],[Cell_ID]],Registre_Maintenance_Part[[ID_Antenne]:[Colonne2]],3,FALSE),"")</f>
        <v/>
      </c>
      <c r="I978" t="str">
        <f>IFERROR(VLOOKUP(Logs_Reseau_Part5[[#This Row],[Cell_ID]],Registre_Maintenance_Part[[ID_Antenne]:[Colonne2]],4,FALSE),"")</f>
        <v/>
      </c>
      <c r="J978" t="str">
        <f>IFERROR(VLOOKUP(Logs_Reseau_Part5[[#This Row],[Cell_ID]],Registre_Maintenance_Part[[ID_Antenne]:[Colonne2]],5,FALSE),"")</f>
        <v/>
      </c>
      <c r="K978" t="str">
        <f>IFERROR(VLOOKUP(Logs_Reseau_Part5[[#This Row],[Cell_ID]],Registre_Maintenance_Part[[ID_Antenne]:[Colonne2]],6,FALSE),"")</f>
        <v/>
      </c>
    </row>
    <row r="979" spans="1:11" x14ac:dyDescent="0.3">
      <c r="A979" t="s">
        <v>1116</v>
      </c>
      <c r="B979" s="1">
        <v>45225.996527777781</v>
      </c>
      <c r="C979" s="2">
        <v>45225.996527777781</v>
      </c>
      <c r="D979" t="s">
        <v>944</v>
      </c>
      <c r="E979">
        <v>55</v>
      </c>
      <c r="F979" t="s">
        <v>737</v>
      </c>
      <c r="G979" t="str">
        <f>IFERROR(VLOOKUP(Logs_Reseau_Part5[[#This Row],[Cell_ID]],Registre_Maintenance_Part[[ID_Antenne]:[Colonne2]],2,FALSE),"")</f>
        <v/>
      </c>
      <c r="H979" t="str">
        <f>IFERROR(VLOOKUP(Logs_Reseau_Part5[[#This Row],[Cell_ID]],Registre_Maintenance_Part[[ID_Antenne]:[Colonne2]],3,FALSE),"")</f>
        <v/>
      </c>
      <c r="I979" t="str">
        <f>IFERROR(VLOOKUP(Logs_Reseau_Part5[[#This Row],[Cell_ID]],Registre_Maintenance_Part[[ID_Antenne]:[Colonne2]],4,FALSE),"")</f>
        <v/>
      </c>
      <c r="J979" t="str">
        <f>IFERROR(VLOOKUP(Logs_Reseau_Part5[[#This Row],[Cell_ID]],Registre_Maintenance_Part[[ID_Antenne]:[Colonne2]],5,FALSE),"")</f>
        <v/>
      </c>
      <c r="K979" t="str">
        <f>IFERROR(VLOOKUP(Logs_Reseau_Part5[[#This Row],[Cell_ID]],Registre_Maintenance_Part[[ID_Antenne]:[Colonne2]],6,FALSE),"")</f>
        <v/>
      </c>
    </row>
    <row r="980" spans="1:11" x14ac:dyDescent="0.3">
      <c r="A980" t="s">
        <v>781</v>
      </c>
      <c r="B980" s="1">
        <v>45226.003472222219</v>
      </c>
      <c r="C980" s="2">
        <v>45226.003472222219</v>
      </c>
      <c r="D980" t="s">
        <v>735</v>
      </c>
      <c r="E980">
        <v>111</v>
      </c>
      <c r="F980" t="s">
        <v>734</v>
      </c>
      <c r="G980" t="str">
        <f>IFERROR(VLOOKUP(Logs_Reseau_Part5[[#This Row],[Cell_ID]],Registre_Maintenance_Part[[ID_Antenne]:[Colonne2]],2,FALSE),"")</f>
        <v/>
      </c>
      <c r="H980" t="str">
        <f>IFERROR(VLOOKUP(Logs_Reseau_Part5[[#This Row],[Cell_ID]],Registre_Maintenance_Part[[ID_Antenne]:[Colonne2]],3,FALSE),"")</f>
        <v/>
      </c>
      <c r="I980" t="str">
        <f>IFERROR(VLOOKUP(Logs_Reseau_Part5[[#This Row],[Cell_ID]],Registre_Maintenance_Part[[ID_Antenne]:[Colonne2]],4,FALSE),"")</f>
        <v/>
      </c>
      <c r="J980" t="str">
        <f>IFERROR(VLOOKUP(Logs_Reseau_Part5[[#This Row],[Cell_ID]],Registre_Maintenance_Part[[ID_Antenne]:[Colonne2]],5,FALSE),"")</f>
        <v/>
      </c>
      <c r="K980" t="str">
        <f>IFERROR(VLOOKUP(Logs_Reseau_Part5[[#This Row],[Cell_ID]],Registre_Maintenance_Part[[ID_Antenne]:[Colonne2]],6,FALSE),"")</f>
        <v/>
      </c>
    </row>
    <row r="981" spans="1:11" x14ac:dyDescent="0.3">
      <c r="A981" t="s">
        <v>1088</v>
      </c>
      <c r="B981" s="1">
        <v>45226.003472222219</v>
      </c>
      <c r="C981" s="2">
        <v>45226.003472222219</v>
      </c>
      <c r="D981" t="s">
        <v>1113</v>
      </c>
      <c r="E981">
        <v>76</v>
      </c>
      <c r="F981" t="s">
        <v>734</v>
      </c>
      <c r="G981" t="str">
        <f>IFERROR(VLOOKUP(Logs_Reseau_Part5[[#This Row],[Cell_ID]],Registre_Maintenance_Part[[ID_Antenne]:[Colonne2]],2,FALSE),"")</f>
        <v/>
      </c>
      <c r="H981" t="str">
        <f>IFERROR(VLOOKUP(Logs_Reseau_Part5[[#This Row],[Cell_ID]],Registre_Maintenance_Part[[ID_Antenne]:[Colonne2]],3,FALSE),"")</f>
        <v/>
      </c>
      <c r="I981" t="str">
        <f>IFERROR(VLOOKUP(Logs_Reseau_Part5[[#This Row],[Cell_ID]],Registre_Maintenance_Part[[ID_Antenne]:[Colonne2]],4,FALSE),"")</f>
        <v/>
      </c>
      <c r="J981" t="str">
        <f>IFERROR(VLOOKUP(Logs_Reseau_Part5[[#This Row],[Cell_ID]],Registre_Maintenance_Part[[ID_Antenne]:[Colonne2]],5,FALSE),"")</f>
        <v/>
      </c>
      <c r="K981" t="str">
        <f>IFERROR(VLOOKUP(Logs_Reseau_Part5[[#This Row],[Cell_ID]],Registre_Maintenance_Part[[ID_Antenne]:[Colonne2]],6,FALSE),"")</f>
        <v/>
      </c>
    </row>
    <row r="982" spans="1:11" x14ac:dyDescent="0.3">
      <c r="A982" t="s">
        <v>825</v>
      </c>
      <c r="B982" s="1">
        <v>45226.013194444437</v>
      </c>
      <c r="C982" s="2">
        <v>45226.013194444437</v>
      </c>
      <c r="D982" t="s">
        <v>850</v>
      </c>
      <c r="E982">
        <v>107</v>
      </c>
      <c r="F982" t="s">
        <v>737</v>
      </c>
      <c r="G982" t="str">
        <f>IFERROR(VLOOKUP(Logs_Reseau_Part5[[#This Row],[Cell_ID]],Registre_Maintenance_Part[[ID_Antenne]:[Colonne2]],2,FALSE),"")</f>
        <v/>
      </c>
      <c r="H982" t="str">
        <f>IFERROR(VLOOKUP(Logs_Reseau_Part5[[#This Row],[Cell_ID]],Registre_Maintenance_Part[[ID_Antenne]:[Colonne2]],3,FALSE),"")</f>
        <v/>
      </c>
      <c r="I982" t="str">
        <f>IFERROR(VLOOKUP(Logs_Reseau_Part5[[#This Row],[Cell_ID]],Registre_Maintenance_Part[[ID_Antenne]:[Colonne2]],4,FALSE),"")</f>
        <v/>
      </c>
      <c r="J982" t="str">
        <f>IFERROR(VLOOKUP(Logs_Reseau_Part5[[#This Row],[Cell_ID]],Registre_Maintenance_Part[[ID_Antenne]:[Colonne2]],5,FALSE),"")</f>
        <v/>
      </c>
      <c r="K982" t="str">
        <f>IFERROR(VLOOKUP(Logs_Reseau_Part5[[#This Row],[Cell_ID]],Registre_Maintenance_Part[[ID_Antenne]:[Colonne2]],6,FALSE),"")</f>
        <v/>
      </c>
    </row>
    <row r="983" spans="1:11" x14ac:dyDescent="0.3">
      <c r="A983" t="s">
        <v>1384</v>
      </c>
      <c r="B983" s="1">
        <v>45226.072222222218</v>
      </c>
      <c r="C983" s="2">
        <v>45226.072222222218</v>
      </c>
      <c r="D983" t="s">
        <v>1400</v>
      </c>
      <c r="E983">
        <v>29</v>
      </c>
      <c r="F983" t="s">
        <v>739</v>
      </c>
      <c r="G983" t="str">
        <f>IFERROR(VLOOKUP(Logs_Reseau_Part5[[#This Row],[Cell_ID]],Registre_Maintenance_Part[[ID_Antenne]:[Colonne2]],2,FALSE),"")</f>
        <v/>
      </c>
      <c r="H983" t="str">
        <f>IFERROR(VLOOKUP(Logs_Reseau_Part5[[#This Row],[Cell_ID]],Registre_Maintenance_Part[[ID_Antenne]:[Colonne2]],3,FALSE),"")</f>
        <v/>
      </c>
      <c r="I983" t="str">
        <f>IFERROR(VLOOKUP(Logs_Reseau_Part5[[#This Row],[Cell_ID]],Registre_Maintenance_Part[[ID_Antenne]:[Colonne2]],4,FALSE),"")</f>
        <v/>
      </c>
      <c r="J983" t="str">
        <f>IFERROR(VLOOKUP(Logs_Reseau_Part5[[#This Row],[Cell_ID]],Registre_Maintenance_Part[[ID_Antenne]:[Colonne2]],5,FALSE),"")</f>
        <v/>
      </c>
      <c r="K983" t="str">
        <f>IFERROR(VLOOKUP(Logs_Reseau_Part5[[#This Row],[Cell_ID]],Registre_Maintenance_Part[[ID_Antenne]:[Colonne2]],6,FALSE),"")</f>
        <v/>
      </c>
    </row>
    <row r="984" spans="1:11" x14ac:dyDescent="0.3">
      <c r="A984" t="s">
        <v>732</v>
      </c>
      <c r="B984" s="1">
        <v>45226.07708333333</v>
      </c>
      <c r="C984" s="2">
        <v>45226.07708333333</v>
      </c>
      <c r="D984" t="s">
        <v>774</v>
      </c>
      <c r="E984">
        <v>101</v>
      </c>
      <c r="F984" t="s">
        <v>734</v>
      </c>
      <c r="G984" t="str">
        <f>IFERROR(VLOOKUP(Logs_Reseau_Part5[[#This Row],[Cell_ID]],Registre_Maintenance_Part[[ID_Antenne]:[Colonne2]],2,FALSE),"")</f>
        <v/>
      </c>
      <c r="H984" t="str">
        <f>IFERROR(VLOOKUP(Logs_Reseau_Part5[[#This Row],[Cell_ID]],Registre_Maintenance_Part[[ID_Antenne]:[Colonne2]],3,FALSE),"")</f>
        <v/>
      </c>
      <c r="I984" t="str">
        <f>IFERROR(VLOOKUP(Logs_Reseau_Part5[[#This Row],[Cell_ID]],Registre_Maintenance_Part[[ID_Antenne]:[Colonne2]],4,FALSE),"")</f>
        <v/>
      </c>
      <c r="J984" t="str">
        <f>IFERROR(VLOOKUP(Logs_Reseau_Part5[[#This Row],[Cell_ID]],Registre_Maintenance_Part[[ID_Antenne]:[Colonne2]],5,FALSE),"")</f>
        <v/>
      </c>
      <c r="K984" t="str">
        <f>IFERROR(VLOOKUP(Logs_Reseau_Part5[[#This Row],[Cell_ID]],Registre_Maintenance_Part[[ID_Antenne]:[Colonne2]],6,FALSE),"")</f>
        <v/>
      </c>
    </row>
    <row r="985" spans="1:11" x14ac:dyDescent="0.3">
      <c r="A985" t="s">
        <v>863</v>
      </c>
      <c r="B985" s="1">
        <v>45226.104166666657</v>
      </c>
      <c r="C985" s="2">
        <v>45226.104166666657</v>
      </c>
      <c r="D985" t="s">
        <v>877</v>
      </c>
      <c r="E985">
        <v>110</v>
      </c>
      <c r="F985" t="s">
        <v>737</v>
      </c>
      <c r="G985" t="str">
        <f>IFERROR(VLOOKUP(Logs_Reseau_Part5[[#This Row],[Cell_ID]],Registre_Maintenance_Part[[ID_Antenne]:[Colonne2]],2,FALSE),"")</f>
        <v/>
      </c>
      <c r="H985" t="str">
        <f>IFERROR(VLOOKUP(Logs_Reseau_Part5[[#This Row],[Cell_ID]],Registre_Maintenance_Part[[ID_Antenne]:[Colonne2]],3,FALSE),"")</f>
        <v/>
      </c>
      <c r="I985" t="str">
        <f>IFERROR(VLOOKUP(Logs_Reseau_Part5[[#This Row],[Cell_ID]],Registre_Maintenance_Part[[ID_Antenne]:[Colonne2]],4,FALSE),"")</f>
        <v/>
      </c>
      <c r="J985" t="str">
        <f>IFERROR(VLOOKUP(Logs_Reseau_Part5[[#This Row],[Cell_ID]],Registre_Maintenance_Part[[ID_Antenne]:[Colonne2]],5,FALSE),"")</f>
        <v/>
      </c>
      <c r="K985" t="str">
        <f>IFERROR(VLOOKUP(Logs_Reseau_Part5[[#This Row],[Cell_ID]],Registre_Maintenance_Part[[ID_Antenne]:[Colonne2]],6,FALSE),"")</f>
        <v/>
      </c>
    </row>
    <row r="986" spans="1:11" x14ac:dyDescent="0.3">
      <c r="A986" t="s">
        <v>1243</v>
      </c>
      <c r="B986" s="1">
        <v>45226.163194444453</v>
      </c>
      <c r="C986" s="2">
        <v>45226.163194444453</v>
      </c>
      <c r="D986" t="s">
        <v>1259</v>
      </c>
      <c r="E986">
        <v>36</v>
      </c>
      <c r="F986" t="s">
        <v>737</v>
      </c>
      <c r="G986" t="str">
        <f>IFERROR(VLOOKUP(Logs_Reseau_Part5[[#This Row],[Cell_ID]],Registre_Maintenance_Part[[ID_Antenne]:[Colonne2]],2,FALSE),"")</f>
        <v/>
      </c>
      <c r="H986" t="str">
        <f>IFERROR(VLOOKUP(Logs_Reseau_Part5[[#This Row],[Cell_ID]],Registre_Maintenance_Part[[ID_Antenne]:[Colonne2]],3,FALSE),"")</f>
        <v/>
      </c>
      <c r="I986" t="str">
        <f>IFERROR(VLOOKUP(Logs_Reseau_Part5[[#This Row],[Cell_ID]],Registre_Maintenance_Part[[ID_Antenne]:[Colonne2]],4,FALSE),"")</f>
        <v/>
      </c>
      <c r="J986" t="str">
        <f>IFERROR(VLOOKUP(Logs_Reseau_Part5[[#This Row],[Cell_ID]],Registre_Maintenance_Part[[ID_Antenne]:[Colonne2]],5,FALSE),"")</f>
        <v/>
      </c>
      <c r="K986" t="str">
        <f>IFERROR(VLOOKUP(Logs_Reseau_Part5[[#This Row],[Cell_ID]],Registre_Maintenance_Part[[ID_Antenne]:[Colonne2]],6,FALSE),"")</f>
        <v/>
      </c>
    </row>
    <row r="987" spans="1:11" x14ac:dyDescent="0.3">
      <c r="A987" t="s">
        <v>1384</v>
      </c>
      <c r="B987" s="1">
        <v>45226.17083333333</v>
      </c>
      <c r="C987" s="2">
        <v>45226.17083333333</v>
      </c>
      <c r="D987" t="s">
        <v>784</v>
      </c>
      <c r="E987">
        <v>54</v>
      </c>
      <c r="F987" t="s">
        <v>734</v>
      </c>
      <c r="G987" t="str">
        <f>IFERROR(VLOOKUP(Logs_Reseau_Part5[[#This Row],[Cell_ID]],Registre_Maintenance_Part[[ID_Antenne]:[Colonne2]],2,FALSE),"")</f>
        <v/>
      </c>
      <c r="H987" t="str">
        <f>IFERROR(VLOOKUP(Logs_Reseau_Part5[[#This Row],[Cell_ID]],Registre_Maintenance_Part[[ID_Antenne]:[Colonne2]],3,FALSE),"")</f>
        <v/>
      </c>
      <c r="I987" t="str">
        <f>IFERROR(VLOOKUP(Logs_Reseau_Part5[[#This Row],[Cell_ID]],Registre_Maintenance_Part[[ID_Antenne]:[Colonne2]],4,FALSE),"")</f>
        <v/>
      </c>
      <c r="J987" t="str">
        <f>IFERROR(VLOOKUP(Logs_Reseau_Part5[[#This Row],[Cell_ID]],Registre_Maintenance_Part[[ID_Antenne]:[Colonne2]],5,FALSE),"")</f>
        <v/>
      </c>
      <c r="K987" t="str">
        <f>IFERROR(VLOOKUP(Logs_Reseau_Part5[[#This Row],[Cell_ID]],Registre_Maintenance_Part[[ID_Antenne]:[Colonne2]],6,FALSE),"")</f>
        <v/>
      </c>
    </row>
    <row r="988" spans="1:11" x14ac:dyDescent="0.3">
      <c r="A988" t="s">
        <v>825</v>
      </c>
      <c r="B988" s="1">
        <v>45226.321527777778</v>
      </c>
      <c r="C988" s="2">
        <v>45226.321527777778</v>
      </c>
      <c r="D988" t="s">
        <v>858</v>
      </c>
      <c r="E988">
        <v>22</v>
      </c>
      <c r="F988" t="s">
        <v>739</v>
      </c>
      <c r="G988" t="str">
        <f>IFERROR(VLOOKUP(Logs_Reseau_Part5[[#This Row],[Cell_ID]],Registre_Maintenance_Part[[ID_Antenne]:[Colonne2]],2,FALSE),"")</f>
        <v/>
      </c>
      <c r="H988" t="str">
        <f>IFERROR(VLOOKUP(Logs_Reseau_Part5[[#This Row],[Cell_ID]],Registre_Maintenance_Part[[ID_Antenne]:[Colonne2]],3,FALSE),"")</f>
        <v/>
      </c>
      <c r="I988" t="str">
        <f>IFERROR(VLOOKUP(Logs_Reseau_Part5[[#This Row],[Cell_ID]],Registre_Maintenance_Part[[ID_Antenne]:[Colonne2]],4,FALSE),"")</f>
        <v/>
      </c>
      <c r="J988" t="str">
        <f>IFERROR(VLOOKUP(Logs_Reseau_Part5[[#This Row],[Cell_ID]],Registre_Maintenance_Part[[ID_Antenne]:[Colonne2]],5,FALSE),"")</f>
        <v/>
      </c>
      <c r="K988" t="str">
        <f>IFERROR(VLOOKUP(Logs_Reseau_Part5[[#This Row],[Cell_ID]],Registre_Maintenance_Part[[ID_Antenne]:[Colonne2]],6,FALSE),"")</f>
        <v/>
      </c>
    </row>
    <row r="989" spans="1:11" x14ac:dyDescent="0.3">
      <c r="A989" t="s">
        <v>1332</v>
      </c>
      <c r="B989" s="1">
        <v>45226.388194444437</v>
      </c>
      <c r="C989" s="2">
        <v>45226.388194444437</v>
      </c>
      <c r="D989" t="s">
        <v>1337</v>
      </c>
      <c r="E989">
        <v>115</v>
      </c>
      <c r="F989" t="s">
        <v>739</v>
      </c>
      <c r="G989" t="str">
        <f>IFERROR(VLOOKUP(Logs_Reseau_Part5[[#This Row],[Cell_ID]],Registre_Maintenance_Part[[ID_Antenne]:[Colonne2]],2,FALSE),"")</f>
        <v/>
      </c>
      <c r="H989" t="str">
        <f>IFERROR(VLOOKUP(Logs_Reseau_Part5[[#This Row],[Cell_ID]],Registre_Maintenance_Part[[ID_Antenne]:[Colonne2]],3,FALSE),"")</f>
        <v/>
      </c>
      <c r="I989" t="str">
        <f>IFERROR(VLOOKUP(Logs_Reseau_Part5[[#This Row],[Cell_ID]],Registre_Maintenance_Part[[ID_Antenne]:[Colonne2]],4,FALSE),"")</f>
        <v/>
      </c>
      <c r="J989" t="str">
        <f>IFERROR(VLOOKUP(Logs_Reseau_Part5[[#This Row],[Cell_ID]],Registre_Maintenance_Part[[ID_Antenne]:[Colonne2]],5,FALSE),"")</f>
        <v/>
      </c>
      <c r="K989" t="str">
        <f>IFERROR(VLOOKUP(Logs_Reseau_Part5[[#This Row],[Cell_ID]],Registre_Maintenance_Part[[ID_Antenne]:[Colonne2]],6,FALSE),"")</f>
        <v/>
      </c>
    </row>
    <row r="990" spans="1:11" x14ac:dyDescent="0.3">
      <c r="A990" t="s">
        <v>1332</v>
      </c>
      <c r="B990" s="1">
        <v>45226.574305555558</v>
      </c>
      <c r="C990" s="2">
        <v>45226.574305555558</v>
      </c>
      <c r="D990" t="s">
        <v>981</v>
      </c>
      <c r="E990">
        <v>81</v>
      </c>
      <c r="F990" t="s">
        <v>737</v>
      </c>
      <c r="G990" t="str">
        <f>IFERROR(VLOOKUP(Logs_Reseau_Part5[[#This Row],[Cell_ID]],Registre_Maintenance_Part[[ID_Antenne]:[Colonne2]],2,FALSE),"")</f>
        <v/>
      </c>
      <c r="H990" t="str">
        <f>IFERROR(VLOOKUP(Logs_Reseau_Part5[[#This Row],[Cell_ID]],Registre_Maintenance_Part[[ID_Antenne]:[Colonne2]],3,FALSE),"")</f>
        <v/>
      </c>
      <c r="I990" t="str">
        <f>IFERROR(VLOOKUP(Logs_Reseau_Part5[[#This Row],[Cell_ID]],Registre_Maintenance_Part[[ID_Antenne]:[Colonne2]],4,FALSE),"")</f>
        <v/>
      </c>
      <c r="J990" t="str">
        <f>IFERROR(VLOOKUP(Logs_Reseau_Part5[[#This Row],[Cell_ID]],Registre_Maintenance_Part[[ID_Antenne]:[Colonne2]],5,FALSE),"")</f>
        <v/>
      </c>
      <c r="K990" t="str">
        <f>IFERROR(VLOOKUP(Logs_Reseau_Part5[[#This Row],[Cell_ID]],Registre_Maintenance_Part[[ID_Antenne]:[Colonne2]],6,FALSE),"")</f>
        <v/>
      </c>
    </row>
    <row r="991" spans="1:11" x14ac:dyDescent="0.3">
      <c r="A991" t="s">
        <v>1310</v>
      </c>
      <c r="B991" s="1">
        <v>45226.631249999999</v>
      </c>
      <c r="C991" s="2">
        <v>45226.631249999999</v>
      </c>
      <c r="D991" t="s">
        <v>1331</v>
      </c>
      <c r="E991">
        <v>112</v>
      </c>
      <c r="F991" t="s">
        <v>737</v>
      </c>
      <c r="G991" t="str">
        <f>IFERROR(VLOOKUP(Logs_Reseau_Part5[[#This Row],[Cell_ID]],Registre_Maintenance_Part[[ID_Antenne]:[Colonne2]],2,FALSE),"")</f>
        <v/>
      </c>
      <c r="H991" t="str">
        <f>IFERROR(VLOOKUP(Logs_Reseau_Part5[[#This Row],[Cell_ID]],Registre_Maintenance_Part[[ID_Antenne]:[Colonne2]],3,FALSE),"")</f>
        <v/>
      </c>
      <c r="I991" t="str">
        <f>IFERROR(VLOOKUP(Logs_Reseau_Part5[[#This Row],[Cell_ID]],Registre_Maintenance_Part[[ID_Antenne]:[Colonne2]],4,FALSE),"")</f>
        <v/>
      </c>
      <c r="J991" t="str">
        <f>IFERROR(VLOOKUP(Logs_Reseau_Part5[[#This Row],[Cell_ID]],Registre_Maintenance_Part[[ID_Antenne]:[Colonne2]],5,FALSE),"")</f>
        <v/>
      </c>
      <c r="K991" t="str">
        <f>IFERROR(VLOOKUP(Logs_Reseau_Part5[[#This Row],[Cell_ID]],Registre_Maintenance_Part[[ID_Antenne]:[Colonne2]],6,FALSE),"")</f>
        <v/>
      </c>
    </row>
    <row r="992" spans="1:11" x14ac:dyDescent="0.3">
      <c r="A992" t="s">
        <v>1167</v>
      </c>
      <c r="B992" s="1">
        <v>45226.656944444447</v>
      </c>
      <c r="C992" s="2">
        <v>45226.656944444447</v>
      </c>
      <c r="D992" t="s">
        <v>986</v>
      </c>
      <c r="E992">
        <v>7</v>
      </c>
      <c r="F992" t="s">
        <v>734</v>
      </c>
      <c r="G992" t="str">
        <f>IFERROR(VLOOKUP(Logs_Reseau_Part5[[#This Row],[Cell_ID]],Registre_Maintenance_Part[[ID_Antenne]:[Colonne2]],2,FALSE),"")</f>
        <v/>
      </c>
      <c r="H992" t="str">
        <f>IFERROR(VLOOKUP(Logs_Reseau_Part5[[#This Row],[Cell_ID]],Registre_Maintenance_Part[[ID_Antenne]:[Colonne2]],3,FALSE),"")</f>
        <v/>
      </c>
      <c r="I992" t="str">
        <f>IFERROR(VLOOKUP(Logs_Reseau_Part5[[#This Row],[Cell_ID]],Registre_Maintenance_Part[[ID_Antenne]:[Colonne2]],4,FALSE),"")</f>
        <v/>
      </c>
      <c r="J992" t="str">
        <f>IFERROR(VLOOKUP(Logs_Reseau_Part5[[#This Row],[Cell_ID]],Registre_Maintenance_Part[[ID_Antenne]:[Colonne2]],5,FALSE),"")</f>
        <v/>
      </c>
      <c r="K992" t="str">
        <f>IFERROR(VLOOKUP(Logs_Reseau_Part5[[#This Row],[Cell_ID]],Registre_Maintenance_Part[[ID_Antenne]:[Colonne2]],6,FALSE),"")</f>
        <v/>
      </c>
    </row>
    <row r="993" spans="1:11" x14ac:dyDescent="0.3">
      <c r="A993" t="s">
        <v>1061</v>
      </c>
      <c r="B993" s="1">
        <v>45226.729166666657</v>
      </c>
      <c r="C993" s="2">
        <v>45226.729166666657</v>
      </c>
      <c r="D993" t="s">
        <v>1084</v>
      </c>
      <c r="E993">
        <v>62</v>
      </c>
      <c r="F993" t="s">
        <v>737</v>
      </c>
      <c r="G993" t="str">
        <f>IFERROR(VLOOKUP(Logs_Reseau_Part5[[#This Row],[Cell_ID]],Registre_Maintenance_Part[[ID_Antenne]:[Colonne2]],2,FALSE),"")</f>
        <v/>
      </c>
      <c r="H993" t="str">
        <f>IFERROR(VLOOKUP(Logs_Reseau_Part5[[#This Row],[Cell_ID]],Registre_Maintenance_Part[[ID_Antenne]:[Colonne2]],3,FALSE),"")</f>
        <v/>
      </c>
      <c r="I993" t="str">
        <f>IFERROR(VLOOKUP(Logs_Reseau_Part5[[#This Row],[Cell_ID]],Registre_Maintenance_Part[[ID_Antenne]:[Colonne2]],4,FALSE),"")</f>
        <v/>
      </c>
      <c r="J993" t="str">
        <f>IFERROR(VLOOKUP(Logs_Reseau_Part5[[#This Row],[Cell_ID]],Registre_Maintenance_Part[[ID_Antenne]:[Colonne2]],5,FALSE),"")</f>
        <v/>
      </c>
      <c r="K993" t="str">
        <f>IFERROR(VLOOKUP(Logs_Reseau_Part5[[#This Row],[Cell_ID]],Registre_Maintenance_Part[[ID_Antenne]:[Colonne2]],6,FALSE),"")</f>
        <v/>
      </c>
    </row>
    <row r="994" spans="1:11" x14ac:dyDescent="0.3">
      <c r="A994" t="s">
        <v>1140</v>
      </c>
      <c r="B994" s="1">
        <v>45226.747916666667</v>
      </c>
      <c r="C994" s="2">
        <v>45226.747916666667</v>
      </c>
      <c r="D994" t="s">
        <v>1157</v>
      </c>
      <c r="E994">
        <v>52</v>
      </c>
      <c r="F994" t="s">
        <v>737</v>
      </c>
      <c r="G994" t="str">
        <f>IFERROR(VLOOKUP(Logs_Reseau_Part5[[#This Row],[Cell_ID]],Registre_Maintenance_Part[[ID_Antenne]:[Colonne2]],2,FALSE),"")</f>
        <v/>
      </c>
      <c r="H994" t="str">
        <f>IFERROR(VLOOKUP(Logs_Reseau_Part5[[#This Row],[Cell_ID]],Registre_Maintenance_Part[[ID_Antenne]:[Colonne2]],3,FALSE),"")</f>
        <v/>
      </c>
      <c r="I994" t="str">
        <f>IFERROR(VLOOKUP(Logs_Reseau_Part5[[#This Row],[Cell_ID]],Registre_Maintenance_Part[[ID_Antenne]:[Colonne2]],4,FALSE),"")</f>
        <v/>
      </c>
      <c r="J994" t="str">
        <f>IFERROR(VLOOKUP(Logs_Reseau_Part5[[#This Row],[Cell_ID]],Registre_Maintenance_Part[[ID_Antenne]:[Colonne2]],5,FALSE),"")</f>
        <v/>
      </c>
      <c r="K994" t="str">
        <f>IFERROR(VLOOKUP(Logs_Reseau_Part5[[#This Row],[Cell_ID]],Registre_Maintenance_Part[[ID_Antenne]:[Colonne2]],6,FALSE),"")</f>
        <v/>
      </c>
    </row>
    <row r="995" spans="1:11" x14ac:dyDescent="0.3">
      <c r="A995" t="s">
        <v>1363</v>
      </c>
      <c r="B995" s="1">
        <v>45226.747916666667</v>
      </c>
      <c r="C995" s="2">
        <v>45226.747916666667</v>
      </c>
      <c r="D995" t="s">
        <v>1383</v>
      </c>
      <c r="E995">
        <v>68</v>
      </c>
      <c r="F995" t="s">
        <v>737</v>
      </c>
      <c r="G995" t="str">
        <f>IFERROR(VLOOKUP(Logs_Reseau_Part5[[#This Row],[Cell_ID]],Registre_Maintenance_Part[[ID_Antenne]:[Colonne2]],2,FALSE),"")</f>
        <v/>
      </c>
      <c r="H995" t="str">
        <f>IFERROR(VLOOKUP(Logs_Reseau_Part5[[#This Row],[Cell_ID]],Registre_Maintenance_Part[[ID_Antenne]:[Colonne2]],3,FALSE),"")</f>
        <v/>
      </c>
      <c r="I995" t="str">
        <f>IFERROR(VLOOKUP(Logs_Reseau_Part5[[#This Row],[Cell_ID]],Registre_Maintenance_Part[[ID_Antenne]:[Colonne2]],4,FALSE),"")</f>
        <v/>
      </c>
      <c r="J995" t="str">
        <f>IFERROR(VLOOKUP(Logs_Reseau_Part5[[#This Row],[Cell_ID]],Registre_Maintenance_Part[[ID_Antenne]:[Colonne2]],5,FALSE),"")</f>
        <v/>
      </c>
      <c r="K995" t="str">
        <f>IFERROR(VLOOKUP(Logs_Reseau_Part5[[#This Row],[Cell_ID]],Registre_Maintenance_Part[[ID_Antenne]:[Colonne2]],6,FALSE),"")</f>
        <v/>
      </c>
    </row>
    <row r="996" spans="1:11" x14ac:dyDescent="0.3">
      <c r="A996" t="s">
        <v>863</v>
      </c>
      <c r="B996" s="1">
        <v>45226.84375</v>
      </c>
      <c r="C996" s="2">
        <v>45226.84375</v>
      </c>
      <c r="D996" t="s">
        <v>893</v>
      </c>
      <c r="E996">
        <v>48</v>
      </c>
      <c r="F996" t="s">
        <v>734</v>
      </c>
      <c r="G996" t="str">
        <f>IFERROR(VLOOKUP(Logs_Reseau_Part5[[#This Row],[Cell_ID]],Registre_Maintenance_Part[[ID_Antenne]:[Colonne2]],2,FALSE),"")</f>
        <v/>
      </c>
      <c r="H996" t="str">
        <f>IFERROR(VLOOKUP(Logs_Reseau_Part5[[#This Row],[Cell_ID]],Registre_Maintenance_Part[[ID_Antenne]:[Colonne2]],3,FALSE),"")</f>
        <v/>
      </c>
      <c r="I996" t="str">
        <f>IFERROR(VLOOKUP(Logs_Reseau_Part5[[#This Row],[Cell_ID]],Registre_Maintenance_Part[[ID_Antenne]:[Colonne2]],4,FALSE),"")</f>
        <v/>
      </c>
      <c r="J996" t="str">
        <f>IFERROR(VLOOKUP(Logs_Reseau_Part5[[#This Row],[Cell_ID]],Registre_Maintenance_Part[[ID_Antenne]:[Colonne2]],5,FALSE),"")</f>
        <v/>
      </c>
      <c r="K996" t="str">
        <f>IFERROR(VLOOKUP(Logs_Reseau_Part5[[#This Row],[Cell_ID]],Registre_Maintenance_Part[[ID_Antenne]:[Colonne2]],6,FALSE),"")</f>
        <v/>
      </c>
    </row>
    <row r="997" spans="1:11" x14ac:dyDescent="0.3">
      <c r="A997" t="s">
        <v>1116</v>
      </c>
      <c r="B997" s="1">
        <v>45226.885416666657</v>
      </c>
      <c r="C997" s="2">
        <v>45226.885416666657</v>
      </c>
      <c r="D997" t="s">
        <v>1128</v>
      </c>
      <c r="E997">
        <v>96</v>
      </c>
      <c r="F997" t="s">
        <v>739</v>
      </c>
      <c r="G997" t="str">
        <f>IFERROR(VLOOKUP(Logs_Reseau_Part5[[#This Row],[Cell_ID]],Registre_Maintenance_Part[[ID_Antenne]:[Colonne2]],2,FALSE),"")</f>
        <v/>
      </c>
      <c r="H997" t="str">
        <f>IFERROR(VLOOKUP(Logs_Reseau_Part5[[#This Row],[Cell_ID]],Registre_Maintenance_Part[[ID_Antenne]:[Colonne2]],3,FALSE),"")</f>
        <v/>
      </c>
      <c r="I997" t="str">
        <f>IFERROR(VLOOKUP(Logs_Reseau_Part5[[#This Row],[Cell_ID]],Registre_Maintenance_Part[[ID_Antenne]:[Colonne2]],4,FALSE),"")</f>
        <v/>
      </c>
      <c r="J997" t="str">
        <f>IFERROR(VLOOKUP(Logs_Reseau_Part5[[#This Row],[Cell_ID]],Registre_Maintenance_Part[[ID_Antenne]:[Colonne2]],5,FALSE),"")</f>
        <v/>
      </c>
      <c r="K997" t="str">
        <f>IFERROR(VLOOKUP(Logs_Reseau_Part5[[#This Row],[Cell_ID]],Registre_Maintenance_Part[[ID_Antenne]:[Colonne2]],6,FALSE),"")</f>
        <v/>
      </c>
    </row>
    <row r="998" spans="1:11" x14ac:dyDescent="0.3">
      <c r="A998" t="s">
        <v>1061</v>
      </c>
      <c r="B998" s="1">
        <v>45226.895138888889</v>
      </c>
      <c r="C998" s="2">
        <v>45226.895138888889</v>
      </c>
      <c r="D998" t="s">
        <v>1079</v>
      </c>
      <c r="E998">
        <v>42</v>
      </c>
      <c r="F998" t="s">
        <v>734</v>
      </c>
      <c r="G998" t="str">
        <f>IFERROR(VLOOKUP(Logs_Reseau_Part5[[#This Row],[Cell_ID]],Registre_Maintenance_Part[[ID_Antenne]:[Colonne2]],2,FALSE),"")</f>
        <v/>
      </c>
      <c r="H998" t="str">
        <f>IFERROR(VLOOKUP(Logs_Reseau_Part5[[#This Row],[Cell_ID]],Registre_Maintenance_Part[[ID_Antenne]:[Colonne2]],3,FALSE),"")</f>
        <v/>
      </c>
      <c r="I998" t="str">
        <f>IFERROR(VLOOKUP(Logs_Reseau_Part5[[#This Row],[Cell_ID]],Registre_Maintenance_Part[[ID_Antenne]:[Colonne2]],4,FALSE),"")</f>
        <v/>
      </c>
      <c r="J998" t="str">
        <f>IFERROR(VLOOKUP(Logs_Reseau_Part5[[#This Row],[Cell_ID]],Registre_Maintenance_Part[[ID_Antenne]:[Colonne2]],5,FALSE),"")</f>
        <v/>
      </c>
      <c r="K998" t="str">
        <f>IFERROR(VLOOKUP(Logs_Reseau_Part5[[#This Row],[Cell_ID]],Registre_Maintenance_Part[[ID_Antenne]:[Colonne2]],6,FALSE),"")</f>
        <v/>
      </c>
    </row>
    <row r="999" spans="1:11" x14ac:dyDescent="0.3">
      <c r="A999" t="s">
        <v>1221</v>
      </c>
      <c r="B999" s="1">
        <v>45226.90625</v>
      </c>
      <c r="C999" s="2">
        <v>45226.90625</v>
      </c>
      <c r="D999" t="s">
        <v>1051</v>
      </c>
      <c r="E999">
        <v>26</v>
      </c>
      <c r="F999" t="s">
        <v>737</v>
      </c>
      <c r="G999" t="str">
        <f>IFERROR(VLOOKUP(Logs_Reseau_Part5[[#This Row],[Cell_ID]],Registre_Maintenance_Part[[ID_Antenne]:[Colonne2]],2,FALSE),"")</f>
        <v/>
      </c>
      <c r="H999" t="str">
        <f>IFERROR(VLOOKUP(Logs_Reseau_Part5[[#This Row],[Cell_ID]],Registre_Maintenance_Part[[ID_Antenne]:[Colonne2]],3,FALSE),"")</f>
        <v/>
      </c>
      <c r="I999" t="str">
        <f>IFERROR(VLOOKUP(Logs_Reseau_Part5[[#This Row],[Cell_ID]],Registre_Maintenance_Part[[ID_Antenne]:[Colonne2]],4,FALSE),"")</f>
        <v/>
      </c>
      <c r="J999" t="str">
        <f>IFERROR(VLOOKUP(Logs_Reseau_Part5[[#This Row],[Cell_ID]],Registre_Maintenance_Part[[ID_Antenne]:[Colonne2]],5,FALSE),"")</f>
        <v/>
      </c>
      <c r="K999" t="str">
        <f>IFERROR(VLOOKUP(Logs_Reseau_Part5[[#This Row],[Cell_ID]],Registre_Maintenance_Part[[ID_Antenne]:[Colonne2]],6,FALSE),"")</f>
        <v/>
      </c>
    </row>
    <row r="1000" spans="1:11" x14ac:dyDescent="0.3">
      <c r="A1000" t="s">
        <v>1332</v>
      </c>
      <c r="B1000" s="1">
        <v>45226.920138888891</v>
      </c>
      <c r="C1000" s="2">
        <v>45226.920138888891</v>
      </c>
      <c r="D1000" t="s">
        <v>778</v>
      </c>
      <c r="E1000">
        <v>64</v>
      </c>
      <c r="F1000" t="s">
        <v>739</v>
      </c>
      <c r="G1000" t="str">
        <f>IFERROR(VLOOKUP(Logs_Reseau_Part5[[#This Row],[Cell_ID]],Registre_Maintenance_Part[[ID_Antenne]:[Colonne2]],2,FALSE),"")</f>
        <v/>
      </c>
      <c r="H1000" t="str">
        <f>IFERROR(VLOOKUP(Logs_Reseau_Part5[[#This Row],[Cell_ID]],Registre_Maintenance_Part[[ID_Antenne]:[Colonne2]],3,FALSE),"")</f>
        <v/>
      </c>
      <c r="I1000" t="str">
        <f>IFERROR(VLOOKUP(Logs_Reseau_Part5[[#This Row],[Cell_ID]],Registre_Maintenance_Part[[ID_Antenne]:[Colonne2]],4,FALSE),"")</f>
        <v/>
      </c>
      <c r="J1000" t="str">
        <f>IFERROR(VLOOKUP(Logs_Reseau_Part5[[#This Row],[Cell_ID]],Registre_Maintenance_Part[[ID_Antenne]:[Colonne2]],5,FALSE),"")</f>
        <v/>
      </c>
      <c r="K1000" t="str">
        <f>IFERROR(VLOOKUP(Logs_Reseau_Part5[[#This Row],[Cell_ID]],Registre_Maintenance_Part[[ID_Antenne]:[Colonne2]],6,FALSE),"")</f>
        <v/>
      </c>
    </row>
    <row r="1001" spans="1:11" x14ac:dyDescent="0.3">
      <c r="A1001" t="s">
        <v>1406</v>
      </c>
      <c r="B1001" s="1">
        <v>45226.955555555563</v>
      </c>
      <c r="C1001" s="2">
        <v>45226.955555555563</v>
      </c>
      <c r="D1001" t="s">
        <v>1408</v>
      </c>
      <c r="E1001">
        <v>20</v>
      </c>
      <c r="F1001" t="s">
        <v>737</v>
      </c>
      <c r="G1001" t="str">
        <f>IFERROR(VLOOKUP(Logs_Reseau_Part5[[#This Row],[Cell_ID]],Registre_Maintenance_Part[[ID_Antenne]:[Colonne2]],2,FALSE),"")</f>
        <v/>
      </c>
      <c r="H1001" t="str">
        <f>IFERROR(VLOOKUP(Logs_Reseau_Part5[[#This Row],[Cell_ID]],Registre_Maintenance_Part[[ID_Antenne]:[Colonne2]],3,FALSE),"")</f>
        <v/>
      </c>
      <c r="I1001" t="str">
        <f>IFERROR(VLOOKUP(Logs_Reseau_Part5[[#This Row],[Cell_ID]],Registre_Maintenance_Part[[ID_Antenne]:[Colonne2]],4,FALSE),"")</f>
        <v/>
      </c>
      <c r="J1001" t="str">
        <f>IFERROR(VLOOKUP(Logs_Reseau_Part5[[#This Row],[Cell_ID]],Registre_Maintenance_Part[[ID_Antenne]:[Colonne2]],5,FALSE),"")</f>
        <v/>
      </c>
      <c r="K1001" t="str">
        <f>IFERROR(VLOOKUP(Logs_Reseau_Part5[[#This Row],[Cell_ID]],Registre_Maintenance_Part[[ID_Antenne]:[Colonne2]],6,FALSE),"")</f>
        <v/>
      </c>
    </row>
    <row r="1002" spans="1:11" x14ac:dyDescent="0.3">
      <c r="A1002" t="s">
        <v>1290</v>
      </c>
      <c r="B1002" s="1">
        <v>45226.975694444453</v>
      </c>
      <c r="C1002" s="2">
        <v>45226.975694444453</v>
      </c>
      <c r="D1002" t="s">
        <v>920</v>
      </c>
      <c r="E1002">
        <v>89</v>
      </c>
      <c r="F1002" t="s">
        <v>739</v>
      </c>
      <c r="G1002" t="str">
        <f>IFERROR(VLOOKUP(Logs_Reseau_Part5[[#This Row],[Cell_ID]],Registre_Maintenance_Part[[ID_Antenne]:[Colonne2]],2,FALSE),"")</f>
        <v/>
      </c>
      <c r="H1002" t="str">
        <f>IFERROR(VLOOKUP(Logs_Reseau_Part5[[#This Row],[Cell_ID]],Registre_Maintenance_Part[[ID_Antenne]:[Colonne2]],3,FALSE),"")</f>
        <v/>
      </c>
      <c r="I1002" t="str">
        <f>IFERROR(VLOOKUP(Logs_Reseau_Part5[[#This Row],[Cell_ID]],Registre_Maintenance_Part[[ID_Antenne]:[Colonne2]],4,FALSE),"")</f>
        <v/>
      </c>
      <c r="J1002" t="str">
        <f>IFERROR(VLOOKUP(Logs_Reseau_Part5[[#This Row],[Cell_ID]],Registre_Maintenance_Part[[ID_Antenne]:[Colonne2]],5,FALSE),"")</f>
        <v/>
      </c>
      <c r="K1002" t="str">
        <f>IFERROR(VLOOKUP(Logs_Reseau_Part5[[#This Row],[Cell_ID]],Registre_Maintenance_Part[[ID_Antenne]:[Colonne2]],6,FALSE),"")</f>
        <v/>
      </c>
    </row>
    <row r="1003" spans="1:11" x14ac:dyDescent="0.3">
      <c r="A1003" t="s">
        <v>1026</v>
      </c>
      <c r="B1003" s="1">
        <v>45226.988194444442</v>
      </c>
      <c r="C1003" s="2">
        <v>45226.988194444442</v>
      </c>
      <c r="D1003" t="s">
        <v>1053</v>
      </c>
      <c r="E1003">
        <v>83</v>
      </c>
      <c r="F1003" t="s">
        <v>737</v>
      </c>
      <c r="G1003" t="str">
        <f>IFERROR(VLOOKUP(Logs_Reseau_Part5[[#This Row],[Cell_ID]],Registre_Maintenance_Part[[ID_Antenne]:[Colonne2]],2,FALSE),"")</f>
        <v/>
      </c>
      <c r="H1003" t="str">
        <f>IFERROR(VLOOKUP(Logs_Reseau_Part5[[#This Row],[Cell_ID]],Registre_Maintenance_Part[[ID_Antenne]:[Colonne2]],3,FALSE),"")</f>
        <v/>
      </c>
      <c r="I1003" t="str">
        <f>IFERROR(VLOOKUP(Logs_Reseau_Part5[[#This Row],[Cell_ID]],Registre_Maintenance_Part[[ID_Antenne]:[Colonne2]],4,FALSE),"")</f>
        <v/>
      </c>
      <c r="J1003" t="str">
        <f>IFERROR(VLOOKUP(Logs_Reseau_Part5[[#This Row],[Cell_ID]],Registre_Maintenance_Part[[ID_Antenne]:[Colonne2]],5,FALSE),"")</f>
        <v/>
      </c>
      <c r="K1003" t="str">
        <f>IFERROR(VLOOKUP(Logs_Reseau_Part5[[#This Row],[Cell_ID]],Registre_Maintenance_Part[[ID_Antenne]:[Colonne2]],6,FALSE),"")</f>
        <v/>
      </c>
    </row>
    <row r="1004" spans="1:11" x14ac:dyDescent="0.3">
      <c r="A1004" t="s">
        <v>980</v>
      </c>
      <c r="B1004" s="1">
        <v>45227.005555555559</v>
      </c>
      <c r="C1004" s="2">
        <v>45227.005555555559</v>
      </c>
      <c r="D1004" t="s">
        <v>998</v>
      </c>
      <c r="E1004">
        <v>66</v>
      </c>
      <c r="F1004" t="s">
        <v>739</v>
      </c>
      <c r="G1004" t="str">
        <f>IFERROR(VLOOKUP(Logs_Reseau_Part5[[#This Row],[Cell_ID]],Registre_Maintenance_Part[[ID_Antenne]:[Colonne2]],2,FALSE),"")</f>
        <v/>
      </c>
      <c r="H1004" t="str">
        <f>IFERROR(VLOOKUP(Logs_Reseau_Part5[[#This Row],[Cell_ID]],Registre_Maintenance_Part[[ID_Antenne]:[Colonne2]],3,FALSE),"")</f>
        <v/>
      </c>
      <c r="I1004" t="str">
        <f>IFERROR(VLOOKUP(Logs_Reseau_Part5[[#This Row],[Cell_ID]],Registre_Maintenance_Part[[ID_Antenne]:[Colonne2]],4,FALSE),"")</f>
        <v/>
      </c>
      <c r="J1004" t="str">
        <f>IFERROR(VLOOKUP(Logs_Reseau_Part5[[#This Row],[Cell_ID]],Registre_Maintenance_Part[[ID_Antenne]:[Colonne2]],5,FALSE),"")</f>
        <v/>
      </c>
      <c r="K1004" t="str">
        <f>IFERROR(VLOOKUP(Logs_Reseau_Part5[[#This Row],[Cell_ID]],Registre_Maintenance_Part[[ID_Antenne]:[Colonne2]],6,FALSE),"")</f>
        <v/>
      </c>
    </row>
    <row r="1005" spans="1:11" x14ac:dyDescent="0.3">
      <c r="A1005" t="s">
        <v>1263</v>
      </c>
      <c r="B1005" s="1">
        <v>45227.010416666657</v>
      </c>
      <c r="C1005" s="2">
        <v>45227.010416666657</v>
      </c>
      <c r="D1005" t="s">
        <v>1281</v>
      </c>
      <c r="E1005">
        <v>49</v>
      </c>
      <c r="F1005" t="s">
        <v>739</v>
      </c>
      <c r="G1005" t="str">
        <f>IFERROR(VLOOKUP(Logs_Reseau_Part5[[#This Row],[Cell_ID]],Registre_Maintenance_Part[[ID_Antenne]:[Colonne2]],2,FALSE),"")</f>
        <v/>
      </c>
      <c r="H1005" t="str">
        <f>IFERROR(VLOOKUP(Logs_Reseau_Part5[[#This Row],[Cell_ID]],Registre_Maintenance_Part[[ID_Antenne]:[Colonne2]],3,FALSE),"")</f>
        <v/>
      </c>
      <c r="I1005" t="str">
        <f>IFERROR(VLOOKUP(Logs_Reseau_Part5[[#This Row],[Cell_ID]],Registre_Maintenance_Part[[ID_Antenne]:[Colonne2]],4,FALSE),"")</f>
        <v/>
      </c>
      <c r="J1005" t="str">
        <f>IFERROR(VLOOKUP(Logs_Reseau_Part5[[#This Row],[Cell_ID]],Registre_Maintenance_Part[[ID_Antenne]:[Colonne2]],5,FALSE),"")</f>
        <v/>
      </c>
      <c r="K1005" t="str">
        <f>IFERROR(VLOOKUP(Logs_Reseau_Part5[[#This Row],[Cell_ID]],Registre_Maintenance_Part[[ID_Antenne]:[Colonne2]],6,FALSE),"")</f>
        <v/>
      </c>
    </row>
    <row r="1006" spans="1:11" x14ac:dyDescent="0.3">
      <c r="A1006" t="s">
        <v>1243</v>
      </c>
      <c r="B1006" s="1">
        <v>45227.118055555547</v>
      </c>
      <c r="C1006" s="2">
        <v>45227.118055555547</v>
      </c>
      <c r="D1006" t="s">
        <v>1246</v>
      </c>
      <c r="E1006">
        <v>61</v>
      </c>
      <c r="F1006" t="s">
        <v>737</v>
      </c>
      <c r="G1006" t="str">
        <f>IFERROR(VLOOKUP(Logs_Reseau_Part5[[#This Row],[Cell_ID]],Registre_Maintenance_Part[[ID_Antenne]:[Colonne2]],2,FALSE),"")</f>
        <v/>
      </c>
      <c r="H1006" t="str">
        <f>IFERROR(VLOOKUP(Logs_Reseau_Part5[[#This Row],[Cell_ID]],Registre_Maintenance_Part[[ID_Antenne]:[Colonne2]],3,FALSE),"")</f>
        <v/>
      </c>
      <c r="I1006" t="str">
        <f>IFERROR(VLOOKUP(Logs_Reseau_Part5[[#This Row],[Cell_ID]],Registre_Maintenance_Part[[ID_Antenne]:[Colonne2]],4,FALSE),"")</f>
        <v/>
      </c>
      <c r="J1006" t="str">
        <f>IFERROR(VLOOKUP(Logs_Reseau_Part5[[#This Row],[Cell_ID]],Registre_Maintenance_Part[[ID_Antenne]:[Colonne2]],5,FALSE),"")</f>
        <v/>
      </c>
      <c r="K1006" t="str">
        <f>IFERROR(VLOOKUP(Logs_Reseau_Part5[[#This Row],[Cell_ID]],Registre_Maintenance_Part[[ID_Antenne]:[Colonne2]],6,FALSE),"")</f>
        <v/>
      </c>
    </row>
    <row r="1007" spans="1:11" x14ac:dyDescent="0.3">
      <c r="A1007" t="s">
        <v>781</v>
      </c>
      <c r="B1007" s="1">
        <v>45227.135416666657</v>
      </c>
      <c r="C1007" s="2">
        <v>45227.135416666657</v>
      </c>
      <c r="D1007" t="s">
        <v>790</v>
      </c>
      <c r="E1007">
        <v>13</v>
      </c>
      <c r="F1007" t="s">
        <v>737</v>
      </c>
      <c r="G1007" t="str">
        <f>IFERROR(VLOOKUP(Logs_Reseau_Part5[[#This Row],[Cell_ID]],Registre_Maintenance_Part[[ID_Antenne]:[Colonne2]],2,FALSE),"")</f>
        <v/>
      </c>
      <c r="H1007" t="str">
        <f>IFERROR(VLOOKUP(Logs_Reseau_Part5[[#This Row],[Cell_ID]],Registre_Maintenance_Part[[ID_Antenne]:[Colonne2]],3,FALSE),"")</f>
        <v/>
      </c>
      <c r="I1007" t="str">
        <f>IFERROR(VLOOKUP(Logs_Reseau_Part5[[#This Row],[Cell_ID]],Registre_Maintenance_Part[[ID_Antenne]:[Colonne2]],4,FALSE),"")</f>
        <v/>
      </c>
      <c r="J1007" t="str">
        <f>IFERROR(VLOOKUP(Logs_Reseau_Part5[[#This Row],[Cell_ID]],Registre_Maintenance_Part[[ID_Antenne]:[Colonne2]],5,FALSE),"")</f>
        <v/>
      </c>
      <c r="K1007" t="str">
        <f>IFERROR(VLOOKUP(Logs_Reseau_Part5[[#This Row],[Cell_ID]],Registre_Maintenance_Part[[ID_Antenne]:[Colonne2]],6,FALSE),"")</f>
        <v/>
      </c>
    </row>
    <row r="1008" spans="1:11" x14ac:dyDescent="0.3">
      <c r="A1008" t="s">
        <v>941</v>
      </c>
      <c r="B1008" s="1">
        <v>45227.163194444453</v>
      </c>
      <c r="C1008" s="2">
        <v>45227.163194444453</v>
      </c>
      <c r="D1008" t="s">
        <v>949</v>
      </c>
      <c r="E1008">
        <v>78</v>
      </c>
      <c r="F1008" t="s">
        <v>737</v>
      </c>
      <c r="G1008" t="str">
        <f>IFERROR(VLOOKUP(Logs_Reseau_Part5[[#This Row],[Cell_ID]],Registre_Maintenance_Part[[ID_Antenne]:[Colonne2]],2,FALSE),"")</f>
        <v/>
      </c>
      <c r="H1008" t="str">
        <f>IFERROR(VLOOKUP(Logs_Reseau_Part5[[#This Row],[Cell_ID]],Registre_Maintenance_Part[[ID_Antenne]:[Colonne2]],3,FALSE),"")</f>
        <v/>
      </c>
      <c r="I1008" t="str">
        <f>IFERROR(VLOOKUP(Logs_Reseau_Part5[[#This Row],[Cell_ID]],Registre_Maintenance_Part[[ID_Antenne]:[Colonne2]],4,FALSE),"")</f>
        <v/>
      </c>
      <c r="J1008" t="str">
        <f>IFERROR(VLOOKUP(Logs_Reseau_Part5[[#This Row],[Cell_ID]],Registre_Maintenance_Part[[ID_Antenne]:[Colonne2]],5,FALSE),"")</f>
        <v/>
      </c>
      <c r="K1008" t="str">
        <f>IFERROR(VLOOKUP(Logs_Reseau_Part5[[#This Row],[Cell_ID]],Registre_Maintenance_Part[[ID_Antenne]:[Colonne2]],6,FALSE),"")</f>
        <v/>
      </c>
    </row>
    <row r="1009" spans="1:11" x14ac:dyDescent="0.3">
      <c r="A1009" t="s">
        <v>1363</v>
      </c>
      <c r="B1009" s="1">
        <v>45227.195833333331</v>
      </c>
      <c r="C1009" s="2">
        <v>45227.195833333331</v>
      </c>
      <c r="D1009" t="s">
        <v>909</v>
      </c>
      <c r="E1009">
        <v>113</v>
      </c>
      <c r="F1009" t="s">
        <v>737</v>
      </c>
      <c r="G1009" t="str">
        <f>IFERROR(VLOOKUP(Logs_Reseau_Part5[[#This Row],[Cell_ID]],Registre_Maintenance_Part[[ID_Antenne]:[Colonne2]],2,FALSE),"")</f>
        <v/>
      </c>
      <c r="H1009" t="str">
        <f>IFERROR(VLOOKUP(Logs_Reseau_Part5[[#This Row],[Cell_ID]],Registre_Maintenance_Part[[ID_Antenne]:[Colonne2]],3,FALSE),"")</f>
        <v/>
      </c>
      <c r="I1009" t="str">
        <f>IFERROR(VLOOKUP(Logs_Reseau_Part5[[#This Row],[Cell_ID]],Registre_Maintenance_Part[[ID_Antenne]:[Colonne2]],4,FALSE),"")</f>
        <v/>
      </c>
      <c r="J1009" t="str">
        <f>IFERROR(VLOOKUP(Logs_Reseau_Part5[[#This Row],[Cell_ID]],Registre_Maintenance_Part[[ID_Antenne]:[Colonne2]],5,FALSE),"")</f>
        <v/>
      </c>
      <c r="K1009" t="str">
        <f>IFERROR(VLOOKUP(Logs_Reseau_Part5[[#This Row],[Cell_ID]],Registre_Maintenance_Part[[ID_Antenne]:[Colonne2]],6,FALSE),"")</f>
        <v/>
      </c>
    </row>
    <row r="1010" spans="1:11" x14ac:dyDescent="0.3">
      <c r="A1010" t="s">
        <v>781</v>
      </c>
      <c r="B1010" s="1">
        <v>45227.211111111108</v>
      </c>
      <c r="C1010" s="2">
        <v>45227.211111111108</v>
      </c>
      <c r="D1010" t="s">
        <v>810</v>
      </c>
      <c r="E1010">
        <v>38</v>
      </c>
      <c r="F1010" t="s">
        <v>734</v>
      </c>
      <c r="G1010" t="str">
        <f>IFERROR(VLOOKUP(Logs_Reseau_Part5[[#This Row],[Cell_ID]],Registre_Maintenance_Part[[ID_Antenne]:[Colonne2]],2,FALSE),"")</f>
        <v/>
      </c>
      <c r="H1010" t="str">
        <f>IFERROR(VLOOKUP(Logs_Reseau_Part5[[#This Row],[Cell_ID]],Registre_Maintenance_Part[[ID_Antenne]:[Colonne2]],3,FALSE),"")</f>
        <v/>
      </c>
      <c r="I1010" t="str">
        <f>IFERROR(VLOOKUP(Logs_Reseau_Part5[[#This Row],[Cell_ID]],Registre_Maintenance_Part[[ID_Antenne]:[Colonne2]],4,FALSE),"")</f>
        <v/>
      </c>
      <c r="J1010" t="str">
        <f>IFERROR(VLOOKUP(Logs_Reseau_Part5[[#This Row],[Cell_ID]],Registre_Maintenance_Part[[ID_Antenne]:[Colonne2]],5,FALSE),"")</f>
        <v/>
      </c>
      <c r="K1010" t="str">
        <f>IFERROR(VLOOKUP(Logs_Reseau_Part5[[#This Row],[Cell_ID]],Registre_Maintenance_Part[[ID_Antenne]:[Colonne2]],6,FALSE),"")</f>
        <v/>
      </c>
    </row>
    <row r="1011" spans="1:11" x14ac:dyDescent="0.3">
      <c r="A1011" t="s">
        <v>980</v>
      </c>
      <c r="B1011" s="1">
        <v>45227.306250000001</v>
      </c>
      <c r="C1011" s="2">
        <v>45227.306250000001</v>
      </c>
      <c r="D1011" t="s">
        <v>763</v>
      </c>
      <c r="E1011">
        <v>71</v>
      </c>
      <c r="F1011" t="s">
        <v>737</v>
      </c>
      <c r="G1011" t="str">
        <f>IFERROR(VLOOKUP(Logs_Reseau_Part5[[#This Row],[Cell_ID]],Registre_Maintenance_Part[[ID_Antenne]:[Colonne2]],2,FALSE),"")</f>
        <v/>
      </c>
      <c r="H1011" t="str">
        <f>IFERROR(VLOOKUP(Logs_Reseau_Part5[[#This Row],[Cell_ID]],Registre_Maintenance_Part[[ID_Antenne]:[Colonne2]],3,FALSE),"")</f>
        <v/>
      </c>
      <c r="I1011" t="str">
        <f>IFERROR(VLOOKUP(Logs_Reseau_Part5[[#This Row],[Cell_ID]],Registre_Maintenance_Part[[ID_Antenne]:[Colonne2]],4,FALSE),"")</f>
        <v/>
      </c>
      <c r="J1011" t="str">
        <f>IFERROR(VLOOKUP(Logs_Reseau_Part5[[#This Row],[Cell_ID]],Registre_Maintenance_Part[[ID_Antenne]:[Colonne2]],5,FALSE),"")</f>
        <v/>
      </c>
      <c r="K1011" t="str">
        <f>IFERROR(VLOOKUP(Logs_Reseau_Part5[[#This Row],[Cell_ID]],Registre_Maintenance_Part[[ID_Antenne]:[Colonne2]],6,FALSE),"")</f>
        <v/>
      </c>
    </row>
    <row r="1012" spans="1:11" x14ac:dyDescent="0.3">
      <c r="A1012" t="s">
        <v>1167</v>
      </c>
      <c r="B1012" s="1">
        <v>45227.324305555558</v>
      </c>
      <c r="C1012" s="2">
        <v>45227.324305555558</v>
      </c>
      <c r="D1012" t="s">
        <v>1188</v>
      </c>
      <c r="E1012">
        <v>52</v>
      </c>
      <c r="F1012" t="s">
        <v>734</v>
      </c>
      <c r="G1012" t="str">
        <f>IFERROR(VLOOKUP(Logs_Reseau_Part5[[#This Row],[Cell_ID]],Registre_Maintenance_Part[[ID_Antenne]:[Colonne2]],2,FALSE),"")</f>
        <v/>
      </c>
      <c r="H1012" t="str">
        <f>IFERROR(VLOOKUP(Logs_Reseau_Part5[[#This Row],[Cell_ID]],Registre_Maintenance_Part[[ID_Antenne]:[Colonne2]],3,FALSE),"")</f>
        <v/>
      </c>
      <c r="I1012" t="str">
        <f>IFERROR(VLOOKUP(Logs_Reseau_Part5[[#This Row],[Cell_ID]],Registre_Maintenance_Part[[ID_Antenne]:[Colonne2]],4,FALSE),"")</f>
        <v/>
      </c>
      <c r="J1012" t="str">
        <f>IFERROR(VLOOKUP(Logs_Reseau_Part5[[#This Row],[Cell_ID]],Registre_Maintenance_Part[[ID_Antenne]:[Colonne2]],5,FALSE),"")</f>
        <v/>
      </c>
      <c r="K1012" t="str">
        <f>IFERROR(VLOOKUP(Logs_Reseau_Part5[[#This Row],[Cell_ID]],Registre_Maintenance_Part[[ID_Antenne]:[Colonne2]],6,FALSE),"")</f>
        <v/>
      </c>
    </row>
    <row r="1013" spans="1:11" x14ac:dyDescent="0.3">
      <c r="A1013" t="s">
        <v>732</v>
      </c>
      <c r="B1013" s="1">
        <v>45227.329861111109</v>
      </c>
      <c r="C1013" s="2">
        <v>45227.329861111109</v>
      </c>
      <c r="D1013" t="s">
        <v>761</v>
      </c>
      <c r="E1013">
        <v>81</v>
      </c>
      <c r="F1013" t="s">
        <v>737</v>
      </c>
      <c r="G1013" t="str">
        <f>IFERROR(VLOOKUP(Logs_Reseau_Part5[[#This Row],[Cell_ID]],Registre_Maintenance_Part[[ID_Antenne]:[Colonne2]],2,FALSE),"")</f>
        <v/>
      </c>
      <c r="H1013" t="str">
        <f>IFERROR(VLOOKUP(Logs_Reseau_Part5[[#This Row],[Cell_ID]],Registre_Maintenance_Part[[ID_Antenne]:[Colonne2]],3,FALSE),"")</f>
        <v/>
      </c>
      <c r="I1013" t="str">
        <f>IFERROR(VLOOKUP(Logs_Reseau_Part5[[#This Row],[Cell_ID]],Registre_Maintenance_Part[[ID_Antenne]:[Colonne2]],4,FALSE),"")</f>
        <v/>
      </c>
      <c r="J1013" t="str">
        <f>IFERROR(VLOOKUP(Logs_Reseau_Part5[[#This Row],[Cell_ID]],Registre_Maintenance_Part[[ID_Antenne]:[Colonne2]],5,FALSE),"")</f>
        <v/>
      </c>
      <c r="K1013" t="str">
        <f>IFERROR(VLOOKUP(Logs_Reseau_Part5[[#This Row],[Cell_ID]],Registre_Maintenance_Part[[ID_Antenne]:[Colonne2]],6,FALSE),"")</f>
        <v/>
      </c>
    </row>
    <row r="1014" spans="1:11" x14ac:dyDescent="0.3">
      <c r="A1014" t="s">
        <v>1347</v>
      </c>
      <c r="B1014" s="1">
        <v>45227.393055555563</v>
      </c>
      <c r="C1014" s="2">
        <v>45227.393055555563</v>
      </c>
      <c r="D1014" t="s">
        <v>1010</v>
      </c>
      <c r="E1014">
        <v>67</v>
      </c>
      <c r="F1014" t="s">
        <v>734</v>
      </c>
      <c r="G1014" t="str">
        <f>IFERROR(VLOOKUP(Logs_Reseau_Part5[[#This Row],[Cell_ID]],Registre_Maintenance_Part[[ID_Antenne]:[Colonne2]],2,FALSE),"")</f>
        <v/>
      </c>
      <c r="H1014" t="str">
        <f>IFERROR(VLOOKUP(Logs_Reseau_Part5[[#This Row],[Cell_ID]],Registre_Maintenance_Part[[ID_Antenne]:[Colonne2]],3,FALSE),"")</f>
        <v/>
      </c>
      <c r="I1014" t="str">
        <f>IFERROR(VLOOKUP(Logs_Reseau_Part5[[#This Row],[Cell_ID]],Registre_Maintenance_Part[[ID_Antenne]:[Colonne2]],4,FALSE),"")</f>
        <v/>
      </c>
      <c r="J1014" t="str">
        <f>IFERROR(VLOOKUP(Logs_Reseau_Part5[[#This Row],[Cell_ID]],Registre_Maintenance_Part[[ID_Antenne]:[Colonne2]],5,FALSE),"")</f>
        <v/>
      </c>
      <c r="K1014" t="str">
        <f>IFERROR(VLOOKUP(Logs_Reseau_Part5[[#This Row],[Cell_ID]],Registre_Maintenance_Part[[ID_Antenne]:[Colonne2]],6,FALSE),"")</f>
        <v/>
      </c>
    </row>
    <row r="1015" spans="1:11" x14ac:dyDescent="0.3">
      <c r="A1015" t="s">
        <v>1290</v>
      </c>
      <c r="B1015" s="1">
        <v>45227.421527777777</v>
      </c>
      <c r="C1015" s="2">
        <v>45227.421527777777</v>
      </c>
      <c r="D1015" t="s">
        <v>1268</v>
      </c>
      <c r="E1015">
        <v>25</v>
      </c>
      <c r="F1015" t="s">
        <v>737</v>
      </c>
      <c r="G1015" t="str">
        <f>IFERROR(VLOOKUP(Logs_Reseau_Part5[[#This Row],[Cell_ID]],Registre_Maintenance_Part[[ID_Antenne]:[Colonne2]],2,FALSE),"")</f>
        <v/>
      </c>
      <c r="H1015" t="str">
        <f>IFERROR(VLOOKUP(Logs_Reseau_Part5[[#This Row],[Cell_ID]],Registre_Maintenance_Part[[ID_Antenne]:[Colonne2]],3,FALSE),"")</f>
        <v/>
      </c>
      <c r="I1015" t="str">
        <f>IFERROR(VLOOKUP(Logs_Reseau_Part5[[#This Row],[Cell_ID]],Registre_Maintenance_Part[[ID_Antenne]:[Colonne2]],4,FALSE),"")</f>
        <v/>
      </c>
      <c r="J1015" t="str">
        <f>IFERROR(VLOOKUP(Logs_Reseau_Part5[[#This Row],[Cell_ID]],Registre_Maintenance_Part[[ID_Antenne]:[Colonne2]],5,FALSE),"")</f>
        <v/>
      </c>
      <c r="K1015" t="str">
        <f>IFERROR(VLOOKUP(Logs_Reseau_Part5[[#This Row],[Cell_ID]],Registre_Maintenance_Part[[ID_Antenne]:[Colonne2]],6,FALSE),"")</f>
        <v/>
      </c>
    </row>
    <row r="1016" spans="1:11" x14ac:dyDescent="0.3">
      <c r="A1016" t="s">
        <v>980</v>
      </c>
      <c r="B1016" s="1">
        <v>45227.462500000001</v>
      </c>
      <c r="C1016" s="2">
        <v>45227.462500000001</v>
      </c>
      <c r="D1016" t="s">
        <v>820</v>
      </c>
      <c r="E1016">
        <v>70</v>
      </c>
      <c r="F1016" t="s">
        <v>739</v>
      </c>
      <c r="G1016" t="str">
        <f>IFERROR(VLOOKUP(Logs_Reseau_Part5[[#This Row],[Cell_ID]],Registre_Maintenance_Part[[ID_Antenne]:[Colonne2]],2,FALSE),"")</f>
        <v/>
      </c>
      <c r="H1016" t="str">
        <f>IFERROR(VLOOKUP(Logs_Reseau_Part5[[#This Row],[Cell_ID]],Registre_Maintenance_Part[[ID_Antenne]:[Colonne2]],3,FALSE),"")</f>
        <v/>
      </c>
      <c r="I1016" t="str">
        <f>IFERROR(VLOOKUP(Logs_Reseau_Part5[[#This Row],[Cell_ID]],Registre_Maintenance_Part[[ID_Antenne]:[Colonne2]],4,FALSE),"")</f>
        <v/>
      </c>
      <c r="J1016" t="str">
        <f>IFERROR(VLOOKUP(Logs_Reseau_Part5[[#This Row],[Cell_ID]],Registre_Maintenance_Part[[ID_Antenne]:[Colonne2]],5,FALSE),"")</f>
        <v/>
      </c>
      <c r="K1016" t="str">
        <f>IFERROR(VLOOKUP(Logs_Reseau_Part5[[#This Row],[Cell_ID]],Registre_Maintenance_Part[[ID_Antenne]:[Colonne2]],6,FALSE),"")</f>
        <v/>
      </c>
    </row>
    <row r="1017" spans="1:11" x14ac:dyDescent="0.3">
      <c r="A1017" t="s">
        <v>732</v>
      </c>
      <c r="B1017" s="1">
        <v>45227.48333333333</v>
      </c>
      <c r="C1017" s="2">
        <v>45227.48333333333</v>
      </c>
      <c r="D1017" t="s">
        <v>745</v>
      </c>
      <c r="E1017">
        <v>81</v>
      </c>
      <c r="F1017" t="s">
        <v>737</v>
      </c>
      <c r="G1017" t="str">
        <f>IFERROR(VLOOKUP(Logs_Reseau_Part5[[#This Row],[Cell_ID]],Registre_Maintenance_Part[[ID_Antenne]:[Colonne2]],2,FALSE),"")</f>
        <v/>
      </c>
      <c r="H1017" t="str">
        <f>IFERROR(VLOOKUP(Logs_Reseau_Part5[[#This Row],[Cell_ID]],Registre_Maintenance_Part[[ID_Antenne]:[Colonne2]],3,FALSE),"")</f>
        <v/>
      </c>
      <c r="I1017" t="str">
        <f>IFERROR(VLOOKUP(Logs_Reseau_Part5[[#This Row],[Cell_ID]],Registre_Maintenance_Part[[ID_Antenne]:[Colonne2]],4,FALSE),"")</f>
        <v/>
      </c>
      <c r="J1017" t="str">
        <f>IFERROR(VLOOKUP(Logs_Reseau_Part5[[#This Row],[Cell_ID]],Registre_Maintenance_Part[[ID_Antenne]:[Colonne2]],5,FALSE),"")</f>
        <v/>
      </c>
      <c r="K1017" t="str">
        <f>IFERROR(VLOOKUP(Logs_Reseau_Part5[[#This Row],[Cell_ID]],Registre_Maintenance_Part[[ID_Antenne]:[Colonne2]],6,FALSE),"")</f>
        <v/>
      </c>
    </row>
    <row r="1018" spans="1:11" x14ac:dyDescent="0.3">
      <c r="A1018" t="s">
        <v>732</v>
      </c>
      <c r="B1018" s="1">
        <v>45227.484722222223</v>
      </c>
      <c r="C1018" s="2">
        <v>45227.484722222223</v>
      </c>
      <c r="D1018" t="s">
        <v>754</v>
      </c>
      <c r="E1018">
        <v>24</v>
      </c>
      <c r="F1018" t="s">
        <v>737</v>
      </c>
      <c r="G1018" t="str">
        <f>IFERROR(VLOOKUP(Logs_Reseau_Part5[[#This Row],[Cell_ID]],Registre_Maintenance_Part[[ID_Antenne]:[Colonne2]],2,FALSE),"")</f>
        <v/>
      </c>
      <c r="H1018" t="str">
        <f>IFERROR(VLOOKUP(Logs_Reseau_Part5[[#This Row],[Cell_ID]],Registre_Maintenance_Part[[ID_Antenne]:[Colonne2]],3,FALSE),"")</f>
        <v/>
      </c>
      <c r="I1018" t="str">
        <f>IFERROR(VLOOKUP(Logs_Reseau_Part5[[#This Row],[Cell_ID]],Registre_Maintenance_Part[[ID_Antenne]:[Colonne2]],4,FALSE),"")</f>
        <v/>
      </c>
      <c r="J1018" t="str">
        <f>IFERROR(VLOOKUP(Logs_Reseau_Part5[[#This Row],[Cell_ID]],Registre_Maintenance_Part[[ID_Antenne]:[Colonne2]],5,FALSE),"")</f>
        <v/>
      </c>
      <c r="K1018" t="str">
        <f>IFERROR(VLOOKUP(Logs_Reseau_Part5[[#This Row],[Cell_ID]],Registre_Maintenance_Part[[ID_Antenne]:[Colonne2]],6,FALSE),"")</f>
        <v/>
      </c>
    </row>
    <row r="1019" spans="1:11" x14ac:dyDescent="0.3">
      <c r="A1019" t="s">
        <v>941</v>
      </c>
      <c r="B1019" s="1">
        <v>45227.527083333327</v>
      </c>
      <c r="C1019" s="2">
        <v>45227.527083333327</v>
      </c>
      <c r="D1019" t="s">
        <v>971</v>
      </c>
      <c r="E1019">
        <v>107</v>
      </c>
      <c r="F1019" t="s">
        <v>737</v>
      </c>
      <c r="G1019" t="str">
        <f>IFERROR(VLOOKUP(Logs_Reseau_Part5[[#This Row],[Cell_ID]],Registre_Maintenance_Part[[ID_Antenne]:[Colonne2]],2,FALSE),"")</f>
        <v/>
      </c>
      <c r="H1019" t="str">
        <f>IFERROR(VLOOKUP(Logs_Reseau_Part5[[#This Row],[Cell_ID]],Registre_Maintenance_Part[[ID_Antenne]:[Colonne2]],3,FALSE),"")</f>
        <v/>
      </c>
      <c r="I1019" t="str">
        <f>IFERROR(VLOOKUP(Logs_Reseau_Part5[[#This Row],[Cell_ID]],Registre_Maintenance_Part[[ID_Antenne]:[Colonne2]],4,FALSE),"")</f>
        <v/>
      </c>
      <c r="J1019" t="str">
        <f>IFERROR(VLOOKUP(Logs_Reseau_Part5[[#This Row],[Cell_ID]],Registre_Maintenance_Part[[ID_Antenne]:[Colonne2]],5,FALSE),"")</f>
        <v/>
      </c>
      <c r="K1019" t="str">
        <f>IFERROR(VLOOKUP(Logs_Reseau_Part5[[#This Row],[Cell_ID]],Registre_Maintenance_Part[[ID_Antenne]:[Colonne2]],6,FALSE),"")</f>
        <v/>
      </c>
    </row>
    <row r="1020" spans="1:11" x14ac:dyDescent="0.3">
      <c r="A1020" t="s">
        <v>1363</v>
      </c>
      <c r="B1020" s="1">
        <v>45227.660416666673</v>
      </c>
      <c r="C1020" s="2">
        <v>45227.660416666673</v>
      </c>
      <c r="D1020" t="s">
        <v>1069</v>
      </c>
      <c r="E1020">
        <v>67</v>
      </c>
      <c r="F1020" t="s">
        <v>739</v>
      </c>
      <c r="G1020" t="str">
        <f>IFERROR(VLOOKUP(Logs_Reseau_Part5[[#This Row],[Cell_ID]],Registre_Maintenance_Part[[ID_Antenne]:[Colonne2]],2,FALSE),"")</f>
        <v/>
      </c>
      <c r="H1020" t="str">
        <f>IFERROR(VLOOKUP(Logs_Reseau_Part5[[#This Row],[Cell_ID]],Registre_Maintenance_Part[[ID_Antenne]:[Colonne2]],3,FALSE),"")</f>
        <v/>
      </c>
      <c r="I1020" t="str">
        <f>IFERROR(VLOOKUP(Logs_Reseau_Part5[[#This Row],[Cell_ID]],Registre_Maintenance_Part[[ID_Antenne]:[Colonne2]],4,FALSE),"")</f>
        <v/>
      </c>
      <c r="J1020" t="str">
        <f>IFERROR(VLOOKUP(Logs_Reseau_Part5[[#This Row],[Cell_ID]],Registre_Maintenance_Part[[ID_Antenne]:[Colonne2]],5,FALSE),"")</f>
        <v/>
      </c>
      <c r="K1020" t="str">
        <f>IFERROR(VLOOKUP(Logs_Reseau_Part5[[#This Row],[Cell_ID]],Registre_Maintenance_Part[[ID_Antenne]:[Colonne2]],6,FALSE),"")</f>
        <v/>
      </c>
    </row>
    <row r="1021" spans="1:11" x14ac:dyDescent="0.3">
      <c r="A1021" t="s">
        <v>1332</v>
      </c>
      <c r="B1021" s="1">
        <v>45227.705555555563</v>
      </c>
      <c r="C1021" s="2">
        <v>45227.705555555563</v>
      </c>
      <c r="D1021" t="s">
        <v>994</v>
      </c>
      <c r="E1021">
        <v>108</v>
      </c>
      <c r="F1021" t="s">
        <v>737</v>
      </c>
      <c r="G1021" t="str">
        <f>IFERROR(VLOOKUP(Logs_Reseau_Part5[[#This Row],[Cell_ID]],Registre_Maintenance_Part[[ID_Antenne]:[Colonne2]],2,FALSE),"")</f>
        <v/>
      </c>
      <c r="H1021" t="str">
        <f>IFERROR(VLOOKUP(Logs_Reseau_Part5[[#This Row],[Cell_ID]],Registre_Maintenance_Part[[ID_Antenne]:[Colonne2]],3,FALSE),"")</f>
        <v/>
      </c>
      <c r="I1021" t="str">
        <f>IFERROR(VLOOKUP(Logs_Reseau_Part5[[#This Row],[Cell_ID]],Registre_Maintenance_Part[[ID_Antenne]:[Colonne2]],4,FALSE),"")</f>
        <v/>
      </c>
      <c r="J1021" t="str">
        <f>IFERROR(VLOOKUP(Logs_Reseau_Part5[[#This Row],[Cell_ID]],Registre_Maintenance_Part[[ID_Antenne]:[Colonne2]],5,FALSE),"")</f>
        <v/>
      </c>
      <c r="K1021" t="str">
        <f>IFERROR(VLOOKUP(Logs_Reseau_Part5[[#This Row],[Cell_ID]],Registre_Maintenance_Part[[ID_Antenne]:[Colonne2]],6,FALSE),"")</f>
        <v/>
      </c>
    </row>
    <row r="1022" spans="1:11" x14ac:dyDescent="0.3">
      <c r="A1022" t="s">
        <v>1001</v>
      </c>
      <c r="B1022" s="1">
        <v>45227.724305555559</v>
      </c>
      <c r="C1022" s="2">
        <v>45227.724305555559</v>
      </c>
      <c r="D1022" t="s">
        <v>994</v>
      </c>
      <c r="E1022">
        <v>20</v>
      </c>
      <c r="F1022" t="s">
        <v>734</v>
      </c>
      <c r="G1022" t="str">
        <f>IFERROR(VLOOKUP(Logs_Reseau_Part5[[#This Row],[Cell_ID]],Registre_Maintenance_Part[[ID_Antenne]:[Colonne2]],2,FALSE),"")</f>
        <v/>
      </c>
      <c r="H1022" t="str">
        <f>IFERROR(VLOOKUP(Logs_Reseau_Part5[[#This Row],[Cell_ID]],Registre_Maintenance_Part[[ID_Antenne]:[Colonne2]],3,FALSE),"")</f>
        <v/>
      </c>
      <c r="I1022" t="str">
        <f>IFERROR(VLOOKUP(Logs_Reseau_Part5[[#This Row],[Cell_ID]],Registre_Maintenance_Part[[ID_Antenne]:[Colonne2]],4,FALSE),"")</f>
        <v/>
      </c>
      <c r="J1022" t="str">
        <f>IFERROR(VLOOKUP(Logs_Reseau_Part5[[#This Row],[Cell_ID]],Registre_Maintenance_Part[[ID_Antenne]:[Colonne2]],5,FALSE),"")</f>
        <v/>
      </c>
      <c r="K1022" t="str">
        <f>IFERROR(VLOOKUP(Logs_Reseau_Part5[[#This Row],[Cell_ID]],Registre_Maintenance_Part[[ID_Antenne]:[Colonne2]],6,FALSE),"")</f>
        <v/>
      </c>
    </row>
    <row r="1023" spans="1:11" x14ac:dyDescent="0.3">
      <c r="A1023" t="s">
        <v>904</v>
      </c>
      <c r="B1023" s="1">
        <v>45227.768750000003</v>
      </c>
      <c r="C1023" s="2">
        <v>45227.768750000003</v>
      </c>
      <c r="D1023" t="s">
        <v>917</v>
      </c>
      <c r="E1023">
        <v>61</v>
      </c>
      <c r="F1023" t="s">
        <v>737</v>
      </c>
      <c r="G1023" t="str">
        <f>IFERROR(VLOOKUP(Logs_Reseau_Part5[[#This Row],[Cell_ID]],Registre_Maintenance_Part[[ID_Antenne]:[Colonne2]],2,FALSE),"")</f>
        <v/>
      </c>
      <c r="H1023" t="str">
        <f>IFERROR(VLOOKUP(Logs_Reseau_Part5[[#This Row],[Cell_ID]],Registre_Maintenance_Part[[ID_Antenne]:[Colonne2]],3,FALSE),"")</f>
        <v/>
      </c>
      <c r="I1023" t="str">
        <f>IFERROR(VLOOKUP(Logs_Reseau_Part5[[#This Row],[Cell_ID]],Registre_Maintenance_Part[[ID_Antenne]:[Colonne2]],4,FALSE),"")</f>
        <v/>
      </c>
      <c r="J1023" t="str">
        <f>IFERROR(VLOOKUP(Logs_Reseau_Part5[[#This Row],[Cell_ID]],Registre_Maintenance_Part[[ID_Antenne]:[Colonne2]],5,FALSE),"")</f>
        <v/>
      </c>
      <c r="K1023" t="str">
        <f>IFERROR(VLOOKUP(Logs_Reseau_Part5[[#This Row],[Cell_ID]],Registre_Maintenance_Part[[ID_Antenne]:[Colonne2]],6,FALSE),"")</f>
        <v/>
      </c>
    </row>
    <row r="1024" spans="1:11" x14ac:dyDescent="0.3">
      <c r="A1024" t="s">
        <v>904</v>
      </c>
      <c r="B1024" s="1">
        <v>45227.775694444441</v>
      </c>
      <c r="C1024" s="2">
        <v>45227.775694444441</v>
      </c>
      <c r="D1024" t="s">
        <v>843</v>
      </c>
      <c r="E1024">
        <v>45</v>
      </c>
      <c r="F1024" t="s">
        <v>739</v>
      </c>
      <c r="G1024" t="str">
        <f>IFERROR(VLOOKUP(Logs_Reseau_Part5[[#This Row],[Cell_ID]],Registre_Maintenance_Part[[ID_Antenne]:[Colonne2]],2,FALSE),"")</f>
        <v/>
      </c>
      <c r="H1024" t="str">
        <f>IFERROR(VLOOKUP(Logs_Reseau_Part5[[#This Row],[Cell_ID]],Registre_Maintenance_Part[[ID_Antenne]:[Colonne2]],3,FALSE),"")</f>
        <v/>
      </c>
      <c r="I1024" t="str">
        <f>IFERROR(VLOOKUP(Logs_Reseau_Part5[[#This Row],[Cell_ID]],Registre_Maintenance_Part[[ID_Antenne]:[Colonne2]],4,FALSE),"")</f>
        <v/>
      </c>
      <c r="J1024" t="str">
        <f>IFERROR(VLOOKUP(Logs_Reseau_Part5[[#This Row],[Cell_ID]],Registre_Maintenance_Part[[ID_Antenne]:[Colonne2]],5,FALSE),"")</f>
        <v/>
      </c>
      <c r="K1024" t="str">
        <f>IFERROR(VLOOKUP(Logs_Reseau_Part5[[#This Row],[Cell_ID]],Registre_Maintenance_Part[[ID_Antenne]:[Colonne2]],6,FALSE),"")</f>
        <v/>
      </c>
    </row>
    <row r="1025" spans="1:11" x14ac:dyDescent="0.3">
      <c r="A1025" t="s">
        <v>941</v>
      </c>
      <c r="B1025" s="1">
        <v>45227.839583333327</v>
      </c>
      <c r="C1025" s="2">
        <v>45227.839583333327</v>
      </c>
      <c r="D1025" t="s">
        <v>952</v>
      </c>
      <c r="E1025">
        <v>94</v>
      </c>
      <c r="F1025" t="s">
        <v>739</v>
      </c>
      <c r="G1025" t="str">
        <f>IFERROR(VLOOKUP(Logs_Reseau_Part5[[#This Row],[Cell_ID]],Registre_Maintenance_Part[[ID_Antenne]:[Colonne2]],2,FALSE),"")</f>
        <v/>
      </c>
      <c r="H1025" t="str">
        <f>IFERROR(VLOOKUP(Logs_Reseau_Part5[[#This Row],[Cell_ID]],Registre_Maintenance_Part[[ID_Antenne]:[Colonne2]],3,FALSE),"")</f>
        <v/>
      </c>
      <c r="I1025" t="str">
        <f>IFERROR(VLOOKUP(Logs_Reseau_Part5[[#This Row],[Cell_ID]],Registre_Maintenance_Part[[ID_Antenne]:[Colonne2]],4,FALSE),"")</f>
        <v/>
      </c>
      <c r="J1025" t="str">
        <f>IFERROR(VLOOKUP(Logs_Reseau_Part5[[#This Row],[Cell_ID]],Registre_Maintenance_Part[[ID_Antenne]:[Colonne2]],5,FALSE),"")</f>
        <v/>
      </c>
      <c r="K1025" t="str">
        <f>IFERROR(VLOOKUP(Logs_Reseau_Part5[[#This Row],[Cell_ID]],Registre_Maintenance_Part[[ID_Antenne]:[Colonne2]],6,FALSE),"")</f>
        <v/>
      </c>
    </row>
    <row r="1026" spans="1:11" x14ac:dyDescent="0.3">
      <c r="A1026" t="s">
        <v>1167</v>
      </c>
      <c r="B1026" s="1">
        <v>45227.92291666667</v>
      </c>
      <c r="C1026" s="2">
        <v>45227.92291666667</v>
      </c>
      <c r="D1026" t="s">
        <v>858</v>
      </c>
      <c r="E1026">
        <v>26</v>
      </c>
      <c r="F1026" t="s">
        <v>739</v>
      </c>
      <c r="G1026" t="str">
        <f>IFERROR(VLOOKUP(Logs_Reseau_Part5[[#This Row],[Cell_ID]],Registre_Maintenance_Part[[ID_Antenne]:[Colonne2]],2,FALSE),"")</f>
        <v/>
      </c>
      <c r="H1026" t="str">
        <f>IFERROR(VLOOKUP(Logs_Reseau_Part5[[#This Row],[Cell_ID]],Registre_Maintenance_Part[[ID_Antenne]:[Colonne2]],3,FALSE),"")</f>
        <v/>
      </c>
      <c r="I1026" t="str">
        <f>IFERROR(VLOOKUP(Logs_Reseau_Part5[[#This Row],[Cell_ID]],Registre_Maintenance_Part[[ID_Antenne]:[Colonne2]],4,FALSE),"")</f>
        <v/>
      </c>
      <c r="J1026" t="str">
        <f>IFERROR(VLOOKUP(Logs_Reseau_Part5[[#This Row],[Cell_ID]],Registre_Maintenance_Part[[ID_Antenne]:[Colonne2]],5,FALSE),"")</f>
        <v/>
      </c>
      <c r="K1026" t="str">
        <f>IFERROR(VLOOKUP(Logs_Reseau_Part5[[#This Row],[Cell_ID]],Registre_Maintenance_Part[[ID_Antenne]:[Colonne2]],6,FALSE),"")</f>
        <v/>
      </c>
    </row>
    <row r="1027" spans="1:11" x14ac:dyDescent="0.3">
      <c r="A1027" t="s">
        <v>1263</v>
      </c>
      <c r="B1027" s="1">
        <v>45228.01458333333</v>
      </c>
      <c r="C1027" s="2">
        <v>45228.01458333333</v>
      </c>
      <c r="D1027" t="s">
        <v>842</v>
      </c>
      <c r="E1027">
        <v>98</v>
      </c>
      <c r="F1027" t="s">
        <v>734</v>
      </c>
      <c r="G1027" t="str">
        <f>IFERROR(VLOOKUP(Logs_Reseau_Part5[[#This Row],[Cell_ID]],Registre_Maintenance_Part[[ID_Antenne]:[Colonne2]],2,FALSE),"")</f>
        <v/>
      </c>
      <c r="H1027" t="str">
        <f>IFERROR(VLOOKUP(Logs_Reseau_Part5[[#This Row],[Cell_ID]],Registre_Maintenance_Part[[ID_Antenne]:[Colonne2]],3,FALSE),"")</f>
        <v/>
      </c>
      <c r="I1027" t="str">
        <f>IFERROR(VLOOKUP(Logs_Reseau_Part5[[#This Row],[Cell_ID]],Registre_Maintenance_Part[[ID_Antenne]:[Colonne2]],4,FALSE),"")</f>
        <v/>
      </c>
      <c r="J1027" t="str">
        <f>IFERROR(VLOOKUP(Logs_Reseau_Part5[[#This Row],[Cell_ID]],Registre_Maintenance_Part[[ID_Antenne]:[Colonne2]],5,FALSE),"")</f>
        <v/>
      </c>
      <c r="K1027" t="str">
        <f>IFERROR(VLOOKUP(Logs_Reseau_Part5[[#This Row],[Cell_ID]],Registre_Maintenance_Part[[ID_Antenne]:[Colonne2]],6,FALSE),"")</f>
        <v/>
      </c>
    </row>
    <row r="1028" spans="1:11" x14ac:dyDescent="0.3">
      <c r="A1028" t="s">
        <v>1243</v>
      </c>
      <c r="B1028" s="1">
        <v>45228.100694444453</v>
      </c>
      <c r="C1028" s="2">
        <v>45228.100694444453</v>
      </c>
      <c r="D1028" t="s">
        <v>988</v>
      </c>
      <c r="E1028">
        <v>23</v>
      </c>
      <c r="F1028" t="s">
        <v>739</v>
      </c>
      <c r="G1028" t="str">
        <f>IFERROR(VLOOKUP(Logs_Reseau_Part5[[#This Row],[Cell_ID]],Registre_Maintenance_Part[[ID_Antenne]:[Colonne2]],2,FALSE),"")</f>
        <v/>
      </c>
      <c r="H1028" t="str">
        <f>IFERROR(VLOOKUP(Logs_Reseau_Part5[[#This Row],[Cell_ID]],Registre_Maintenance_Part[[ID_Antenne]:[Colonne2]],3,FALSE),"")</f>
        <v/>
      </c>
      <c r="I1028" t="str">
        <f>IFERROR(VLOOKUP(Logs_Reseau_Part5[[#This Row],[Cell_ID]],Registre_Maintenance_Part[[ID_Antenne]:[Colonne2]],4,FALSE),"")</f>
        <v/>
      </c>
      <c r="J1028" t="str">
        <f>IFERROR(VLOOKUP(Logs_Reseau_Part5[[#This Row],[Cell_ID]],Registre_Maintenance_Part[[ID_Antenne]:[Colonne2]],5,FALSE),"")</f>
        <v/>
      </c>
      <c r="K1028" t="str">
        <f>IFERROR(VLOOKUP(Logs_Reseau_Part5[[#This Row],[Cell_ID]],Registre_Maintenance_Part[[ID_Antenne]:[Colonne2]],6,FALSE),"")</f>
        <v/>
      </c>
    </row>
    <row r="1029" spans="1:11" x14ac:dyDescent="0.3">
      <c r="A1029" t="s">
        <v>1221</v>
      </c>
      <c r="B1029" s="1">
        <v>45228.269444444442</v>
      </c>
      <c r="C1029" s="2">
        <v>45228.269444444442</v>
      </c>
      <c r="D1029" t="s">
        <v>823</v>
      </c>
      <c r="E1029">
        <v>109</v>
      </c>
      <c r="F1029" t="s">
        <v>737</v>
      </c>
      <c r="G1029" t="str">
        <f>IFERROR(VLOOKUP(Logs_Reseau_Part5[[#This Row],[Cell_ID]],Registre_Maintenance_Part[[ID_Antenne]:[Colonne2]],2,FALSE),"")</f>
        <v/>
      </c>
      <c r="H1029" t="str">
        <f>IFERROR(VLOOKUP(Logs_Reseau_Part5[[#This Row],[Cell_ID]],Registre_Maintenance_Part[[ID_Antenne]:[Colonne2]],3,FALSE),"")</f>
        <v/>
      </c>
      <c r="I1029" t="str">
        <f>IFERROR(VLOOKUP(Logs_Reseau_Part5[[#This Row],[Cell_ID]],Registre_Maintenance_Part[[ID_Antenne]:[Colonne2]],4,FALSE),"")</f>
        <v/>
      </c>
      <c r="J1029" t="str">
        <f>IFERROR(VLOOKUP(Logs_Reseau_Part5[[#This Row],[Cell_ID]],Registre_Maintenance_Part[[ID_Antenne]:[Colonne2]],5,FALSE),"")</f>
        <v/>
      </c>
      <c r="K1029" t="str">
        <f>IFERROR(VLOOKUP(Logs_Reseau_Part5[[#This Row],[Cell_ID]],Registre_Maintenance_Part[[ID_Antenne]:[Colonne2]],6,FALSE),"")</f>
        <v/>
      </c>
    </row>
    <row r="1030" spans="1:11" x14ac:dyDescent="0.3">
      <c r="A1030" t="s">
        <v>825</v>
      </c>
      <c r="B1030" s="1">
        <v>45228.34097222222</v>
      </c>
      <c r="C1030" s="2">
        <v>45228.34097222222</v>
      </c>
      <c r="D1030" t="s">
        <v>827</v>
      </c>
      <c r="E1030">
        <v>118</v>
      </c>
      <c r="F1030" t="s">
        <v>739</v>
      </c>
      <c r="G1030" t="str">
        <f>IFERROR(VLOOKUP(Logs_Reseau_Part5[[#This Row],[Cell_ID]],Registre_Maintenance_Part[[ID_Antenne]:[Colonne2]],2,FALSE),"")</f>
        <v/>
      </c>
      <c r="H1030" t="str">
        <f>IFERROR(VLOOKUP(Logs_Reseau_Part5[[#This Row],[Cell_ID]],Registre_Maintenance_Part[[ID_Antenne]:[Colonne2]],3,FALSE),"")</f>
        <v/>
      </c>
      <c r="I1030" t="str">
        <f>IFERROR(VLOOKUP(Logs_Reseau_Part5[[#This Row],[Cell_ID]],Registre_Maintenance_Part[[ID_Antenne]:[Colonne2]],4,FALSE),"")</f>
        <v/>
      </c>
      <c r="J1030" t="str">
        <f>IFERROR(VLOOKUP(Logs_Reseau_Part5[[#This Row],[Cell_ID]],Registre_Maintenance_Part[[ID_Antenne]:[Colonne2]],5,FALSE),"")</f>
        <v/>
      </c>
      <c r="K1030" t="str">
        <f>IFERROR(VLOOKUP(Logs_Reseau_Part5[[#This Row],[Cell_ID]],Registre_Maintenance_Part[[ID_Antenne]:[Colonne2]],6,FALSE),"")</f>
        <v/>
      </c>
    </row>
    <row r="1031" spans="1:11" x14ac:dyDescent="0.3">
      <c r="A1031" t="s">
        <v>1384</v>
      </c>
      <c r="B1031" s="1">
        <v>45228.518055555563</v>
      </c>
      <c r="C1031" s="2">
        <v>45228.518055555563</v>
      </c>
      <c r="D1031" t="s">
        <v>1334</v>
      </c>
      <c r="E1031">
        <v>92</v>
      </c>
      <c r="F1031" t="s">
        <v>739</v>
      </c>
      <c r="G1031" t="str">
        <f>IFERROR(VLOOKUP(Logs_Reseau_Part5[[#This Row],[Cell_ID]],Registre_Maintenance_Part[[ID_Antenne]:[Colonne2]],2,FALSE),"")</f>
        <v/>
      </c>
      <c r="H1031" t="str">
        <f>IFERROR(VLOOKUP(Logs_Reseau_Part5[[#This Row],[Cell_ID]],Registre_Maintenance_Part[[ID_Antenne]:[Colonne2]],3,FALSE),"")</f>
        <v/>
      </c>
      <c r="I1031" t="str">
        <f>IFERROR(VLOOKUP(Logs_Reseau_Part5[[#This Row],[Cell_ID]],Registre_Maintenance_Part[[ID_Antenne]:[Colonne2]],4,FALSE),"")</f>
        <v/>
      </c>
      <c r="J1031" t="str">
        <f>IFERROR(VLOOKUP(Logs_Reseau_Part5[[#This Row],[Cell_ID]],Registre_Maintenance_Part[[ID_Antenne]:[Colonne2]],5,FALSE),"")</f>
        <v/>
      </c>
      <c r="K1031" t="str">
        <f>IFERROR(VLOOKUP(Logs_Reseau_Part5[[#This Row],[Cell_ID]],Registre_Maintenance_Part[[ID_Antenne]:[Colonne2]],6,FALSE),"")</f>
        <v/>
      </c>
    </row>
    <row r="1032" spans="1:11" x14ac:dyDescent="0.3">
      <c r="A1032" t="s">
        <v>1088</v>
      </c>
      <c r="B1032" s="1">
        <v>45228.736111111109</v>
      </c>
      <c r="C1032" s="2">
        <v>45228.736111111109</v>
      </c>
      <c r="D1032" t="s">
        <v>1103</v>
      </c>
      <c r="E1032">
        <v>66</v>
      </c>
      <c r="F1032" t="s">
        <v>739</v>
      </c>
      <c r="G1032" t="str">
        <f>IFERROR(VLOOKUP(Logs_Reseau_Part5[[#This Row],[Cell_ID]],Registre_Maintenance_Part[[ID_Antenne]:[Colonne2]],2,FALSE),"")</f>
        <v/>
      </c>
      <c r="H1032" t="str">
        <f>IFERROR(VLOOKUP(Logs_Reseau_Part5[[#This Row],[Cell_ID]],Registre_Maintenance_Part[[ID_Antenne]:[Colonne2]],3,FALSE),"")</f>
        <v/>
      </c>
      <c r="I1032" t="str">
        <f>IFERROR(VLOOKUP(Logs_Reseau_Part5[[#This Row],[Cell_ID]],Registre_Maintenance_Part[[ID_Antenne]:[Colonne2]],4,FALSE),"")</f>
        <v/>
      </c>
      <c r="J1032" t="str">
        <f>IFERROR(VLOOKUP(Logs_Reseau_Part5[[#This Row],[Cell_ID]],Registre_Maintenance_Part[[ID_Antenne]:[Colonne2]],5,FALSE),"")</f>
        <v/>
      </c>
      <c r="K1032" t="str">
        <f>IFERROR(VLOOKUP(Logs_Reseau_Part5[[#This Row],[Cell_ID]],Registre_Maintenance_Part[[ID_Antenne]:[Colonne2]],6,FALSE),"")</f>
        <v/>
      </c>
    </row>
    <row r="1033" spans="1:11" x14ac:dyDescent="0.3">
      <c r="A1033" t="s">
        <v>825</v>
      </c>
      <c r="B1033" s="1">
        <v>45228.758333333331</v>
      </c>
      <c r="C1033" s="2">
        <v>45228.758333333331</v>
      </c>
      <c r="D1033" t="s">
        <v>833</v>
      </c>
      <c r="E1033">
        <v>54</v>
      </c>
      <c r="F1033" t="s">
        <v>734</v>
      </c>
      <c r="G1033" t="str">
        <f>IFERROR(VLOOKUP(Logs_Reseau_Part5[[#This Row],[Cell_ID]],Registre_Maintenance_Part[[ID_Antenne]:[Colonne2]],2,FALSE),"")</f>
        <v/>
      </c>
      <c r="H1033" t="str">
        <f>IFERROR(VLOOKUP(Logs_Reseau_Part5[[#This Row],[Cell_ID]],Registre_Maintenance_Part[[ID_Antenne]:[Colonne2]],3,FALSE),"")</f>
        <v/>
      </c>
      <c r="I1033" t="str">
        <f>IFERROR(VLOOKUP(Logs_Reseau_Part5[[#This Row],[Cell_ID]],Registre_Maintenance_Part[[ID_Antenne]:[Colonne2]],4,FALSE),"")</f>
        <v/>
      </c>
      <c r="J1033" t="str">
        <f>IFERROR(VLOOKUP(Logs_Reseau_Part5[[#This Row],[Cell_ID]],Registre_Maintenance_Part[[ID_Antenne]:[Colonne2]],5,FALSE),"")</f>
        <v/>
      </c>
      <c r="K1033" t="str">
        <f>IFERROR(VLOOKUP(Logs_Reseau_Part5[[#This Row],[Cell_ID]],Registre_Maintenance_Part[[ID_Antenne]:[Colonne2]],6,FALSE),"")</f>
        <v/>
      </c>
    </row>
    <row r="1034" spans="1:11" x14ac:dyDescent="0.3">
      <c r="A1034" t="s">
        <v>1243</v>
      </c>
      <c r="B1034" s="1">
        <v>45228.840277777781</v>
      </c>
      <c r="C1034" s="2">
        <v>45228.840277777781</v>
      </c>
      <c r="D1034" t="s">
        <v>776</v>
      </c>
      <c r="E1034">
        <v>101</v>
      </c>
      <c r="F1034" t="s">
        <v>734</v>
      </c>
      <c r="G1034" t="str">
        <f>IFERROR(VLOOKUP(Logs_Reseau_Part5[[#This Row],[Cell_ID]],Registre_Maintenance_Part[[ID_Antenne]:[Colonne2]],2,FALSE),"")</f>
        <v/>
      </c>
      <c r="H1034" t="str">
        <f>IFERROR(VLOOKUP(Logs_Reseau_Part5[[#This Row],[Cell_ID]],Registre_Maintenance_Part[[ID_Antenne]:[Colonne2]],3,FALSE),"")</f>
        <v/>
      </c>
      <c r="I1034" t="str">
        <f>IFERROR(VLOOKUP(Logs_Reseau_Part5[[#This Row],[Cell_ID]],Registre_Maintenance_Part[[ID_Antenne]:[Colonne2]],4,FALSE),"")</f>
        <v/>
      </c>
      <c r="J1034" t="str">
        <f>IFERROR(VLOOKUP(Logs_Reseau_Part5[[#This Row],[Cell_ID]],Registre_Maintenance_Part[[ID_Antenne]:[Colonne2]],5,FALSE),"")</f>
        <v/>
      </c>
      <c r="K1034" t="str">
        <f>IFERROR(VLOOKUP(Logs_Reseau_Part5[[#This Row],[Cell_ID]],Registre_Maintenance_Part[[ID_Antenne]:[Colonne2]],6,FALSE),"")</f>
        <v/>
      </c>
    </row>
    <row r="1035" spans="1:11" x14ac:dyDescent="0.3">
      <c r="A1035" t="s">
        <v>980</v>
      </c>
      <c r="B1035" s="1">
        <v>45228.848611111112</v>
      </c>
      <c r="C1035" s="2">
        <v>45228.848611111112</v>
      </c>
      <c r="D1035" t="s">
        <v>990</v>
      </c>
      <c r="E1035">
        <v>18</v>
      </c>
      <c r="F1035" t="s">
        <v>739</v>
      </c>
      <c r="G1035" t="str">
        <f>IFERROR(VLOOKUP(Logs_Reseau_Part5[[#This Row],[Cell_ID]],Registre_Maintenance_Part[[ID_Antenne]:[Colonne2]],2,FALSE),"")</f>
        <v/>
      </c>
      <c r="H1035" t="str">
        <f>IFERROR(VLOOKUP(Logs_Reseau_Part5[[#This Row],[Cell_ID]],Registre_Maintenance_Part[[ID_Antenne]:[Colonne2]],3,FALSE),"")</f>
        <v/>
      </c>
      <c r="I1035" t="str">
        <f>IFERROR(VLOOKUP(Logs_Reseau_Part5[[#This Row],[Cell_ID]],Registre_Maintenance_Part[[ID_Antenne]:[Colonne2]],4,FALSE),"")</f>
        <v/>
      </c>
      <c r="J1035" t="str">
        <f>IFERROR(VLOOKUP(Logs_Reseau_Part5[[#This Row],[Cell_ID]],Registre_Maintenance_Part[[ID_Antenne]:[Colonne2]],5,FALSE),"")</f>
        <v/>
      </c>
      <c r="K1035" t="str">
        <f>IFERROR(VLOOKUP(Logs_Reseau_Part5[[#This Row],[Cell_ID]],Registre_Maintenance_Part[[ID_Antenne]:[Colonne2]],6,FALSE),"")</f>
        <v/>
      </c>
    </row>
    <row r="1036" spans="1:11" x14ac:dyDescent="0.3">
      <c r="A1036" t="s">
        <v>1384</v>
      </c>
      <c r="B1036" s="1">
        <v>45228.980555555558</v>
      </c>
      <c r="C1036" s="2">
        <v>45228.980555555558</v>
      </c>
      <c r="D1036" t="s">
        <v>940</v>
      </c>
      <c r="E1036">
        <v>37</v>
      </c>
      <c r="F1036" t="s">
        <v>737</v>
      </c>
      <c r="G1036" t="str">
        <f>IFERROR(VLOOKUP(Logs_Reseau_Part5[[#This Row],[Cell_ID]],Registre_Maintenance_Part[[ID_Antenne]:[Colonne2]],2,FALSE),"")</f>
        <v/>
      </c>
      <c r="H1036" t="str">
        <f>IFERROR(VLOOKUP(Logs_Reseau_Part5[[#This Row],[Cell_ID]],Registre_Maintenance_Part[[ID_Antenne]:[Colonne2]],3,FALSE),"")</f>
        <v/>
      </c>
      <c r="I1036" t="str">
        <f>IFERROR(VLOOKUP(Logs_Reseau_Part5[[#This Row],[Cell_ID]],Registre_Maintenance_Part[[ID_Antenne]:[Colonne2]],4,FALSE),"")</f>
        <v/>
      </c>
      <c r="J1036" t="str">
        <f>IFERROR(VLOOKUP(Logs_Reseau_Part5[[#This Row],[Cell_ID]],Registre_Maintenance_Part[[ID_Antenne]:[Colonne2]],5,FALSE),"")</f>
        <v/>
      </c>
      <c r="K1036" t="str">
        <f>IFERROR(VLOOKUP(Logs_Reseau_Part5[[#This Row],[Cell_ID]],Registre_Maintenance_Part[[ID_Antenne]:[Colonne2]],6,FALSE),"")</f>
        <v/>
      </c>
    </row>
    <row r="1037" spans="1:11" x14ac:dyDescent="0.3">
      <c r="A1037" t="s">
        <v>1167</v>
      </c>
      <c r="B1037" s="1">
        <v>45229.282638888893</v>
      </c>
      <c r="C1037" s="2">
        <v>45229.282638888893</v>
      </c>
      <c r="D1037" t="s">
        <v>778</v>
      </c>
      <c r="E1037">
        <v>102</v>
      </c>
      <c r="F1037" t="s">
        <v>737</v>
      </c>
      <c r="G1037" t="str">
        <f>IFERROR(VLOOKUP(Logs_Reseau_Part5[[#This Row],[Cell_ID]],Registre_Maintenance_Part[[ID_Antenne]:[Colonne2]],2,FALSE),"")</f>
        <v/>
      </c>
      <c r="H1037" t="str">
        <f>IFERROR(VLOOKUP(Logs_Reseau_Part5[[#This Row],[Cell_ID]],Registre_Maintenance_Part[[ID_Antenne]:[Colonne2]],3,FALSE),"")</f>
        <v/>
      </c>
      <c r="I1037" t="str">
        <f>IFERROR(VLOOKUP(Logs_Reseau_Part5[[#This Row],[Cell_ID]],Registre_Maintenance_Part[[ID_Antenne]:[Colonne2]],4,FALSE),"")</f>
        <v/>
      </c>
      <c r="J1037" t="str">
        <f>IFERROR(VLOOKUP(Logs_Reseau_Part5[[#This Row],[Cell_ID]],Registre_Maintenance_Part[[ID_Antenne]:[Colonne2]],5,FALSE),"")</f>
        <v/>
      </c>
      <c r="K1037" t="str">
        <f>IFERROR(VLOOKUP(Logs_Reseau_Part5[[#This Row],[Cell_ID]],Registre_Maintenance_Part[[ID_Antenne]:[Colonne2]],6,FALSE),"")</f>
        <v/>
      </c>
    </row>
    <row r="1038" spans="1:11" x14ac:dyDescent="0.3">
      <c r="A1038" t="s">
        <v>781</v>
      </c>
      <c r="B1038" s="1">
        <v>45229.298611111109</v>
      </c>
      <c r="C1038" s="2">
        <v>45229.298611111109</v>
      </c>
      <c r="D1038" t="s">
        <v>796</v>
      </c>
      <c r="E1038">
        <v>74</v>
      </c>
      <c r="F1038" t="s">
        <v>739</v>
      </c>
      <c r="G1038" t="str">
        <f>IFERROR(VLOOKUP(Logs_Reseau_Part5[[#This Row],[Cell_ID]],Registre_Maintenance_Part[[ID_Antenne]:[Colonne2]],2,FALSE),"")</f>
        <v/>
      </c>
      <c r="H1038" t="str">
        <f>IFERROR(VLOOKUP(Logs_Reseau_Part5[[#This Row],[Cell_ID]],Registre_Maintenance_Part[[ID_Antenne]:[Colonne2]],3,FALSE),"")</f>
        <v/>
      </c>
      <c r="I1038" t="str">
        <f>IFERROR(VLOOKUP(Logs_Reseau_Part5[[#This Row],[Cell_ID]],Registre_Maintenance_Part[[ID_Antenne]:[Colonne2]],4,FALSE),"")</f>
        <v/>
      </c>
      <c r="J1038" t="str">
        <f>IFERROR(VLOOKUP(Logs_Reseau_Part5[[#This Row],[Cell_ID]],Registre_Maintenance_Part[[ID_Antenne]:[Colonne2]],5,FALSE),"")</f>
        <v/>
      </c>
      <c r="K1038" t="str">
        <f>IFERROR(VLOOKUP(Logs_Reseau_Part5[[#This Row],[Cell_ID]],Registre_Maintenance_Part[[ID_Antenne]:[Colonne2]],6,FALSE),"")</f>
        <v/>
      </c>
    </row>
    <row r="1039" spans="1:11" x14ac:dyDescent="0.3">
      <c r="A1039" t="s">
        <v>863</v>
      </c>
      <c r="B1039" s="1">
        <v>45229.4</v>
      </c>
      <c r="C1039" s="2">
        <v>45229.4</v>
      </c>
      <c r="D1039" t="s">
        <v>889</v>
      </c>
      <c r="E1039">
        <v>77</v>
      </c>
      <c r="F1039" t="s">
        <v>734</v>
      </c>
      <c r="G1039" t="str">
        <f>IFERROR(VLOOKUP(Logs_Reseau_Part5[[#This Row],[Cell_ID]],Registre_Maintenance_Part[[ID_Antenne]:[Colonne2]],2,FALSE),"")</f>
        <v/>
      </c>
      <c r="H1039" t="str">
        <f>IFERROR(VLOOKUP(Logs_Reseau_Part5[[#This Row],[Cell_ID]],Registre_Maintenance_Part[[ID_Antenne]:[Colonne2]],3,FALSE),"")</f>
        <v/>
      </c>
      <c r="I1039" t="str">
        <f>IFERROR(VLOOKUP(Logs_Reseau_Part5[[#This Row],[Cell_ID]],Registre_Maintenance_Part[[ID_Antenne]:[Colonne2]],4,FALSE),"")</f>
        <v/>
      </c>
      <c r="J1039" t="str">
        <f>IFERROR(VLOOKUP(Logs_Reseau_Part5[[#This Row],[Cell_ID]],Registre_Maintenance_Part[[ID_Antenne]:[Colonne2]],5,FALSE),"")</f>
        <v/>
      </c>
      <c r="K1039" t="str">
        <f>IFERROR(VLOOKUP(Logs_Reseau_Part5[[#This Row],[Cell_ID]],Registre_Maintenance_Part[[ID_Antenne]:[Colonne2]],6,FALSE),"")</f>
        <v/>
      </c>
    </row>
    <row r="1040" spans="1:11" x14ac:dyDescent="0.3">
      <c r="A1040" t="s">
        <v>1167</v>
      </c>
      <c r="B1040" s="1">
        <v>45229.429861111108</v>
      </c>
      <c r="C1040" s="2">
        <v>45229.429861111108</v>
      </c>
      <c r="D1040" t="s">
        <v>1018</v>
      </c>
      <c r="E1040">
        <v>90</v>
      </c>
      <c r="F1040" t="s">
        <v>734</v>
      </c>
      <c r="G1040" t="str">
        <f>IFERROR(VLOOKUP(Logs_Reseau_Part5[[#This Row],[Cell_ID]],Registre_Maintenance_Part[[ID_Antenne]:[Colonne2]],2,FALSE),"")</f>
        <v/>
      </c>
      <c r="H1040" t="str">
        <f>IFERROR(VLOOKUP(Logs_Reseau_Part5[[#This Row],[Cell_ID]],Registre_Maintenance_Part[[ID_Antenne]:[Colonne2]],3,FALSE),"")</f>
        <v/>
      </c>
      <c r="I1040" t="str">
        <f>IFERROR(VLOOKUP(Logs_Reseau_Part5[[#This Row],[Cell_ID]],Registre_Maintenance_Part[[ID_Antenne]:[Colonne2]],4,FALSE),"")</f>
        <v/>
      </c>
      <c r="J1040" t="str">
        <f>IFERROR(VLOOKUP(Logs_Reseau_Part5[[#This Row],[Cell_ID]],Registre_Maintenance_Part[[ID_Antenne]:[Colonne2]],5,FALSE),"")</f>
        <v/>
      </c>
      <c r="K1040" t="str">
        <f>IFERROR(VLOOKUP(Logs_Reseau_Part5[[#This Row],[Cell_ID]],Registre_Maintenance_Part[[ID_Antenne]:[Colonne2]],6,FALSE),"")</f>
        <v/>
      </c>
    </row>
    <row r="1041" spans="1:11" x14ac:dyDescent="0.3">
      <c r="A1041" t="s">
        <v>732</v>
      </c>
      <c r="B1041" s="1">
        <v>45229.503472222219</v>
      </c>
      <c r="C1041" s="2">
        <v>45229.503472222219</v>
      </c>
      <c r="D1041" t="s">
        <v>756</v>
      </c>
      <c r="E1041">
        <v>106</v>
      </c>
      <c r="F1041" t="s">
        <v>737</v>
      </c>
      <c r="G1041" t="str">
        <f>IFERROR(VLOOKUP(Logs_Reseau_Part5[[#This Row],[Cell_ID]],Registre_Maintenance_Part[[ID_Antenne]:[Colonne2]],2,FALSE),"")</f>
        <v/>
      </c>
      <c r="H1041" t="str">
        <f>IFERROR(VLOOKUP(Logs_Reseau_Part5[[#This Row],[Cell_ID]],Registre_Maintenance_Part[[ID_Antenne]:[Colonne2]],3,FALSE),"")</f>
        <v/>
      </c>
      <c r="I1041" t="str">
        <f>IFERROR(VLOOKUP(Logs_Reseau_Part5[[#This Row],[Cell_ID]],Registre_Maintenance_Part[[ID_Antenne]:[Colonne2]],4,FALSE),"")</f>
        <v/>
      </c>
      <c r="J1041" t="str">
        <f>IFERROR(VLOOKUP(Logs_Reseau_Part5[[#This Row],[Cell_ID]],Registre_Maintenance_Part[[ID_Antenne]:[Colonne2]],5,FALSE),"")</f>
        <v/>
      </c>
      <c r="K1041" t="str">
        <f>IFERROR(VLOOKUP(Logs_Reseau_Part5[[#This Row],[Cell_ID]],Registre_Maintenance_Part[[ID_Antenne]:[Colonne2]],6,FALSE),"")</f>
        <v/>
      </c>
    </row>
    <row r="1042" spans="1:11" x14ac:dyDescent="0.3">
      <c r="A1042" t="s">
        <v>781</v>
      </c>
      <c r="B1042" s="1">
        <v>45229.595833333333</v>
      </c>
      <c r="C1042" s="2">
        <v>45229.595833333333</v>
      </c>
      <c r="D1042" t="s">
        <v>759</v>
      </c>
      <c r="E1042">
        <v>88</v>
      </c>
      <c r="F1042" t="s">
        <v>739</v>
      </c>
      <c r="G1042" t="str">
        <f>IFERROR(VLOOKUP(Logs_Reseau_Part5[[#This Row],[Cell_ID]],Registre_Maintenance_Part[[ID_Antenne]:[Colonne2]],2,FALSE),"")</f>
        <v/>
      </c>
      <c r="H1042" t="str">
        <f>IFERROR(VLOOKUP(Logs_Reseau_Part5[[#This Row],[Cell_ID]],Registre_Maintenance_Part[[ID_Antenne]:[Colonne2]],3,FALSE),"")</f>
        <v/>
      </c>
      <c r="I1042" t="str">
        <f>IFERROR(VLOOKUP(Logs_Reseau_Part5[[#This Row],[Cell_ID]],Registre_Maintenance_Part[[ID_Antenne]:[Colonne2]],4,FALSE),"")</f>
        <v/>
      </c>
      <c r="J1042" t="str">
        <f>IFERROR(VLOOKUP(Logs_Reseau_Part5[[#This Row],[Cell_ID]],Registre_Maintenance_Part[[ID_Antenne]:[Colonne2]],5,FALSE),"")</f>
        <v/>
      </c>
      <c r="K1042" t="str">
        <f>IFERROR(VLOOKUP(Logs_Reseau_Part5[[#This Row],[Cell_ID]],Registre_Maintenance_Part[[ID_Antenne]:[Colonne2]],6,FALSE),"")</f>
        <v/>
      </c>
    </row>
    <row r="1043" spans="1:11" x14ac:dyDescent="0.3">
      <c r="A1043" t="s">
        <v>1026</v>
      </c>
      <c r="B1043" s="1">
        <v>45229.670138888891</v>
      </c>
      <c r="C1043" s="2">
        <v>45229.670138888891</v>
      </c>
      <c r="D1043" t="s">
        <v>1054</v>
      </c>
      <c r="E1043">
        <v>41</v>
      </c>
      <c r="F1043" t="s">
        <v>739</v>
      </c>
      <c r="G1043" t="str">
        <f>IFERROR(VLOOKUP(Logs_Reseau_Part5[[#This Row],[Cell_ID]],Registre_Maintenance_Part[[ID_Antenne]:[Colonne2]],2,FALSE),"")</f>
        <v/>
      </c>
      <c r="H1043" t="str">
        <f>IFERROR(VLOOKUP(Logs_Reseau_Part5[[#This Row],[Cell_ID]],Registre_Maintenance_Part[[ID_Antenne]:[Colonne2]],3,FALSE),"")</f>
        <v/>
      </c>
      <c r="I1043" t="str">
        <f>IFERROR(VLOOKUP(Logs_Reseau_Part5[[#This Row],[Cell_ID]],Registre_Maintenance_Part[[ID_Antenne]:[Colonne2]],4,FALSE),"")</f>
        <v/>
      </c>
      <c r="J1043" t="str">
        <f>IFERROR(VLOOKUP(Logs_Reseau_Part5[[#This Row],[Cell_ID]],Registre_Maintenance_Part[[ID_Antenne]:[Colonne2]],5,FALSE),"")</f>
        <v/>
      </c>
      <c r="K1043" t="str">
        <f>IFERROR(VLOOKUP(Logs_Reseau_Part5[[#This Row],[Cell_ID]],Registre_Maintenance_Part[[ID_Antenne]:[Colonne2]],6,FALSE),"")</f>
        <v/>
      </c>
    </row>
    <row r="1044" spans="1:11" x14ac:dyDescent="0.3">
      <c r="A1044" t="s">
        <v>941</v>
      </c>
      <c r="B1044" s="1">
        <v>45229.756249999999</v>
      </c>
      <c r="C1044" s="2">
        <v>45229.756249999999</v>
      </c>
      <c r="D1044" t="s">
        <v>973</v>
      </c>
      <c r="E1044">
        <v>82</v>
      </c>
      <c r="F1044" t="s">
        <v>739</v>
      </c>
      <c r="G1044" t="str">
        <f>IFERROR(VLOOKUP(Logs_Reseau_Part5[[#This Row],[Cell_ID]],Registre_Maintenance_Part[[ID_Antenne]:[Colonne2]],2,FALSE),"")</f>
        <v/>
      </c>
      <c r="H1044" t="str">
        <f>IFERROR(VLOOKUP(Logs_Reseau_Part5[[#This Row],[Cell_ID]],Registre_Maintenance_Part[[ID_Antenne]:[Colonne2]],3,FALSE),"")</f>
        <v/>
      </c>
      <c r="I1044" t="str">
        <f>IFERROR(VLOOKUP(Logs_Reseau_Part5[[#This Row],[Cell_ID]],Registre_Maintenance_Part[[ID_Antenne]:[Colonne2]],4,FALSE),"")</f>
        <v/>
      </c>
      <c r="J1044" t="str">
        <f>IFERROR(VLOOKUP(Logs_Reseau_Part5[[#This Row],[Cell_ID]],Registre_Maintenance_Part[[ID_Antenne]:[Colonne2]],5,FALSE),"")</f>
        <v/>
      </c>
      <c r="K1044" t="str">
        <f>IFERROR(VLOOKUP(Logs_Reseau_Part5[[#This Row],[Cell_ID]],Registre_Maintenance_Part[[ID_Antenne]:[Colonne2]],6,FALSE),"")</f>
        <v/>
      </c>
    </row>
    <row r="1045" spans="1:11" x14ac:dyDescent="0.3">
      <c r="A1045" t="s">
        <v>1290</v>
      </c>
      <c r="B1045" s="1">
        <v>45229.772222222222</v>
      </c>
      <c r="C1045" s="2">
        <v>45229.772222222222</v>
      </c>
      <c r="D1045" t="s">
        <v>1183</v>
      </c>
      <c r="E1045">
        <v>27</v>
      </c>
      <c r="F1045" t="s">
        <v>734</v>
      </c>
      <c r="G1045" t="str">
        <f>IFERROR(VLOOKUP(Logs_Reseau_Part5[[#This Row],[Cell_ID]],Registre_Maintenance_Part[[ID_Antenne]:[Colonne2]],2,FALSE),"")</f>
        <v/>
      </c>
      <c r="H1045" t="str">
        <f>IFERROR(VLOOKUP(Logs_Reseau_Part5[[#This Row],[Cell_ID]],Registre_Maintenance_Part[[ID_Antenne]:[Colonne2]],3,FALSE),"")</f>
        <v/>
      </c>
      <c r="I1045" t="str">
        <f>IFERROR(VLOOKUP(Logs_Reseau_Part5[[#This Row],[Cell_ID]],Registre_Maintenance_Part[[ID_Antenne]:[Colonne2]],4,FALSE),"")</f>
        <v/>
      </c>
      <c r="J1045" t="str">
        <f>IFERROR(VLOOKUP(Logs_Reseau_Part5[[#This Row],[Cell_ID]],Registre_Maintenance_Part[[ID_Antenne]:[Colonne2]],5,FALSE),"")</f>
        <v/>
      </c>
      <c r="K1045" t="str">
        <f>IFERROR(VLOOKUP(Logs_Reseau_Part5[[#This Row],[Cell_ID]],Registre_Maintenance_Part[[ID_Antenne]:[Colonne2]],6,FALSE),"")</f>
        <v/>
      </c>
    </row>
    <row r="1046" spans="1:11" x14ac:dyDescent="0.3">
      <c r="A1046" t="s">
        <v>1310</v>
      </c>
      <c r="B1046" s="1">
        <v>45229.801388888889</v>
      </c>
      <c r="C1046" s="2">
        <v>45229.801388888889</v>
      </c>
      <c r="D1046" t="s">
        <v>948</v>
      </c>
      <c r="E1046">
        <v>89</v>
      </c>
      <c r="F1046" t="s">
        <v>734</v>
      </c>
      <c r="G1046" t="str">
        <f>IFERROR(VLOOKUP(Logs_Reseau_Part5[[#This Row],[Cell_ID]],Registre_Maintenance_Part[[ID_Antenne]:[Colonne2]],2,FALSE),"")</f>
        <v/>
      </c>
      <c r="H1046" t="str">
        <f>IFERROR(VLOOKUP(Logs_Reseau_Part5[[#This Row],[Cell_ID]],Registre_Maintenance_Part[[ID_Antenne]:[Colonne2]],3,FALSE),"")</f>
        <v/>
      </c>
      <c r="I1046" t="str">
        <f>IFERROR(VLOOKUP(Logs_Reseau_Part5[[#This Row],[Cell_ID]],Registre_Maintenance_Part[[ID_Antenne]:[Colonne2]],4,FALSE),"")</f>
        <v/>
      </c>
      <c r="J1046" t="str">
        <f>IFERROR(VLOOKUP(Logs_Reseau_Part5[[#This Row],[Cell_ID]],Registre_Maintenance_Part[[ID_Antenne]:[Colonne2]],5,FALSE),"")</f>
        <v/>
      </c>
      <c r="K1046" t="str">
        <f>IFERROR(VLOOKUP(Logs_Reseau_Part5[[#This Row],[Cell_ID]],Registre_Maintenance_Part[[ID_Antenne]:[Colonne2]],6,FALSE),"")</f>
        <v/>
      </c>
    </row>
    <row r="1047" spans="1:11" x14ac:dyDescent="0.3">
      <c r="A1047" t="s">
        <v>1406</v>
      </c>
      <c r="B1047" s="1">
        <v>45229.986805555563</v>
      </c>
      <c r="C1047" s="2">
        <v>45229.986805555563</v>
      </c>
      <c r="D1047" t="s">
        <v>1182</v>
      </c>
      <c r="E1047">
        <v>37</v>
      </c>
      <c r="F1047" t="s">
        <v>739</v>
      </c>
      <c r="G1047" t="str">
        <f>IFERROR(VLOOKUP(Logs_Reseau_Part5[[#This Row],[Cell_ID]],Registre_Maintenance_Part[[ID_Antenne]:[Colonne2]],2,FALSE),"")</f>
        <v/>
      </c>
      <c r="H1047" t="str">
        <f>IFERROR(VLOOKUP(Logs_Reseau_Part5[[#This Row],[Cell_ID]],Registre_Maintenance_Part[[ID_Antenne]:[Colonne2]],3,FALSE),"")</f>
        <v/>
      </c>
      <c r="I1047" t="str">
        <f>IFERROR(VLOOKUP(Logs_Reseau_Part5[[#This Row],[Cell_ID]],Registre_Maintenance_Part[[ID_Antenne]:[Colonne2]],4,FALSE),"")</f>
        <v/>
      </c>
      <c r="J1047" t="str">
        <f>IFERROR(VLOOKUP(Logs_Reseau_Part5[[#This Row],[Cell_ID]],Registre_Maintenance_Part[[ID_Antenne]:[Colonne2]],5,FALSE),"")</f>
        <v/>
      </c>
      <c r="K1047" t="str">
        <f>IFERROR(VLOOKUP(Logs_Reseau_Part5[[#This Row],[Cell_ID]],Registre_Maintenance_Part[[ID_Antenne]:[Colonne2]],6,FALSE),"")</f>
        <v/>
      </c>
    </row>
    <row r="1048" spans="1:11" x14ac:dyDescent="0.3">
      <c r="A1048" t="s">
        <v>825</v>
      </c>
      <c r="B1048" s="1">
        <v>45230.004861111112</v>
      </c>
      <c r="C1048" s="2">
        <v>45230.004861111112</v>
      </c>
      <c r="D1048" t="s">
        <v>826</v>
      </c>
      <c r="E1048">
        <v>58</v>
      </c>
      <c r="F1048" t="s">
        <v>734</v>
      </c>
      <c r="G1048" t="str">
        <f>IFERROR(VLOOKUP(Logs_Reseau_Part5[[#This Row],[Cell_ID]],Registre_Maintenance_Part[[ID_Antenne]:[Colonne2]],2,FALSE),"")</f>
        <v/>
      </c>
      <c r="H1048" t="str">
        <f>IFERROR(VLOOKUP(Logs_Reseau_Part5[[#This Row],[Cell_ID]],Registre_Maintenance_Part[[ID_Antenne]:[Colonne2]],3,FALSE),"")</f>
        <v/>
      </c>
      <c r="I1048" t="str">
        <f>IFERROR(VLOOKUP(Logs_Reseau_Part5[[#This Row],[Cell_ID]],Registre_Maintenance_Part[[ID_Antenne]:[Colonne2]],4,FALSE),"")</f>
        <v/>
      </c>
      <c r="J1048" t="str">
        <f>IFERROR(VLOOKUP(Logs_Reseau_Part5[[#This Row],[Cell_ID]],Registre_Maintenance_Part[[ID_Antenne]:[Colonne2]],5,FALSE),"")</f>
        <v/>
      </c>
      <c r="K1048" t="str">
        <f>IFERROR(VLOOKUP(Logs_Reseau_Part5[[#This Row],[Cell_ID]],Registre_Maintenance_Part[[ID_Antenne]:[Colonne2]],6,FALSE),"")</f>
        <v/>
      </c>
    </row>
    <row r="1049" spans="1:11" x14ac:dyDescent="0.3">
      <c r="A1049" t="s">
        <v>1026</v>
      </c>
      <c r="B1049" s="1">
        <v>45230.061111111107</v>
      </c>
      <c r="C1049" s="2">
        <v>45230.061111111107</v>
      </c>
      <c r="D1049" t="s">
        <v>1035</v>
      </c>
      <c r="E1049">
        <v>103</v>
      </c>
      <c r="F1049" t="s">
        <v>734</v>
      </c>
      <c r="G1049" t="str">
        <f>IFERROR(VLOOKUP(Logs_Reseau_Part5[[#This Row],[Cell_ID]],Registre_Maintenance_Part[[ID_Antenne]:[Colonne2]],2,FALSE),"")</f>
        <v/>
      </c>
      <c r="H1049" t="str">
        <f>IFERROR(VLOOKUP(Logs_Reseau_Part5[[#This Row],[Cell_ID]],Registre_Maintenance_Part[[ID_Antenne]:[Colonne2]],3,FALSE),"")</f>
        <v/>
      </c>
      <c r="I1049" t="str">
        <f>IFERROR(VLOOKUP(Logs_Reseau_Part5[[#This Row],[Cell_ID]],Registre_Maintenance_Part[[ID_Antenne]:[Colonne2]],4,FALSE),"")</f>
        <v/>
      </c>
      <c r="J1049" t="str">
        <f>IFERROR(VLOOKUP(Logs_Reseau_Part5[[#This Row],[Cell_ID]],Registre_Maintenance_Part[[ID_Antenne]:[Colonne2]],5,FALSE),"")</f>
        <v/>
      </c>
      <c r="K1049" t="str">
        <f>IFERROR(VLOOKUP(Logs_Reseau_Part5[[#This Row],[Cell_ID]],Registre_Maintenance_Part[[ID_Antenne]:[Colonne2]],6,FALSE),"")</f>
        <v/>
      </c>
    </row>
    <row r="1050" spans="1:11" x14ac:dyDescent="0.3">
      <c r="A1050" t="s">
        <v>781</v>
      </c>
      <c r="B1050" s="1">
        <v>45230.067361111112</v>
      </c>
      <c r="C1050" s="2">
        <v>45230.067361111112</v>
      </c>
      <c r="D1050" t="s">
        <v>805</v>
      </c>
      <c r="E1050">
        <v>75</v>
      </c>
      <c r="F1050" t="s">
        <v>734</v>
      </c>
      <c r="G1050" t="str">
        <f>IFERROR(VLOOKUP(Logs_Reseau_Part5[[#This Row],[Cell_ID]],Registre_Maintenance_Part[[ID_Antenne]:[Colonne2]],2,FALSE),"")</f>
        <v/>
      </c>
      <c r="H1050" t="str">
        <f>IFERROR(VLOOKUP(Logs_Reseau_Part5[[#This Row],[Cell_ID]],Registre_Maintenance_Part[[ID_Antenne]:[Colonne2]],3,FALSE),"")</f>
        <v/>
      </c>
      <c r="I1050" t="str">
        <f>IFERROR(VLOOKUP(Logs_Reseau_Part5[[#This Row],[Cell_ID]],Registre_Maintenance_Part[[ID_Antenne]:[Colonne2]],4,FALSE),"")</f>
        <v/>
      </c>
      <c r="J1050" t="str">
        <f>IFERROR(VLOOKUP(Logs_Reseau_Part5[[#This Row],[Cell_ID]],Registre_Maintenance_Part[[ID_Antenne]:[Colonne2]],5,FALSE),"")</f>
        <v/>
      </c>
      <c r="K1050" t="str">
        <f>IFERROR(VLOOKUP(Logs_Reseau_Part5[[#This Row],[Cell_ID]],Registre_Maintenance_Part[[ID_Antenne]:[Colonne2]],6,FALSE),"")</f>
        <v/>
      </c>
    </row>
    <row r="1051" spans="1:11" x14ac:dyDescent="0.3">
      <c r="A1051" t="s">
        <v>1221</v>
      </c>
      <c r="B1051" s="1">
        <v>45230.088194444441</v>
      </c>
      <c r="C1051" s="2">
        <v>45230.088194444441</v>
      </c>
      <c r="D1051" t="s">
        <v>1113</v>
      </c>
      <c r="E1051">
        <v>87</v>
      </c>
      <c r="F1051" t="s">
        <v>739</v>
      </c>
      <c r="G1051" t="str">
        <f>IFERROR(VLOOKUP(Logs_Reseau_Part5[[#This Row],[Cell_ID]],Registre_Maintenance_Part[[ID_Antenne]:[Colonne2]],2,FALSE),"")</f>
        <v/>
      </c>
      <c r="H1051" t="str">
        <f>IFERROR(VLOOKUP(Logs_Reseau_Part5[[#This Row],[Cell_ID]],Registre_Maintenance_Part[[ID_Antenne]:[Colonne2]],3,FALSE),"")</f>
        <v/>
      </c>
      <c r="I1051" t="str">
        <f>IFERROR(VLOOKUP(Logs_Reseau_Part5[[#This Row],[Cell_ID]],Registre_Maintenance_Part[[ID_Antenne]:[Colonne2]],4,FALSE),"")</f>
        <v/>
      </c>
      <c r="J1051" t="str">
        <f>IFERROR(VLOOKUP(Logs_Reseau_Part5[[#This Row],[Cell_ID]],Registre_Maintenance_Part[[ID_Antenne]:[Colonne2]],5,FALSE),"")</f>
        <v/>
      </c>
      <c r="K1051" t="str">
        <f>IFERROR(VLOOKUP(Logs_Reseau_Part5[[#This Row],[Cell_ID]],Registre_Maintenance_Part[[ID_Antenne]:[Colonne2]],6,FALSE),"")</f>
        <v/>
      </c>
    </row>
    <row r="1052" spans="1:11" x14ac:dyDescent="0.3">
      <c r="A1052" t="s">
        <v>1088</v>
      </c>
      <c r="B1052" s="1">
        <v>45230.185416666667</v>
      </c>
      <c r="C1052" s="2">
        <v>45230.185416666667</v>
      </c>
      <c r="D1052" t="s">
        <v>1104</v>
      </c>
      <c r="E1052">
        <v>31</v>
      </c>
      <c r="F1052" t="s">
        <v>737</v>
      </c>
      <c r="G1052" t="str">
        <f>IFERROR(VLOOKUP(Logs_Reseau_Part5[[#This Row],[Cell_ID]],Registre_Maintenance_Part[[ID_Antenne]:[Colonne2]],2,FALSE),"")</f>
        <v/>
      </c>
      <c r="H1052" t="str">
        <f>IFERROR(VLOOKUP(Logs_Reseau_Part5[[#This Row],[Cell_ID]],Registre_Maintenance_Part[[ID_Antenne]:[Colonne2]],3,FALSE),"")</f>
        <v/>
      </c>
      <c r="I1052" t="str">
        <f>IFERROR(VLOOKUP(Logs_Reseau_Part5[[#This Row],[Cell_ID]],Registre_Maintenance_Part[[ID_Antenne]:[Colonne2]],4,FALSE),"")</f>
        <v/>
      </c>
      <c r="J1052" t="str">
        <f>IFERROR(VLOOKUP(Logs_Reseau_Part5[[#This Row],[Cell_ID]],Registre_Maintenance_Part[[ID_Antenne]:[Colonne2]],5,FALSE),"")</f>
        <v/>
      </c>
      <c r="K1052" t="str">
        <f>IFERROR(VLOOKUP(Logs_Reseau_Part5[[#This Row],[Cell_ID]],Registre_Maintenance_Part[[ID_Antenne]:[Colonne2]],6,FALSE),"")</f>
        <v/>
      </c>
    </row>
    <row r="1053" spans="1:11" x14ac:dyDescent="0.3">
      <c r="A1053" t="s">
        <v>1140</v>
      </c>
      <c r="B1053" s="1">
        <v>45230.1875</v>
      </c>
      <c r="C1053" s="2">
        <v>45230.1875</v>
      </c>
      <c r="D1053" t="s">
        <v>1149</v>
      </c>
      <c r="E1053">
        <v>9</v>
      </c>
      <c r="F1053" t="s">
        <v>739</v>
      </c>
      <c r="G1053" t="str">
        <f>IFERROR(VLOOKUP(Logs_Reseau_Part5[[#This Row],[Cell_ID]],Registre_Maintenance_Part[[ID_Antenne]:[Colonne2]],2,FALSE),"")</f>
        <v/>
      </c>
      <c r="H1053" t="str">
        <f>IFERROR(VLOOKUP(Logs_Reseau_Part5[[#This Row],[Cell_ID]],Registre_Maintenance_Part[[ID_Antenne]:[Colonne2]],3,FALSE),"")</f>
        <v/>
      </c>
      <c r="I1053" t="str">
        <f>IFERROR(VLOOKUP(Logs_Reseau_Part5[[#This Row],[Cell_ID]],Registre_Maintenance_Part[[ID_Antenne]:[Colonne2]],4,FALSE),"")</f>
        <v/>
      </c>
      <c r="J1053" t="str">
        <f>IFERROR(VLOOKUP(Logs_Reseau_Part5[[#This Row],[Cell_ID]],Registre_Maintenance_Part[[ID_Antenne]:[Colonne2]],5,FALSE),"")</f>
        <v/>
      </c>
      <c r="K1053" t="str">
        <f>IFERROR(VLOOKUP(Logs_Reseau_Part5[[#This Row],[Cell_ID]],Registre_Maintenance_Part[[ID_Antenne]:[Colonne2]],6,FALSE),"")</f>
        <v/>
      </c>
    </row>
    <row r="1054" spans="1:11" x14ac:dyDescent="0.3">
      <c r="A1054" t="s">
        <v>941</v>
      </c>
      <c r="B1054" s="1">
        <v>45230.444444444453</v>
      </c>
      <c r="C1054" s="2">
        <v>45230.444444444453</v>
      </c>
      <c r="D1054" t="s">
        <v>930</v>
      </c>
      <c r="E1054">
        <v>40</v>
      </c>
      <c r="F1054" t="s">
        <v>734</v>
      </c>
      <c r="G1054" t="str">
        <f>IFERROR(VLOOKUP(Logs_Reseau_Part5[[#This Row],[Cell_ID]],Registre_Maintenance_Part[[ID_Antenne]:[Colonne2]],2,FALSE),"")</f>
        <v/>
      </c>
      <c r="H1054" t="str">
        <f>IFERROR(VLOOKUP(Logs_Reseau_Part5[[#This Row],[Cell_ID]],Registre_Maintenance_Part[[ID_Antenne]:[Colonne2]],3,FALSE),"")</f>
        <v/>
      </c>
      <c r="I1054" t="str">
        <f>IFERROR(VLOOKUP(Logs_Reseau_Part5[[#This Row],[Cell_ID]],Registre_Maintenance_Part[[ID_Antenne]:[Colonne2]],4,FALSE),"")</f>
        <v/>
      </c>
      <c r="J1054" t="str">
        <f>IFERROR(VLOOKUP(Logs_Reseau_Part5[[#This Row],[Cell_ID]],Registre_Maintenance_Part[[ID_Antenne]:[Colonne2]],5,FALSE),"")</f>
        <v/>
      </c>
      <c r="K1054" t="str">
        <f>IFERROR(VLOOKUP(Logs_Reseau_Part5[[#This Row],[Cell_ID]],Registre_Maintenance_Part[[ID_Antenne]:[Colonne2]],6,FALSE),"")</f>
        <v/>
      </c>
    </row>
    <row r="1055" spans="1:11" x14ac:dyDescent="0.3">
      <c r="A1055" t="s">
        <v>1290</v>
      </c>
      <c r="B1055" s="1">
        <v>45230.537499999999</v>
      </c>
      <c r="C1055" s="2">
        <v>45230.537499999999</v>
      </c>
      <c r="D1055" t="s">
        <v>1291</v>
      </c>
      <c r="E1055">
        <v>33</v>
      </c>
      <c r="F1055" t="s">
        <v>737</v>
      </c>
      <c r="G1055" t="str">
        <f>IFERROR(VLOOKUP(Logs_Reseau_Part5[[#This Row],[Cell_ID]],Registre_Maintenance_Part[[ID_Antenne]:[Colonne2]],2,FALSE),"")</f>
        <v/>
      </c>
      <c r="H1055" t="str">
        <f>IFERROR(VLOOKUP(Logs_Reseau_Part5[[#This Row],[Cell_ID]],Registre_Maintenance_Part[[ID_Antenne]:[Colonne2]],3,FALSE),"")</f>
        <v/>
      </c>
      <c r="I1055" t="str">
        <f>IFERROR(VLOOKUP(Logs_Reseau_Part5[[#This Row],[Cell_ID]],Registre_Maintenance_Part[[ID_Antenne]:[Colonne2]],4,FALSE),"")</f>
        <v/>
      </c>
      <c r="J1055" t="str">
        <f>IFERROR(VLOOKUP(Logs_Reseau_Part5[[#This Row],[Cell_ID]],Registre_Maintenance_Part[[ID_Antenne]:[Colonne2]],5,FALSE),"")</f>
        <v/>
      </c>
      <c r="K1055" t="str">
        <f>IFERROR(VLOOKUP(Logs_Reseau_Part5[[#This Row],[Cell_ID]],Registre_Maintenance_Part[[ID_Antenne]:[Colonne2]],6,FALSE),"")</f>
        <v/>
      </c>
    </row>
    <row r="1056" spans="1:11" x14ac:dyDescent="0.3">
      <c r="A1056" t="s">
        <v>1167</v>
      </c>
      <c r="B1056" s="1">
        <v>45230.565972222219</v>
      </c>
      <c r="C1056" s="2">
        <v>45230.565972222219</v>
      </c>
      <c r="D1056" t="s">
        <v>886</v>
      </c>
      <c r="E1056">
        <v>74</v>
      </c>
      <c r="F1056" t="s">
        <v>734</v>
      </c>
      <c r="G1056" t="str">
        <f>IFERROR(VLOOKUP(Logs_Reseau_Part5[[#This Row],[Cell_ID]],Registre_Maintenance_Part[[ID_Antenne]:[Colonne2]],2,FALSE),"")</f>
        <v/>
      </c>
      <c r="H1056" t="str">
        <f>IFERROR(VLOOKUP(Logs_Reseau_Part5[[#This Row],[Cell_ID]],Registre_Maintenance_Part[[ID_Antenne]:[Colonne2]],3,FALSE),"")</f>
        <v/>
      </c>
      <c r="I1056" t="str">
        <f>IFERROR(VLOOKUP(Logs_Reseau_Part5[[#This Row],[Cell_ID]],Registre_Maintenance_Part[[ID_Antenne]:[Colonne2]],4,FALSE),"")</f>
        <v/>
      </c>
      <c r="J1056" t="str">
        <f>IFERROR(VLOOKUP(Logs_Reseau_Part5[[#This Row],[Cell_ID]],Registre_Maintenance_Part[[ID_Antenne]:[Colonne2]],5,FALSE),"")</f>
        <v/>
      </c>
      <c r="K1056" t="str">
        <f>IFERROR(VLOOKUP(Logs_Reseau_Part5[[#This Row],[Cell_ID]],Registre_Maintenance_Part[[ID_Antenne]:[Colonne2]],6,FALSE),"")</f>
        <v/>
      </c>
    </row>
    <row r="1057" spans="1:11" x14ac:dyDescent="0.3">
      <c r="A1057" t="s">
        <v>1243</v>
      </c>
      <c r="B1057" s="1">
        <v>45230.577777777777</v>
      </c>
      <c r="C1057" s="2">
        <v>45230.577777777777</v>
      </c>
      <c r="D1057" t="s">
        <v>1247</v>
      </c>
      <c r="E1057">
        <v>97</v>
      </c>
      <c r="F1057" t="s">
        <v>734</v>
      </c>
      <c r="G1057" t="str">
        <f>IFERROR(VLOOKUP(Logs_Reseau_Part5[[#This Row],[Cell_ID]],Registre_Maintenance_Part[[ID_Antenne]:[Colonne2]],2,FALSE),"")</f>
        <v/>
      </c>
      <c r="H1057" t="str">
        <f>IFERROR(VLOOKUP(Logs_Reseau_Part5[[#This Row],[Cell_ID]],Registre_Maintenance_Part[[ID_Antenne]:[Colonne2]],3,FALSE),"")</f>
        <v/>
      </c>
      <c r="I1057" t="str">
        <f>IFERROR(VLOOKUP(Logs_Reseau_Part5[[#This Row],[Cell_ID]],Registre_Maintenance_Part[[ID_Antenne]:[Colonne2]],4,FALSE),"")</f>
        <v/>
      </c>
      <c r="J1057" t="str">
        <f>IFERROR(VLOOKUP(Logs_Reseau_Part5[[#This Row],[Cell_ID]],Registre_Maintenance_Part[[ID_Antenne]:[Colonne2]],5,FALSE),"")</f>
        <v/>
      </c>
      <c r="K1057" t="str">
        <f>IFERROR(VLOOKUP(Logs_Reseau_Part5[[#This Row],[Cell_ID]],Registre_Maintenance_Part[[ID_Antenne]:[Colonne2]],6,FALSE),"")</f>
        <v/>
      </c>
    </row>
    <row r="1058" spans="1:11" x14ac:dyDescent="0.3">
      <c r="A1058" t="s">
        <v>904</v>
      </c>
      <c r="B1058" s="1">
        <v>45230.629861111112</v>
      </c>
      <c r="C1058" s="2">
        <v>45230.629861111112</v>
      </c>
      <c r="D1058" t="s">
        <v>906</v>
      </c>
      <c r="E1058">
        <v>91</v>
      </c>
      <c r="F1058" t="s">
        <v>734</v>
      </c>
      <c r="G1058" t="str">
        <f>IFERROR(VLOOKUP(Logs_Reseau_Part5[[#This Row],[Cell_ID]],Registre_Maintenance_Part[[ID_Antenne]:[Colonne2]],2,FALSE),"")</f>
        <v/>
      </c>
      <c r="H1058" t="str">
        <f>IFERROR(VLOOKUP(Logs_Reseau_Part5[[#This Row],[Cell_ID]],Registre_Maintenance_Part[[ID_Antenne]:[Colonne2]],3,FALSE),"")</f>
        <v/>
      </c>
      <c r="I1058" t="str">
        <f>IFERROR(VLOOKUP(Logs_Reseau_Part5[[#This Row],[Cell_ID]],Registre_Maintenance_Part[[ID_Antenne]:[Colonne2]],4,FALSE),"")</f>
        <v/>
      </c>
      <c r="J1058" t="str">
        <f>IFERROR(VLOOKUP(Logs_Reseau_Part5[[#This Row],[Cell_ID]],Registre_Maintenance_Part[[ID_Antenne]:[Colonne2]],5,FALSE),"")</f>
        <v/>
      </c>
      <c r="K1058" t="str">
        <f>IFERROR(VLOOKUP(Logs_Reseau_Part5[[#This Row],[Cell_ID]],Registre_Maintenance_Part[[ID_Antenne]:[Colonne2]],6,FALSE),"")</f>
        <v/>
      </c>
    </row>
    <row r="1059" spans="1:11" x14ac:dyDescent="0.3">
      <c r="A1059" t="s">
        <v>980</v>
      </c>
      <c r="B1059" s="1">
        <v>45230.726388888892</v>
      </c>
      <c r="C1059" s="2">
        <v>45230.726388888892</v>
      </c>
      <c r="D1059" t="s">
        <v>959</v>
      </c>
      <c r="E1059">
        <v>19</v>
      </c>
      <c r="F1059" t="s">
        <v>737</v>
      </c>
      <c r="G1059" t="str">
        <f>IFERROR(VLOOKUP(Logs_Reseau_Part5[[#This Row],[Cell_ID]],Registre_Maintenance_Part[[ID_Antenne]:[Colonne2]],2,FALSE),"")</f>
        <v/>
      </c>
      <c r="H1059" t="str">
        <f>IFERROR(VLOOKUP(Logs_Reseau_Part5[[#This Row],[Cell_ID]],Registre_Maintenance_Part[[ID_Antenne]:[Colonne2]],3,FALSE),"")</f>
        <v/>
      </c>
      <c r="I1059" t="str">
        <f>IFERROR(VLOOKUP(Logs_Reseau_Part5[[#This Row],[Cell_ID]],Registre_Maintenance_Part[[ID_Antenne]:[Colonne2]],4,FALSE),"")</f>
        <v/>
      </c>
      <c r="J1059" t="str">
        <f>IFERROR(VLOOKUP(Logs_Reseau_Part5[[#This Row],[Cell_ID]],Registre_Maintenance_Part[[ID_Antenne]:[Colonne2]],5,FALSE),"")</f>
        <v/>
      </c>
      <c r="K1059" t="str">
        <f>IFERROR(VLOOKUP(Logs_Reseau_Part5[[#This Row],[Cell_ID]],Registre_Maintenance_Part[[ID_Antenne]:[Colonne2]],6,FALSE),"")</f>
        <v/>
      </c>
    </row>
    <row r="1060" spans="1:11" x14ac:dyDescent="0.3">
      <c r="A1060" t="s">
        <v>1406</v>
      </c>
      <c r="B1060" s="1">
        <v>45230.731944444437</v>
      </c>
      <c r="C1060" s="2">
        <v>45230.731944444437</v>
      </c>
      <c r="D1060" t="s">
        <v>1032</v>
      </c>
      <c r="E1060">
        <v>52</v>
      </c>
      <c r="F1060" t="s">
        <v>734</v>
      </c>
      <c r="G1060" t="str">
        <f>IFERROR(VLOOKUP(Logs_Reseau_Part5[[#This Row],[Cell_ID]],Registre_Maintenance_Part[[ID_Antenne]:[Colonne2]],2,FALSE),"")</f>
        <v/>
      </c>
      <c r="H1060" t="str">
        <f>IFERROR(VLOOKUP(Logs_Reseau_Part5[[#This Row],[Cell_ID]],Registre_Maintenance_Part[[ID_Antenne]:[Colonne2]],3,FALSE),"")</f>
        <v/>
      </c>
      <c r="I1060" t="str">
        <f>IFERROR(VLOOKUP(Logs_Reseau_Part5[[#This Row],[Cell_ID]],Registre_Maintenance_Part[[ID_Antenne]:[Colonne2]],4,FALSE),"")</f>
        <v/>
      </c>
      <c r="J1060" t="str">
        <f>IFERROR(VLOOKUP(Logs_Reseau_Part5[[#This Row],[Cell_ID]],Registre_Maintenance_Part[[ID_Antenne]:[Colonne2]],5,FALSE),"")</f>
        <v/>
      </c>
      <c r="K1060" t="str">
        <f>IFERROR(VLOOKUP(Logs_Reseau_Part5[[#This Row],[Cell_ID]],Registre_Maintenance_Part[[ID_Antenne]:[Colonne2]],6,FALSE),"")</f>
        <v/>
      </c>
    </row>
    <row r="1061" spans="1:11" x14ac:dyDescent="0.3">
      <c r="A1061" t="s">
        <v>1310</v>
      </c>
      <c r="B1061" s="1">
        <v>45230.767361111109</v>
      </c>
      <c r="C1061" s="2">
        <v>45230.767361111109</v>
      </c>
      <c r="D1061" t="s">
        <v>1313</v>
      </c>
      <c r="E1061">
        <v>16</v>
      </c>
      <c r="F1061" t="s">
        <v>739</v>
      </c>
      <c r="G1061" t="str">
        <f>IFERROR(VLOOKUP(Logs_Reseau_Part5[[#This Row],[Cell_ID]],Registre_Maintenance_Part[[ID_Antenne]:[Colonne2]],2,FALSE),"")</f>
        <v/>
      </c>
      <c r="H1061" t="str">
        <f>IFERROR(VLOOKUP(Logs_Reseau_Part5[[#This Row],[Cell_ID]],Registre_Maintenance_Part[[ID_Antenne]:[Colonne2]],3,FALSE),"")</f>
        <v/>
      </c>
      <c r="I1061" t="str">
        <f>IFERROR(VLOOKUP(Logs_Reseau_Part5[[#This Row],[Cell_ID]],Registre_Maintenance_Part[[ID_Antenne]:[Colonne2]],4,FALSE),"")</f>
        <v/>
      </c>
      <c r="J1061" t="str">
        <f>IFERROR(VLOOKUP(Logs_Reseau_Part5[[#This Row],[Cell_ID]],Registre_Maintenance_Part[[ID_Antenne]:[Colonne2]],5,FALSE),"")</f>
        <v/>
      </c>
      <c r="K1061" t="str">
        <f>IFERROR(VLOOKUP(Logs_Reseau_Part5[[#This Row],[Cell_ID]],Registre_Maintenance_Part[[ID_Antenne]:[Colonne2]],6,FALSE),"")</f>
        <v/>
      </c>
    </row>
    <row r="1062" spans="1:11" x14ac:dyDescent="0.3">
      <c r="A1062" t="s">
        <v>1001</v>
      </c>
      <c r="B1062" s="1">
        <v>45230.776388888888</v>
      </c>
      <c r="C1062" s="2">
        <v>45230.776388888888</v>
      </c>
      <c r="D1062" t="s">
        <v>1018</v>
      </c>
      <c r="E1062">
        <v>55</v>
      </c>
      <c r="F1062" t="s">
        <v>737</v>
      </c>
      <c r="G1062" t="str">
        <f>IFERROR(VLOOKUP(Logs_Reseau_Part5[[#This Row],[Cell_ID]],Registre_Maintenance_Part[[ID_Antenne]:[Colonne2]],2,FALSE),"")</f>
        <v/>
      </c>
      <c r="H1062" t="str">
        <f>IFERROR(VLOOKUP(Logs_Reseau_Part5[[#This Row],[Cell_ID]],Registre_Maintenance_Part[[ID_Antenne]:[Colonne2]],3,FALSE),"")</f>
        <v/>
      </c>
      <c r="I1062" t="str">
        <f>IFERROR(VLOOKUP(Logs_Reseau_Part5[[#This Row],[Cell_ID]],Registre_Maintenance_Part[[ID_Antenne]:[Colonne2]],4,FALSE),"")</f>
        <v/>
      </c>
      <c r="J1062" t="str">
        <f>IFERROR(VLOOKUP(Logs_Reseau_Part5[[#This Row],[Cell_ID]],Registre_Maintenance_Part[[ID_Antenne]:[Colonne2]],5,FALSE),"")</f>
        <v/>
      </c>
      <c r="K1062" t="str">
        <f>IFERROR(VLOOKUP(Logs_Reseau_Part5[[#This Row],[Cell_ID]],Registre_Maintenance_Part[[ID_Antenne]:[Colonne2]],6,FALSE),"")</f>
        <v/>
      </c>
    </row>
    <row r="1063" spans="1:11" x14ac:dyDescent="0.3">
      <c r="A1063" t="s">
        <v>732</v>
      </c>
      <c r="B1063" s="1">
        <v>45230.788888888892</v>
      </c>
      <c r="C1063" s="2">
        <v>45230.788888888892</v>
      </c>
      <c r="D1063" t="s">
        <v>776</v>
      </c>
      <c r="E1063">
        <v>87</v>
      </c>
      <c r="F1063" t="s">
        <v>737</v>
      </c>
      <c r="G1063" t="str">
        <f>IFERROR(VLOOKUP(Logs_Reseau_Part5[[#This Row],[Cell_ID]],Registre_Maintenance_Part[[ID_Antenne]:[Colonne2]],2,FALSE),"")</f>
        <v/>
      </c>
      <c r="H1063" t="str">
        <f>IFERROR(VLOOKUP(Logs_Reseau_Part5[[#This Row],[Cell_ID]],Registre_Maintenance_Part[[ID_Antenne]:[Colonne2]],3,FALSE),"")</f>
        <v/>
      </c>
      <c r="I1063" t="str">
        <f>IFERROR(VLOOKUP(Logs_Reseau_Part5[[#This Row],[Cell_ID]],Registre_Maintenance_Part[[ID_Antenne]:[Colonne2]],4,FALSE),"")</f>
        <v/>
      </c>
      <c r="J1063" t="str">
        <f>IFERROR(VLOOKUP(Logs_Reseau_Part5[[#This Row],[Cell_ID]],Registre_Maintenance_Part[[ID_Antenne]:[Colonne2]],5,FALSE),"")</f>
        <v/>
      </c>
      <c r="K1063" t="str">
        <f>IFERROR(VLOOKUP(Logs_Reseau_Part5[[#This Row],[Cell_ID]],Registre_Maintenance_Part[[ID_Antenne]:[Colonne2]],6,FALSE),"")</f>
        <v/>
      </c>
    </row>
    <row r="1064" spans="1:11" x14ac:dyDescent="0.3">
      <c r="A1064" t="s">
        <v>863</v>
      </c>
      <c r="B1064" s="1">
        <v>45230.834722222222</v>
      </c>
      <c r="C1064" s="2">
        <v>45230.834722222222</v>
      </c>
      <c r="D1064" t="s">
        <v>778</v>
      </c>
      <c r="E1064">
        <v>46</v>
      </c>
      <c r="F1064" t="s">
        <v>737</v>
      </c>
      <c r="G1064" t="str">
        <f>IFERROR(VLOOKUP(Logs_Reseau_Part5[[#This Row],[Cell_ID]],Registre_Maintenance_Part[[ID_Antenne]:[Colonne2]],2,FALSE),"")</f>
        <v/>
      </c>
      <c r="H1064" t="str">
        <f>IFERROR(VLOOKUP(Logs_Reseau_Part5[[#This Row],[Cell_ID]],Registre_Maintenance_Part[[ID_Antenne]:[Colonne2]],3,FALSE),"")</f>
        <v/>
      </c>
      <c r="I1064" t="str">
        <f>IFERROR(VLOOKUP(Logs_Reseau_Part5[[#This Row],[Cell_ID]],Registre_Maintenance_Part[[ID_Antenne]:[Colonne2]],4,FALSE),"")</f>
        <v/>
      </c>
      <c r="J1064" t="str">
        <f>IFERROR(VLOOKUP(Logs_Reseau_Part5[[#This Row],[Cell_ID]],Registre_Maintenance_Part[[ID_Antenne]:[Colonne2]],5,FALSE),"")</f>
        <v/>
      </c>
      <c r="K1064" t="str">
        <f>IFERROR(VLOOKUP(Logs_Reseau_Part5[[#This Row],[Cell_ID]],Registre_Maintenance_Part[[ID_Antenne]:[Colonne2]],6,FALSE),"")</f>
        <v/>
      </c>
    </row>
    <row r="1065" spans="1:11" x14ac:dyDescent="0.3">
      <c r="A1065" t="s">
        <v>1221</v>
      </c>
      <c r="B1065" s="1">
        <v>45230.847222222219</v>
      </c>
      <c r="C1065" s="2">
        <v>45230.847222222219</v>
      </c>
      <c r="D1065" t="s">
        <v>793</v>
      </c>
      <c r="E1065">
        <v>58</v>
      </c>
      <c r="F1065" t="s">
        <v>739</v>
      </c>
      <c r="G1065" t="str">
        <f>IFERROR(VLOOKUP(Logs_Reseau_Part5[[#This Row],[Cell_ID]],Registre_Maintenance_Part[[ID_Antenne]:[Colonne2]],2,FALSE),"")</f>
        <v/>
      </c>
      <c r="H1065" t="str">
        <f>IFERROR(VLOOKUP(Logs_Reseau_Part5[[#This Row],[Cell_ID]],Registre_Maintenance_Part[[ID_Antenne]:[Colonne2]],3,FALSE),"")</f>
        <v/>
      </c>
      <c r="I1065" t="str">
        <f>IFERROR(VLOOKUP(Logs_Reseau_Part5[[#This Row],[Cell_ID]],Registre_Maintenance_Part[[ID_Antenne]:[Colonne2]],4,FALSE),"")</f>
        <v/>
      </c>
      <c r="J1065" t="str">
        <f>IFERROR(VLOOKUP(Logs_Reseau_Part5[[#This Row],[Cell_ID]],Registre_Maintenance_Part[[ID_Antenne]:[Colonne2]],5,FALSE),"")</f>
        <v/>
      </c>
      <c r="K1065" t="str">
        <f>IFERROR(VLOOKUP(Logs_Reseau_Part5[[#This Row],[Cell_ID]],Registre_Maintenance_Part[[ID_Antenne]:[Colonne2]],6,FALSE),"")</f>
        <v/>
      </c>
    </row>
    <row r="1066" spans="1:11" x14ac:dyDescent="0.3">
      <c r="A1066" t="s">
        <v>1167</v>
      </c>
      <c r="B1066" s="1">
        <v>45230.862500000003</v>
      </c>
      <c r="C1066" s="2">
        <v>45230.862500000003</v>
      </c>
      <c r="D1066" t="s">
        <v>803</v>
      </c>
      <c r="E1066">
        <v>67</v>
      </c>
      <c r="F1066" t="s">
        <v>734</v>
      </c>
      <c r="G1066" t="str">
        <f>IFERROR(VLOOKUP(Logs_Reseau_Part5[[#This Row],[Cell_ID]],Registre_Maintenance_Part[[ID_Antenne]:[Colonne2]],2,FALSE),"")</f>
        <v/>
      </c>
      <c r="H1066" t="str">
        <f>IFERROR(VLOOKUP(Logs_Reseau_Part5[[#This Row],[Cell_ID]],Registre_Maintenance_Part[[ID_Antenne]:[Colonne2]],3,FALSE),"")</f>
        <v/>
      </c>
      <c r="I1066" t="str">
        <f>IFERROR(VLOOKUP(Logs_Reseau_Part5[[#This Row],[Cell_ID]],Registre_Maintenance_Part[[ID_Antenne]:[Colonne2]],4,FALSE),"")</f>
        <v/>
      </c>
      <c r="J1066" t="str">
        <f>IFERROR(VLOOKUP(Logs_Reseau_Part5[[#This Row],[Cell_ID]],Registre_Maintenance_Part[[ID_Antenne]:[Colonne2]],5,FALSE),"")</f>
        <v/>
      </c>
      <c r="K1066" t="str">
        <f>IFERROR(VLOOKUP(Logs_Reseau_Part5[[#This Row],[Cell_ID]],Registre_Maintenance_Part[[ID_Antenne]:[Colonne2]],6,FALSE),"")</f>
        <v/>
      </c>
    </row>
    <row r="1067" spans="1:11" x14ac:dyDescent="0.3">
      <c r="A1067" t="s">
        <v>1384</v>
      </c>
      <c r="B1067" s="1">
        <v>45230.90625</v>
      </c>
      <c r="C1067" s="2">
        <v>45230.90625</v>
      </c>
      <c r="D1067" t="s">
        <v>1336</v>
      </c>
      <c r="E1067">
        <v>87</v>
      </c>
      <c r="F1067" t="s">
        <v>734</v>
      </c>
      <c r="G1067" t="str">
        <f>IFERROR(VLOOKUP(Logs_Reseau_Part5[[#This Row],[Cell_ID]],Registre_Maintenance_Part[[ID_Antenne]:[Colonne2]],2,FALSE),"")</f>
        <v/>
      </c>
      <c r="H1067" t="str">
        <f>IFERROR(VLOOKUP(Logs_Reseau_Part5[[#This Row],[Cell_ID]],Registre_Maintenance_Part[[ID_Antenne]:[Colonne2]],3,FALSE),"")</f>
        <v/>
      </c>
      <c r="I1067" t="str">
        <f>IFERROR(VLOOKUP(Logs_Reseau_Part5[[#This Row],[Cell_ID]],Registre_Maintenance_Part[[ID_Antenne]:[Colonne2]],4,FALSE),"")</f>
        <v/>
      </c>
      <c r="J1067" t="str">
        <f>IFERROR(VLOOKUP(Logs_Reseau_Part5[[#This Row],[Cell_ID]],Registre_Maintenance_Part[[ID_Antenne]:[Colonne2]],5,FALSE),"")</f>
        <v/>
      </c>
      <c r="K1067" t="str">
        <f>IFERROR(VLOOKUP(Logs_Reseau_Part5[[#This Row],[Cell_ID]],Registre_Maintenance_Part[[ID_Antenne]:[Colonne2]],6,FALSE),"")</f>
        <v/>
      </c>
    </row>
    <row r="1068" spans="1:11" x14ac:dyDescent="0.3">
      <c r="A1068" t="s">
        <v>904</v>
      </c>
      <c r="B1068" s="1">
        <v>45230.911805555559</v>
      </c>
      <c r="C1068" s="2">
        <v>45230.911805555559</v>
      </c>
      <c r="D1068" t="s">
        <v>940</v>
      </c>
      <c r="E1068">
        <v>16</v>
      </c>
      <c r="F1068" t="s">
        <v>737</v>
      </c>
      <c r="G1068" t="str">
        <f>IFERROR(VLOOKUP(Logs_Reseau_Part5[[#This Row],[Cell_ID]],Registre_Maintenance_Part[[ID_Antenne]:[Colonne2]],2,FALSE),"")</f>
        <v/>
      </c>
      <c r="H1068" t="str">
        <f>IFERROR(VLOOKUP(Logs_Reseau_Part5[[#This Row],[Cell_ID]],Registre_Maintenance_Part[[ID_Antenne]:[Colonne2]],3,FALSE),"")</f>
        <v/>
      </c>
      <c r="I1068" t="str">
        <f>IFERROR(VLOOKUP(Logs_Reseau_Part5[[#This Row],[Cell_ID]],Registre_Maintenance_Part[[ID_Antenne]:[Colonne2]],4,FALSE),"")</f>
        <v/>
      </c>
      <c r="J1068" t="str">
        <f>IFERROR(VLOOKUP(Logs_Reseau_Part5[[#This Row],[Cell_ID]],Registre_Maintenance_Part[[ID_Antenne]:[Colonne2]],5,FALSE),"")</f>
        <v/>
      </c>
      <c r="K1068" t="str">
        <f>IFERROR(VLOOKUP(Logs_Reseau_Part5[[#This Row],[Cell_ID]],Registre_Maintenance_Part[[ID_Antenne]:[Colonne2]],6,FALSE),"")</f>
        <v/>
      </c>
    </row>
    <row r="1069" spans="1:11" x14ac:dyDescent="0.3">
      <c r="A1069" t="s">
        <v>863</v>
      </c>
      <c r="B1069" s="1">
        <v>45230.925000000003</v>
      </c>
      <c r="C1069" s="2">
        <v>45230.925000000003</v>
      </c>
      <c r="D1069" t="s">
        <v>891</v>
      </c>
      <c r="E1069">
        <v>90</v>
      </c>
      <c r="F1069" t="s">
        <v>734</v>
      </c>
      <c r="G1069" t="str">
        <f>IFERROR(VLOOKUP(Logs_Reseau_Part5[[#This Row],[Cell_ID]],Registre_Maintenance_Part[[ID_Antenne]:[Colonne2]],2,FALSE),"")</f>
        <v/>
      </c>
      <c r="H1069" t="str">
        <f>IFERROR(VLOOKUP(Logs_Reseau_Part5[[#This Row],[Cell_ID]],Registre_Maintenance_Part[[ID_Antenne]:[Colonne2]],3,FALSE),"")</f>
        <v/>
      </c>
      <c r="I1069" t="str">
        <f>IFERROR(VLOOKUP(Logs_Reseau_Part5[[#This Row],[Cell_ID]],Registre_Maintenance_Part[[ID_Antenne]:[Colonne2]],4,FALSE),"")</f>
        <v/>
      </c>
      <c r="J1069" t="str">
        <f>IFERROR(VLOOKUP(Logs_Reseau_Part5[[#This Row],[Cell_ID]],Registre_Maintenance_Part[[ID_Antenne]:[Colonne2]],5,FALSE),"")</f>
        <v/>
      </c>
      <c r="K1069" t="str">
        <f>IFERROR(VLOOKUP(Logs_Reseau_Part5[[#This Row],[Cell_ID]],Registre_Maintenance_Part[[ID_Antenne]:[Colonne2]],6,FALSE),"")</f>
        <v/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4F149D-B32F-4CC3-BA14-7169DD63F6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TCD_moyenne</vt:lpstr>
      <vt:lpstr>TCD_sous_catégorisation</vt:lpstr>
      <vt:lpstr>TCD_somme_totale</vt:lpstr>
      <vt:lpstr>LOG_REGISTRE_Master</vt:lpstr>
      <vt:lpstr>client_Master</vt:lpstr>
      <vt:lpstr>Logs_Reseau_Master</vt:lpstr>
      <vt:lpstr>Registre_Maintenance_Master</vt:lpstr>
      <vt:lpstr>LOG_REGISTRE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Prisca Muteba</dc:creator>
  <cp:lastModifiedBy>Ketshia Manganda</cp:lastModifiedBy>
  <dcterms:created xsi:type="dcterms:W3CDTF">2015-06-05T18:19:34Z</dcterms:created>
  <dcterms:modified xsi:type="dcterms:W3CDTF">2026-03-31T18:17:43Z</dcterms:modified>
</cp:coreProperties>
</file>